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D:\UserData\thomschkef\Home\myData\Desktop\02_Zustandserfassungslisten_ab2022\"/>
    </mc:Choice>
  </mc:AlternateContent>
  <bookViews>
    <workbookView xWindow="480" yWindow="120" windowWidth="18200" windowHeight="11570" firstSheet="1" activeTab="2"/>
  </bookViews>
  <sheets>
    <sheet name="Infos zu dieser Mappe" sheetId="7" r:id="rId1"/>
    <sheet name="Legende_Thomschke" sheetId="9" r:id="rId2"/>
    <sheet name="II_Inkunabeln+" sheetId="2" r:id="rId3"/>
    <sheet name="Schäden_Einband" sheetId="4" r:id="rId4"/>
    <sheet name="Schäden_Buchblock" sheetId="5" r:id="rId5"/>
    <sheet name="Datentransfer" sheetId="10" r:id="rId6"/>
    <sheet name="Legende" sheetId="1" r:id="rId7"/>
    <sheet name="Zusammenfassung" sheetId="3" r:id="rId8"/>
  </sheets>
  <externalReferences>
    <externalReference r:id="rId9"/>
    <externalReference r:id="rId10"/>
  </externalReferences>
  <definedNames>
    <definedName name="_xlnm._FilterDatabase" localSheetId="2" hidden="1">'II_Inkunabeln+'!$A$1:$BL$737</definedName>
    <definedName name="_xlnm._FilterDatabase" localSheetId="4" hidden="1">Schäden_Buchblock!$A$1:$AD$737</definedName>
    <definedName name="_xlnm._FilterDatabase" localSheetId="3" hidden="1">Schäden_Einband!$A$1:$Z$737</definedName>
  </definedNames>
  <calcPr calcId="162913"/>
  <customWorkbookViews>
    <customWorkbookView name="Schmahl, Elke - Persönliche Ansicht" guid="{A07C3692-EABB-4B74-AB1D-882B5273FA86}" mergeInterval="0" personalView="1" maximized="1" xWindow="-8" yWindow="-8" windowWidth="1936" windowHeight="1056" activeSheetId="2"/>
    <customWorkbookView name="Meyer, Michael - Persönliche Ansicht" guid="{68C13D92-B8D6-49ED-87BD-F1D56A18DAE6}" mergeInterval="0" personalView="1" maximized="1" xWindow="-8" yWindow="-8" windowWidth="1936" windowHeight="1056" activeSheetId="2"/>
    <customWorkbookView name="Wendler, André - Persönliche Ansicht" guid="{47C58E4F-4B0A-4F6D-9AC2-D5A8CE817A2D}" mergeInterval="0" personalView="1" windowWidth="1909" windowHeight="1080" activeSheetId="2"/>
    <customWorkbookView name="Preuss, Stephanie - Persönliche Ansicht" guid="{20DC5495-FE75-4D22-AD3C-8B82E591B4A2}" mergeInterval="0" personalView="1" yWindow="67" windowWidth="1920" windowHeight="953" activeSheetId="2"/>
    <customWorkbookView name="Pauckert, Martina - Persönliche Ansicht" guid="{1FBC8F12-DC43-44D9-90D9-A91B72085471}" mergeInterval="0" personalView="1" maximized="1" xWindow="-11" yWindow="-11" windowWidth="1942" windowHeight="1042" activeSheetId="2"/>
    <customWorkbookView name="Morgenstern, Andreas - Persönliche Ansicht" guid="{38B2E3C7-1DFA-4658-A758-B49C3FF0D76D}" mergeInterval="0" personalView="1" xWindow="85" windowWidth="1920" windowHeight="933" activeSheetId="2"/>
  </customWorkbookViews>
</workbook>
</file>

<file path=xl/calcChain.xml><?xml version="1.0" encoding="utf-8"?>
<calcChain xmlns="http://schemas.openxmlformats.org/spreadsheetml/2006/main">
  <c r="BB701" i="2" l="1"/>
  <c r="AD701" i="5"/>
  <c r="AA701" i="5"/>
  <c r="AB701" i="5"/>
  <c r="K701" i="5"/>
  <c r="L701" i="5"/>
  <c r="F701" i="5"/>
  <c r="G701" i="5"/>
  <c r="H701" i="5"/>
  <c r="I701" i="5"/>
  <c r="A701" i="5"/>
  <c r="B701" i="5"/>
  <c r="C701" i="5"/>
  <c r="D701" i="5"/>
  <c r="Y701" i="4"/>
  <c r="Z701" i="4"/>
  <c r="W701" i="4"/>
  <c r="K701" i="4"/>
  <c r="F701" i="4"/>
  <c r="G701" i="4"/>
  <c r="H701" i="4"/>
  <c r="I701" i="4"/>
  <c r="A701" i="4"/>
  <c r="B701" i="4"/>
  <c r="C701" i="4"/>
  <c r="D701" i="4"/>
  <c r="AD656" i="5" l="1"/>
  <c r="AA656" i="5"/>
  <c r="AB656" i="5"/>
  <c r="K656" i="5"/>
  <c r="L656" i="5"/>
  <c r="F656" i="5"/>
  <c r="G656" i="5"/>
  <c r="H656" i="5"/>
  <c r="I656" i="5"/>
  <c r="B656" i="5"/>
  <c r="C656" i="5"/>
  <c r="D656" i="5"/>
  <c r="Y656" i="4"/>
  <c r="Z656" i="4"/>
  <c r="W656" i="4"/>
  <c r="K656" i="4"/>
  <c r="F656" i="4"/>
  <c r="G656" i="4"/>
  <c r="H656" i="4"/>
  <c r="I656" i="4"/>
  <c r="B656" i="4"/>
  <c r="C656" i="4"/>
  <c r="D656" i="4"/>
  <c r="BB656" i="2"/>
  <c r="BK739" i="2" l="1"/>
  <c r="BK740" i="2"/>
  <c r="BK752" i="2" s="1"/>
  <c r="C84" i="10" s="1"/>
  <c r="BK753" i="2" l="1"/>
  <c r="C82" i="10" s="1"/>
  <c r="BK751" i="2"/>
  <c r="C83" i="10" s="1"/>
  <c r="AZ739" i="2"/>
  <c r="AZ751" i="2" s="1"/>
  <c r="C67" i="10" s="1"/>
  <c r="BG740" i="2" l="1"/>
  <c r="BG739" i="2"/>
  <c r="X748" i="2" l="1"/>
  <c r="C23" i="10" s="1"/>
  <c r="AU748" i="2" l="1"/>
  <c r="C60" i="10" s="1"/>
  <c r="H742" i="2"/>
  <c r="C9" i="10" s="1"/>
  <c r="E739" i="2" l="1"/>
  <c r="E751" i="2" s="1"/>
  <c r="C2" i="10" s="1"/>
  <c r="BJ739" i="2"/>
  <c r="BJ751" i="2" s="1"/>
  <c r="C81" i="10" s="1"/>
  <c r="BH740" i="2"/>
  <c r="BH739" i="2"/>
  <c r="BE740" i="2"/>
  <c r="BE739" i="2"/>
  <c r="AG751" i="2"/>
  <c r="BD740" i="2"/>
  <c r="BD739" i="2"/>
  <c r="BA742" i="2"/>
  <c r="C71" i="10" s="1"/>
  <c r="BA741" i="2"/>
  <c r="C70" i="10" s="1"/>
  <c r="BA740" i="2"/>
  <c r="C69" i="10" s="1"/>
  <c r="BA739" i="2"/>
  <c r="AV739" i="2"/>
  <c r="AV751" i="2" s="1"/>
  <c r="C63" i="10" s="1"/>
  <c r="AU750" i="2"/>
  <c r="C62" i="10" s="1"/>
  <c r="AU749" i="2"/>
  <c r="C61" i="10" s="1"/>
  <c r="AU747" i="2"/>
  <c r="C59" i="10" s="1"/>
  <c r="AU746" i="2"/>
  <c r="C58" i="10" s="1"/>
  <c r="AU745" i="2"/>
  <c r="C57" i="10" s="1"/>
  <c r="AU744" i="2"/>
  <c r="C56" i="10" s="1"/>
  <c r="AU743" i="2"/>
  <c r="C55" i="10" s="1"/>
  <c r="AU742" i="2"/>
  <c r="C54" i="10" s="1"/>
  <c r="AU741" i="2"/>
  <c r="C53" i="10" s="1"/>
  <c r="AU740" i="2"/>
  <c r="C52" i="10" s="1"/>
  <c r="AU739" i="2"/>
  <c r="C51" i="10" s="1"/>
  <c r="AS743" i="2"/>
  <c r="AS742" i="2"/>
  <c r="AS741" i="2"/>
  <c r="AS740" i="2"/>
  <c r="AS739" i="2"/>
  <c r="BI739" i="2"/>
  <c r="BI751" i="2" s="1"/>
  <c r="C80" i="10" s="1"/>
  <c r="BG751" i="2"/>
  <c r="C78" i="10" s="1"/>
  <c r="BF739" i="2"/>
  <c r="BF751" i="2" s="1"/>
  <c r="C77" i="10" s="1"/>
  <c r="BC739" i="2"/>
  <c r="BC751" i="2" s="1"/>
  <c r="C74" i="10" s="1"/>
  <c r="AY739" i="2"/>
  <c r="AY751" i="2" s="1"/>
  <c r="C66" i="10" s="1"/>
  <c r="AX739" i="2"/>
  <c r="AX751" i="2" s="1"/>
  <c r="C65" i="10" s="1"/>
  <c r="AW739" i="2"/>
  <c r="AW751" i="2" s="1"/>
  <c r="C64" i="10" s="1"/>
  <c r="AT739" i="2"/>
  <c r="AT751" i="2" s="1"/>
  <c r="AR740" i="2"/>
  <c r="AR739" i="2"/>
  <c r="AQ745" i="2"/>
  <c r="AQ744" i="2"/>
  <c r="AQ743" i="2"/>
  <c r="AQ742" i="2"/>
  <c r="AQ741" i="2"/>
  <c r="AQ740" i="2"/>
  <c r="AQ739" i="2"/>
  <c r="AO739" i="2"/>
  <c r="AO751" i="2" s="1"/>
  <c r="AL740" i="2"/>
  <c r="AL739" i="2"/>
  <c r="AK740" i="2"/>
  <c r="AK739" i="2"/>
  <c r="AG740" i="2"/>
  <c r="C37" i="10" s="1"/>
  <c r="AG739" i="2"/>
  <c r="C36" i="10" s="1"/>
  <c r="AC740" i="2"/>
  <c r="AC739" i="2"/>
  <c r="AA743" i="2"/>
  <c r="AA742" i="2"/>
  <c r="AA741" i="2"/>
  <c r="AA740" i="2"/>
  <c r="AA739" i="2"/>
  <c r="X750" i="2"/>
  <c r="C25" i="10" s="1"/>
  <c r="X749" i="2"/>
  <c r="C24" i="10" s="1"/>
  <c r="X747" i="2"/>
  <c r="C22" i="10" s="1"/>
  <c r="X746" i="2"/>
  <c r="C21" i="10" s="1"/>
  <c r="X745" i="2"/>
  <c r="C20" i="10" s="1"/>
  <c r="X744" i="2"/>
  <c r="C19" i="10" s="1"/>
  <c r="X743" i="2"/>
  <c r="C18" i="10" s="1"/>
  <c r="X742" i="2"/>
  <c r="C17" i="10" s="1"/>
  <c r="X741" i="2"/>
  <c r="C16" i="10" s="1"/>
  <c r="X740" i="2"/>
  <c r="C15" i="10" s="1"/>
  <c r="X739" i="2"/>
  <c r="C14" i="10" s="1"/>
  <c r="W739" i="2"/>
  <c r="W751" i="2" s="1"/>
  <c r="C13" i="10" s="1"/>
  <c r="U739" i="2"/>
  <c r="U751" i="2" s="1"/>
  <c r="C11" i="10" s="1"/>
  <c r="H741" i="2"/>
  <c r="C8" i="10" s="1"/>
  <c r="H740" i="2"/>
  <c r="C7" i="10" s="1"/>
  <c r="H739" i="2"/>
  <c r="C6" i="10" s="1"/>
  <c r="T739" i="2"/>
  <c r="T751" i="2" s="1"/>
  <c r="C10" i="10" s="1"/>
  <c r="V739" i="2"/>
  <c r="V751" i="2" s="1"/>
  <c r="C12" i="10" s="1"/>
  <c r="AA752" i="2" l="1"/>
  <c r="C30" i="10" s="1"/>
  <c r="AA751" i="2"/>
  <c r="C29" i="10" s="1"/>
  <c r="H751" i="2"/>
  <c r="C3" i="10" s="1"/>
  <c r="BD751" i="2"/>
  <c r="C75" i="10" s="1"/>
  <c r="BH751" i="2"/>
  <c r="C79" i="10" s="1"/>
  <c r="BE751" i="2"/>
  <c r="C76" i="10" s="1"/>
  <c r="BA751" i="2"/>
  <c r="C68" i="10" s="1"/>
  <c r="AU751" i="2"/>
  <c r="C4" i="10" s="1"/>
  <c r="AR751" i="2"/>
  <c r="C48" i="10" s="1"/>
  <c r="AP739" i="2"/>
  <c r="AP751" i="2" s="1"/>
  <c r="C46" i="10" s="1"/>
  <c r="AN739" i="2"/>
  <c r="AN751" i="2" s="1"/>
  <c r="C44" i="10" s="1"/>
  <c r="AM739" i="2"/>
  <c r="AM751" i="2" s="1"/>
  <c r="C43" i="10" s="1"/>
  <c r="AJ739" i="2"/>
  <c r="AJ751" i="2" s="1"/>
  <c r="C40" i="10" s="1"/>
  <c r="AI739" i="2"/>
  <c r="AI751" i="2" s="1"/>
  <c r="C39" i="10" s="1"/>
  <c r="AH739" i="2"/>
  <c r="AH751" i="2" s="1"/>
  <c r="C38" i="10" s="1"/>
  <c r="AF739" i="2"/>
  <c r="AF751" i="2" s="1"/>
  <c r="C35" i="10" s="1"/>
  <c r="AE739" i="2"/>
  <c r="AE751" i="2" s="1"/>
  <c r="C34" i="10" s="1"/>
  <c r="AD739" i="2"/>
  <c r="AD751" i="2" s="1"/>
  <c r="C33" i="10" s="1"/>
  <c r="AB739" i="2"/>
  <c r="AB751" i="2" s="1"/>
  <c r="C31" i="10" s="1"/>
  <c r="Z739" i="2"/>
  <c r="Z751" i="2" s="1"/>
  <c r="C28" i="10" s="1"/>
  <c r="Y739" i="2"/>
  <c r="Y751" i="2" s="1"/>
  <c r="C27" i="10" s="1"/>
  <c r="S739" i="2"/>
  <c r="S751" i="2" s="1"/>
  <c r="C5" i="10" s="1"/>
  <c r="AL751" i="2" l="1"/>
  <c r="C42" i="10" s="1"/>
  <c r="AK751" i="2"/>
  <c r="C41" i="10" s="1"/>
  <c r="AC751" i="2"/>
  <c r="C32" i="10" s="1"/>
  <c r="AA3" i="5"/>
  <c r="AA4" i="5"/>
  <c r="AA5" i="5"/>
  <c r="AA6" i="5"/>
  <c r="AA7" i="5"/>
  <c r="AA8" i="5"/>
  <c r="AA9" i="5"/>
  <c r="AA10" i="5"/>
  <c r="AA11" i="5"/>
  <c r="AA12" i="5"/>
  <c r="AA13" i="5"/>
  <c r="AA14" i="5"/>
  <c r="AA15" i="5"/>
  <c r="AA16" i="5"/>
  <c r="AA17" i="5"/>
  <c r="AA18" i="5"/>
  <c r="AA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8" i="5"/>
  <c r="AA159" i="5"/>
  <c r="AA160" i="5"/>
  <c r="AA161" i="5"/>
  <c r="AA162" i="5"/>
  <c r="AA163" i="5"/>
  <c r="AA164" i="5"/>
  <c r="AA165" i="5"/>
  <c r="AA166" i="5"/>
  <c r="AA167" i="5"/>
  <c r="AA168" i="5"/>
  <c r="AA169" i="5"/>
  <c r="AA170" i="5"/>
  <c r="AA171" i="5"/>
  <c r="AA172" i="5"/>
  <c r="AA173" i="5"/>
  <c r="AA174" i="5"/>
  <c r="AA175" i="5"/>
  <c r="AA176" i="5"/>
  <c r="AA177" i="5"/>
  <c r="AA178" i="5"/>
  <c r="AA179" i="5"/>
  <c r="AA180" i="5"/>
  <c r="AA181" i="5"/>
  <c r="AA182" i="5"/>
  <c r="AA183" i="5"/>
  <c r="AA184" i="5"/>
  <c r="AA185" i="5"/>
  <c r="AA186" i="5"/>
  <c r="AA187" i="5"/>
  <c r="AA188" i="5"/>
  <c r="AA189" i="5"/>
  <c r="AA190" i="5"/>
  <c r="AA191" i="5"/>
  <c r="AA192" i="5"/>
  <c r="AA193" i="5"/>
  <c r="AA194" i="5"/>
  <c r="AA195" i="5"/>
  <c r="AA196" i="5"/>
  <c r="AA197" i="5"/>
  <c r="AA198" i="5"/>
  <c r="AA199" i="5"/>
  <c r="AA200" i="5"/>
  <c r="AA201" i="5"/>
  <c r="AA202" i="5"/>
  <c r="AA203" i="5"/>
  <c r="AA204" i="5"/>
  <c r="AA205" i="5"/>
  <c r="AA206" i="5"/>
  <c r="AA207" i="5"/>
  <c r="AA208" i="5"/>
  <c r="AA209" i="5"/>
  <c r="AA210" i="5"/>
  <c r="AA211" i="5"/>
  <c r="AA212" i="5"/>
  <c r="AA213" i="5"/>
  <c r="AA214" i="5"/>
  <c r="AA215" i="5"/>
  <c r="AA216" i="5"/>
  <c r="AA217" i="5"/>
  <c r="AA218" i="5"/>
  <c r="AA219" i="5"/>
  <c r="AA220" i="5"/>
  <c r="AA221" i="5"/>
  <c r="AA222" i="5"/>
  <c r="AA223" i="5"/>
  <c r="AA224" i="5"/>
  <c r="AA225" i="5"/>
  <c r="AA226" i="5"/>
  <c r="AA227" i="5"/>
  <c r="AA228" i="5"/>
  <c r="AA229" i="5"/>
  <c r="AA230" i="5"/>
  <c r="AA231" i="5"/>
  <c r="AA232" i="5"/>
  <c r="AA233" i="5"/>
  <c r="AA234" i="5"/>
  <c r="AA235" i="5"/>
  <c r="AA236" i="5"/>
  <c r="AA237" i="5"/>
  <c r="AA238" i="5"/>
  <c r="AA239" i="5"/>
  <c r="AA240" i="5"/>
  <c r="AA241" i="5"/>
  <c r="AA242" i="5"/>
  <c r="AA243" i="5"/>
  <c r="AA244" i="5"/>
  <c r="AA245" i="5"/>
  <c r="AA246" i="5"/>
  <c r="AA247" i="5"/>
  <c r="AA248" i="5"/>
  <c r="AA249" i="5"/>
  <c r="AA250" i="5"/>
  <c r="AA251" i="5"/>
  <c r="AA252" i="5"/>
  <c r="AA253" i="5"/>
  <c r="AA254" i="5"/>
  <c r="AA255" i="5"/>
  <c r="AA256" i="5"/>
  <c r="AA257" i="5"/>
  <c r="AA258" i="5"/>
  <c r="AA259" i="5"/>
  <c r="AA260" i="5"/>
  <c r="AA261" i="5"/>
  <c r="AA262" i="5"/>
  <c r="AA263" i="5"/>
  <c r="AA264" i="5"/>
  <c r="AA265" i="5"/>
  <c r="AA266" i="5"/>
  <c r="AA267" i="5"/>
  <c r="AA268" i="5"/>
  <c r="AA269" i="5"/>
  <c r="AA270" i="5"/>
  <c r="AA271" i="5"/>
  <c r="AA272" i="5"/>
  <c r="AA273" i="5"/>
  <c r="AA274" i="5"/>
  <c r="AA275" i="5"/>
  <c r="AA276" i="5"/>
  <c r="AA277" i="5"/>
  <c r="AA278" i="5"/>
  <c r="AA279" i="5"/>
  <c r="AA280" i="5"/>
  <c r="AA281" i="5"/>
  <c r="AA282" i="5"/>
  <c r="AA283" i="5"/>
  <c r="AA284" i="5"/>
  <c r="AA285" i="5"/>
  <c r="AA286" i="5"/>
  <c r="AA287" i="5"/>
  <c r="AA288" i="5"/>
  <c r="AA289" i="5"/>
  <c r="AA290" i="5"/>
  <c r="AA291" i="5"/>
  <c r="AA292" i="5"/>
  <c r="AA293" i="5"/>
  <c r="AA294" i="5"/>
  <c r="AA295" i="5"/>
  <c r="AA296" i="5"/>
  <c r="AA297" i="5"/>
  <c r="AA298" i="5"/>
  <c r="AA299" i="5"/>
  <c r="AA300" i="5"/>
  <c r="AA301" i="5"/>
  <c r="AA302" i="5"/>
  <c r="AA303" i="5"/>
  <c r="AA304" i="5"/>
  <c r="AA305" i="5"/>
  <c r="AA306" i="5"/>
  <c r="AA307" i="5"/>
  <c r="AA308" i="5"/>
  <c r="AA309" i="5"/>
  <c r="AA310" i="5"/>
  <c r="AA311" i="5"/>
  <c r="AA312" i="5"/>
  <c r="AA313" i="5"/>
  <c r="AA314" i="5"/>
  <c r="AA315" i="5"/>
  <c r="AA316" i="5"/>
  <c r="AA317" i="5"/>
  <c r="AA318" i="5"/>
  <c r="AA319" i="5"/>
  <c r="AA320" i="5"/>
  <c r="AA321" i="5"/>
  <c r="AA322" i="5"/>
  <c r="AA323" i="5"/>
  <c r="AA324" i="5"/>
  <c r="AA325" i="5"/>
  <c r="AA326" i="5"/>
  <c r="AA327" i="5"/>
  <c r="AA328" i="5"/>
  <c r="AA329" i="5"/>
  <c r="AA330" i="5"/>
  <c r="AA331" i="5"/>
  <c r="AA332" i="5"/>
  <c r="AA333" i="5"/>
  <c r="AA334" i="5"/>
  <c r="AA335" i="5"/>
  <c r="AA336" i="5"/>
  <c r="AA337" i="5"/>
  <c r="AA338" i="5"/>
  <c r="AA339" i="5"/>
  <c r="AA340" i="5"/>
  <c r="AA341" i="5"/>
  <c r="AA342" i="5"/>
  <c r="AA343" i="5"/>
  <c r="AA344" i="5"/>
  <c r="AA345" i="5"/>
  <c r="AA346" i="5"/>
  <c r="AA347" i="5"/>
  <c r="AA348" i="5"/>
  <c r="AA349" i="5"/>
  <c r="AA350" i="5"/>
  <c r="AA351" i="5"/>
  <c r="AA352" i="5"/>
  <c r="AA353" i="5"/>
  <c r="AA354" i="5"/>
  <c r="AA355" i="5"/>
  <c r="AA356" i="5"/>
  <c r="AA357" i="5"/>
  <c r="AA358" i="5"/>
  <c r="AA359" i="5"/>
  <c r="AA360" i="5"/>
  <c r="AA361" i="5"/>
  <c r="AA362" i="5"/>
  <c r="AA363" i="5"/>
  <c r="AA364" i="5"/>
  <c r="AA365" i="5"/>
  <c r="AA366" i="5"/>
  <c r="AA367" i="5"/>
  <c r="AA368" i="5"/>
  <c r="AA369" i="5"/>
  <c r="AA370" i="5"/>
  <c r="AA371" i="5"/>
  <c r="AA372" i="5"/>
  <c r="AA373" i="5"/>
  <c r="AA374" i="5"/>
  <c r="AA375" i="5"/>
  <c r="AA376" i="5"/>
  <c r="AA377" i="5"/>
  <c r="AA378" i="5"/>
  <c r="AA379" i="5"/>
  <c r="AA380" i="5"/>
  <c r="AA381" i="5"/>
  <c r="AA382" i="5"/>
  <c r="AA383" i="5"/>
  <c r="AA384" i="5"/>
  <c r="AA385" i="5"/>
  <c r="AA386" i="5"/>
  <c r="AA387" i="5"/>
  <c r="AA388" i="5"/>
  <c r="AA389" i="5"/>
  <c r="AA390" i="5"/>
  <c r="AA391" i="5"/>
  <c r="AA392" i="5"/>
  <c r="AA393" i="5"/>
  <c r="AA394" i="5"/>
  <c r="AA395" i="5"/>
  <c r="AA396" i="5"/>
  <c r="AA397" i="5"/>
  <c r="AA398" i="5"/>
  <c r="AA399" i="5"/>
  <c r="AA400" i="5"/>
  <c r="AA401" i="5"/>
  <c r="AA402" i="5"/>
  <c r="AA403" i="5"/>
  <c r="AA404" i="5"/>
  <c r="AA405" i="5"/>
  <c r="AA406" i="5"/>
  <c r="AA407" i="5"/>
  <c r="AA408" i="5"/>
  <c r="AA409" i="5"/>
  <c r="AA410" i="5"/>
  <c r="AA411" i="5"/>
  <c r="AA412" i="5"/>
  <c r="AA413" i="5"/>
  <c r="AA414" i="5"/>
  <c r="AA415" i="5"/>
  <c r="AA416" i="5"/>
  <c r="AA417" i="5"/>
  <c r="AA418" i="5"/>
  <c r="AA419" i="5"/>
  <c r="AA420" i="5"/>
  <c r="AA421" i="5"/>
  <c r="AA422" i="5"/>
  <c r="AA423" i="5"/>
  <c r="AA424" i="5"/>
  <c r="AA425" i="5"/>
  <c r="AA426" i="5"/>
  <c r="AA427" i="5"/>
  <c r="AA428" i="5"/>
  <c r="AA429" i="5"/>
  <c r="AA430" i="5"/>
  <c r="AA431" i="5"/>
  <c r="AA432" i="5"/>
  <c r="AA433" i="5"/>
  <c r="AA434" i="5"/>
  <c r="AA435" i="5"/>
  <c r="AA436" i="5"/>
  <c r="AA437" i="5"/>
  <c r="AA438" i="5"/>
  <c r="AA439" i="5"/>
  <c r="AA440" i="5"/>
  <c r="AA441" i="5"/>
  <c r="AA442" i="5"/>
  <c r="AA443" i="5"/>
  <c r="AA444" i="5"/>
  <c r="AA445" i="5"/>
  <c r="AA446" i="5"/>
  <c r="AA447" i="5"/>
  <c r="AA448" i="5"/>
  <c r="AA449" i="5"/>
  <c r="AA450" i="5"/>
  <c r="AA451" i="5"/>
  <c r="AA452" i="5"/>
  <c r="AA453" i="5"/>
  <c r="AA454" i="5"/>
  <c r="AA455" i="5"/>
  <c r="AA456" i="5"/>
  <c r="AA457" i="5"/>
  <c r="AA458" i="5"/>
  <c r="AA459" i="5"/>
  <c r="AA460" i="5"/>
  <c r="AA461" i="5"/>
  <c r="AA462" i="5"/>
  <c r="AA463" i="5"/>
  <c r="AA464" i="5"/>
  <c r="AA465" i="5"/>
  <c r="AA466" i="5"/>
  <c r="AA467" i="5"/>
  <c r="AA468" i="5"/>
  <c r="AA469" i="5"/>
  <c r="AA470" i="5"/>
  <c r="AA471" i="5"/>
  <c r="AA472" i="5"/>
  <c r="AA473" i="5"/>
  <c r="AA474" i="5"/>
  <c r="AA475" i="5"/>
  <c r="AA476" i="5"/>
  <c r="AA477" i="5"/>
  <c r="AA478" i="5"/>
  <c r="AA479" i="5"/>
  <c r="AA480" i="5"/>
  <c r="AA481" i="5"/>
  <c r="AA482" i="5"/>
  <c r="AA483" i="5"/>
  <c r="AA484" i="5"/>
  <c r="AA485" i="5"/>
  <c r="AA486" i="5"/>
  <c r="AA487" i="5"/>
  <c r="AA488" i="5"/>
  <c r="AA489" i="5"/>
  <c r="AA490" i="5"/>
  <c r="AA491" i="5"/>
  <c r="AA492" i="5"/>
  <c r="AA493" i="5"/>
  <c r="AA494" i="5"/>
  <c r="AA495" i="5"/>
  <c r="AA496" i="5"/>
  <c r="AA497" i="5"/>
  <c r="AA498" i="5"/>
  <c r="AA499" i="5"/>
  <c r="AA500" i="5"/>
  <c r="AA501" i="5"/>
  <c r="AA502" i="5"/>
  <c r="AA503" i="5"/>
  <c r="AA504" i="5"/>
  <c r="AA505" i="5"/>
  <c r="AA506" i="5"/>
  <c r="AA507" i="5"/>
  <c r="AA508" i="5"/>
  <c r="AA509" i="5"/>
  <c r="AA510" i="5"/>
  <c r="AA511" i="5"/>
  <c r="AA512" i="5"/>
  <c r="AA513" i="5"/>
  <c r="AA514" i="5"/>
  <c r="AA515" i="5"/>
  <c r="AA516" i="5"/>
  <c r="AA517" i="5"/>
  <c r="AA518" i="5"/>
  <c r="AA519" i="5"/>
  <c r="AA520" i="5"/>
  <c r="AA521" i="5"/>
  <c r="AA522" i="5"/>
  <c r="AA523" i="5"/>
  <c r="AA524" i="5"/>
  <c r="AA525" i="5"/>
  <c r="AA526" i="5"/>
  <c r="AA527" i="5"/>
  <c r="AA528" i="5"/>
  <c r="AA529" i="5"/>
  <c r="AA530" i="5"/>
  <c r="AA531" i="5"/>
  <c r="AA532" i="5"/>
  <c r="AA533" i="5"/>
  <c r="AA534" i="5"/>
  <c r="AA535" i="5"/>
  <c r="AA536" i="5"/>
  <c r="AA537" i="5"/>
  <c r="AA538" i="5"/>
  <c r="AA539" i="5"/>
  <c r="AA540" i="5"/>
  <c r="AA541" i="5"/>
  <c r="AA542" i="5"/>
  <c r="AA543" i="5"/>
  <c r="AA544" i="5"/>
  <c r="AA545" i="5"/>
  <c r="AA546" i="5"/>
  <c r="AA547" i="5"/>
  <c r="AA548" i="5"/>
  <c r="AA549" i="5"/>
  <c r="AA550" i="5"/>
  <c r="AA551" i="5"/>
  <c r="AA552" i="5"/>
  <c r="AA553" i="5"/>
  <c r="AA554" i="5"/>
  <c r="AA555" i="5"/>
  <c r="AA556" i="5"/>
  <c r="AA557" i="5"/>
  <c r="AA558" i="5"/>
  <c r="AA559" i="5"/>
  <c r="AA560" i="5"/>
  <c r="AA561" i="5"/>
  <c r="AA562" i="5"/>
  <c r="AA563" i="5"/>
  <c r="AA564" i="5"/>
  <c r="AA565" i="5"/>
  <c r="AA566" i="5"/>
  <c r="AA567" i="5"/>
  <c r="AA568" i="5"/>
  <c r="AA569" i="5"/>
  <c r="AA570" i="5"/>
  <c r="AA571" i="5"/>
  <c r="AA572" i="5"/>
  <c r="AA573" i="5"/>
  <c r="AA574" i="5"/>
  <c r="AA575" i="5"/>
  <c r="AA576" i="5"/>
  <c r="AA577" i="5"/>
  <c r="AA578" i="5"/>
  <c r="AA579" i="5"/>
  <c r="AA580" i="5"/>
  <c r="AA581" i="5"/>
  <c r="AA582" i="5"/>
  <c r="AA583" i="5"/>
  <c r="AA584" i="5"/>
  <c r="AA585" i="5"/>
  <c r="AA586" i="5"/>
  <c r="AA587" i="5"/>
  <c r="AA588" i="5"/>
  <c r="AA589" i="5"/>
  <c r="AA590" i="5"/>
  <c r="AA591" i="5"/>
  <c r="AA592" i="5"/>
  <c r="AA593" i="5"/>
  <c r="AA594" i="5"/>
  <c r="AA595" i="5"/>
  <c r="AA596" i="5"/>
  <c r="AA597" i="5"/>
  <c r="AA598" i="5"/>
  <c r="AA599" i="5"/>
  <c r="AA600" i="5"/>
  <c r="AA601" i="5"/>
  <c r="AA602" i="5"/>
  <c r="AA603" i="5"/>
  <c r="AA604" i="5"/>
  <c r="AA605" i="5"/>
  <c r="AA606" i="5"/>
  <c r="AA607" i="5"/>
  <c r="AA608" i="5"/>
  <c r="AA609" i="5"/>
  <c r="AA610" i="5"/>
  <c r="AA611" i="5"/>
  <c r="AA612" i="5"/>
  <c r="AA613" i="5"/>
  <c r="AA614" i="5"/>
  <c r="AA615" i="5"/>
  <c r="AA616" i="5"/>
  <c r="AA617" i="5"/>
  <c r="AA618" i="5"/>
  <c r="AA619" i="5"/>
  <c r="AA620" i="5"/>
  <c r="AA621" i="5"/>
  <c r="AA622" i="5"/>
  <c r="AA623" i="5"/>
  <c r="AA624" i="5"/>
  <c r="AA625" i="5"/>
  <c r="AA626" i="5"/>
  <c r="AA627" i="5"/>
  <c r="AA628" i="5"/>
  <c r="AA629" i="5"/>
  <c r="AA630" i="5"/>
  <c r="AA631" i="5"/>
  <c r="AA632" i="5"/>
  <c r="AA633" i="5"/>
  <c r="AA634" i="5"/>
  <c r="AA635" i="5"/>
  <c r="AA636" i="5"/>
  <c r="AA637" i="5"/>
  <c r="AA638" i="5"/>
  <c r="AA639" i="5"/>
  <c r="AA640" i="5"/>
  <c r="AA641" i="5"/>
  <c r="AA642" i="5"/>
  <c r="AA643" i="5"/>
  <c r="AA644" i="5"/>
  <c r="AA645" i="5"/>
  <c r="AA646" i="5"/>
  <c r="AA647" i="5"/>
  <c r="AA648" i="5"/>
  <c r="AA649" i="5"/>
  <c r="AA650" i="5"/>
  <c r="AA651" i="5"/>
  <c r="AA652" i="5"/>
  <c r="AA653" i="5"/>
  <c r="AA654" i="5"/>
  <c r="AA655" i="5"/>
  <c r="AA657" i="5"/>
  <c r="AA658" i="5"/>
  <c r="AA659" i="5"/>
  <c r="AA660" i="5"/>
  <c r="AA661" i="5"/>
  <c r="AA662" i="5"/>
  <c r="AA663" i="5"/>
  <c r="AA664" i="5"/>
  <c r="AA665" i="5"/>
  <c r="AA666" i="5"/>
  <c r="AA667" i="5"/>
  <c r="AA668" i="5"/>
  <c r="AA669" i="5"/>
  <c r="AA670" i="5"/>
  <c r="AA671" i="5"/>
  <c r="AA672" i="5"/>
  <c r="AA673" i="5"/>
  <c r="AA674" i="5"/>
  <c r="AA675" i="5"/>
  <c r="AA676" i="5"/>
  <c r="AA677" i="5"/>
  <c r="AA678" i="5"/>
  <c r="AA679" i="5"/>
  <c r="AA680" i="5"/>
  <c r="AA681" i="5"/>
  <c r="AA682" i="5"/>
  <c r="AA683" i="5"/>
  <c r="AA684" i="5"/>
  <c r="AA685" i="5"/>
  <c r="AA686" i="5"/>
  <c r="AA687" i="5"/>
  <c r="AA688" i="5"/>
  <c r="AA689" i="5"/>
  <c r="AA690" i="5"/>
  <c r="AA691" i="5"/>
  <c r="AA692" i="5"/>
  <c r="AA693" i="5"/>
  <c r="AA694" i="5"/>
  <c r="AA695" i="5"/>
  <c r="AA696" i="5"/>
  <c r="AA697" i="5"/>
  <c r="AA698" i="5"/>
  <c r="AA699" i="5"/>
  <c r="AA700" i="5"/>
  <c r="AA702" i="5"/>
  <c r="AA703" i="5"/>
  <c r="AA704" i="5"/>
  <c r="AA705" i="5"/>
  <c r="AA706" i="5"/>
  <c r="AA707" i="5"/>
  <c r="AA708" i="5"/>
  <c r="AA709" i="5"/>
  <c r="AA710" i="5"/>
  <c r="AA711" i="5"/>
  <c r="AA712" i="5"/>
  <c r="AA713" i="5"/>
  <c r="AA714" i="5"/>
  <c r="AA715" i="5"/>
  <c r="AA716" i="5"/>
  <c r="AA717" i="5"/>
  <c r="AA718" i="5"/>
  <c r="AA719" i="5"/>
  <c r="AA720" i="5"/>
  <c r="AA721" i="5"/>
  <c r="AA722" i="5"/>
  <c r="AA723" i="5"/>
  <c r="AA724" i="5"/>
  <c r="AA725" i="5"/>
  <c r="AA726" i="5"/>
  <c r="AA727" i="5"/>
  <c r="AA728" i="5"/>
  <c r="AA729" i="5"/>
  <c r="AA730" i="5"/>
  <c r="AA731" i="5"/>
  <c r="AA732" i="5"/>
  <c r="AA733" i="5"/>
  <c r="AA734" i="5"/>
  <c r="AA735" i="5"/>
  <c r="AA736" i="5"/>
  <c r="AA737" i="5"/>
  <c r="AA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2"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3" i="5"/>
  <c r="F4" i="5"/>
  <c r="F5" i="5"/>
  <c r="F6" i="5"/>
  <c r="F7" i="5"/>
  <c r="F8" i="5"/>
  <c r="F9" i="5"/>
  <c r="F10" i="5"/>
  <c r="F11" i="5"/>
  <c r="F12" i="5"/>
  <c r="F13" i="5"/>
  <c r="F14" i="5"/>
  <c r="F15" i="5"/>
  <c r="F16" i="5"/>
  <c r="F2" i="5"/>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2" i="4"/>
  <c r="BB21" i="2" l="1"/>
  <c r="BB22" i="2"/>
  <c r="BB23" i="2"/>
  <c r="BB24" i="2"/>
  <c r="BB25" i="2"/>
  <c r="BB26" i="2"/>
  <c r="BB27" i="2"/>
  <c r="BB28" i="2"/>
  <c r="BB29" i="2"/>
  <c r="BB30" i="2"/>
  <c r="BB31" i="2"/>
  <c r="BB32" i="2"/>
  <c r="BB33" i="2"/>
  <c r="BB34" i="2"/>
  <c r="BB35" i="2"/>
  <c r="BB36" i="2"/>
  <c r="BB37" i="2"/>
  <c r="BB38" i="2"/>
  <c r="BB39" i="2"/>
  <c r="BB40" i="2"/>
  <c r="BB41" i="2"/>
  <c r="BB42" i="2"/>
  <c r="BB43" i="2"/>
  <c r="BB44" i="2"/>
  <c r="BB45" i="2"/>
  <c r="BB46" i="2"/>
  <c r="BB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6" i="2"/>
  <c r="BB227" i="2"/>
  <c r="BB228" i="2"/>
  <c r="BB229" i="2"/>
  <c r="BB230" i="2"/>
  <c r="BB231" i="2"/>
  <c r="BB232" i="2"/>
  <c r="BB233" i="2"/>
  <c r="BB234" i="2"/>
  <c r="BB235" i="2"/>
  <c r="BB236" i="2"/>
  <c r="BB237" i="2"/>
  <c r="BB238" i="2"/>
  <c r="BB239" i="2"/>
  <c r="BB240" i="2"/>
  <c r="BB241" i="2"/>
  <c r="BB242" i="2"/>
  <c r="BB243" i="2"/>
  <c r="BB244" i="2"/>
  <c r="BB245" i="2"/>
  <c r="BB246" i="2"/>
  <c r="BB247" i="2"/>
  <c r="BB248" i="2"/>
  <c r="BB249" i="2"/>
  <c r="BB250" i="2"/>
  <c r="BB251" i="2"/>
  <c r="BB252" i="2"/>
  <c r="BB253" i="2"/>
  <c r="BB254" i="2"/>
  <c r="BB255" i="2"/>
  <c r="BB256" i="2"/>
  <c r="BB257" i="2"/>
  <c r="BB258" i="2"/>
  <c r="BB259" i="2"/>
  <c r="BB260" i="2"/>
  <c r="BB261" i="2"/>
  <c r="BB262" i="2"/>
  <c r="BB263" i="2"/>
  <c r="BB264" i="2"/>
  <c r="BB265" i="2"/>
  <c r="BB266" i="2"/>
  <c r="BB267" i="2"/>
  <c r="BB268" i="2"/>
  <c r="BB269" i="2"/>
  <c r="BB270" i="2"/>
  <c r="BB271" i="2"/>
  <c r="BB272" i="2"/>
  <c r="BB273" i="2"/>
  <c r="BB274" i="2"/>
  <c r="BB275" i="2"/>
  <c r="BB276" i="2"/>
  <c r="BB277" i="2"/>
  <c r="BB278" i="2"/>
  <c r="BB279" i="2"/>
  <c r="BB280" i="2"/>
  <c r="BB281" i="2"/>
  <c r="BB282" i="2"/>
  <c r="BB283" i="2"/>
  <c r="BB284" i="2"/>
  <c r="BB285" i="2"/>
  <c r="BB286" i="2"/>
  <c r="BB287" i="2"/>
  <c r="BB288" i="2"/>
  <c r="BB289" i="2"/>
  <c r="BB290" i="2"/>
  <c r="BB291" i="2"/>
  <c r="BB292" i="2"/>
  <c r="BB293" i="2"/>
  <c r="BB294" i="2"/>
  <c r="BB295" i="2"/>
  <c r="BB296" i="2"/>
  <c r="BB297" i="2"/>
  <c r="BB298" i="2"/>
  <c r="BB299" i="2"/>
  <c r="BB300" i="2"/>
  <c r="BB301" i="2"/>
  <c r="BB302" i="2"/>
  <c r="BB303" i="2"/>
  <c r="BB304" i="2"/>
  <c r="BB305" i="2"/>
  <c r="BB306" i="2"/>
  <c r="BB307" i="2"/>
  <c r="BB308" i="2"/>
  <c r="BB309" i="2"/>
  <c r="BB310" i="2"/>
  <c r="BB311" i="2"/>
  <c r="BB312" i="2"/>
  <c r="BB313" i="2"/>
  <c r="BB314" i="2"/>
  <c r="BB315" i="2"/>
  <c r="BB316" i="2"/>
  <c r="BB317" i="2"/>
  <c r="BB318" i="2"/>
  <c r="BB319" i="2"/>
  <c r="BB320" i="2"/>
  <c r="BB321" i="2"/>
  <c r="BB322" i="2"/>
  <c r="BB323" i="2"/>
  <c r="BB324" i="2"/>
  <c r="BB325" i="2"/>
  <c r="BB326" i="2"/>
  <c r="BB327" i="2"/>
  <c r="BB328" i="2"/>
  <c r="BB329" i="2"/>
  <c r="BB330" i="2"/>
  <c r="BB331" i="2"/>
  <c r="BB332" i="2"/>
  <c r="BB333"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4" i="2"/>
  <c r="BB365" i="2"/>
  <c r="BB366" i="2"/>
  <c r="BB367" i="2"/>
  <c r="BB368" i="2"/>
  <c r="BB369" i="2"/>
  <c r="BB370" i="2"/>
  <c r="BB371" i="2"/>
  <c r="BB372" i="2"/>
  <c r="BB373" i="2"/>
  <c r="BB374" i="2"/>
  <c r="BB375" i="2"/>
  <c r="BB376" i="2"/>
  <c r="BB377" i="2"/>
  <c r="BB378" i="2"/>
  <c r="BB379" i="2"/>
  <c r="BB380" i="2"/>
  <c r="BB381" i="2"/>
  <c r="BB382" i="2"/>
  <c r="BB383" i="2"/>
  <c r="BB384" i="2"/>
  <c r="BB385" i="2"/>
  <c r="BB386" i="2"/>
  <c r="BB387" i="2"/>
  <c r="BB388" i="2"/>
  <c r="BB389" i="2"/>
  <c r="BB390" i="2"/>
  <c r="BB391" i="2"/>
  <c r="BB392" i="2"/>
  <c r="BB393" i="2"/>
  <c r="BB394" i="2"/>
  <c r="BB395" i="2"/>
  <c r="BB396" i="2"/>
  <c r="BB397" i="2"/>
  <c r="BB398" i="2"/>
  <c r="BB399" i="2"/>
  <c r="BB400" i="2"/>
  <c r="BB401" i="2"/>
  <c r="BB402" i="2"/>
  <c r="BB40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3" i="2"/>
  <c r="BB4" i="2"/>
  <c r="BB5" i="2"/>
  <c r="BB6" i="2"/>
  <c r="BB7" i="2"/>
  <c r="BB8" i="2"/>
  <c r="BB9" i="2"/>
  <c r="BB10" i="2"/>
  <c r="BB11" i="2"/>
  <c r="BB12" i="2"/>
  <c r="BB13" i="2"/>
  <c r="BB14" i="2"/>
  <c r="BB15" i="2"/>
  <c r="BB16" i="2"/>
  <c r="BB17" i="2"/>
  <c r="BB18" i="2"/>
  <c r="BB19" i="2"/>
  <c r="BB20" i="2"/>
  <c r="BB2" i="2"/>
  <c r="BB751" i="2" l="1"/>
  <c r="C73" i="10" s="1"/>
  <c r="AQ751" i="2"/>
  <c r="C47" i="10" s="1"/>
  <c r="G3" i="5"/>
  <c r="I3" i="5"/>
  <c r="K3" i="5"/>
  <c r="L3" i="5"/>
  <c r="AB3" i="5"/>
  <c r="AD3" i="5"/>
  <c r="G4" i="5"/>
  <c r="I4" i="5"/>
  <c r="K4" i="5"/>
  <c r="L4" i="5"/>
  <c r="AB4" i="5"/>
  <c r="AD4" i="5"/>
  <c r="G5" i="5"/>
  <c r="I5" i="5"/>
  <c r="K5" i="5"/>
  <c r="L5" i="5"/>
  <c r="AB5" i="5"/>
  <c r="AD5" i="5"/>
  <c r="G6" i="5"/>
  <c r="I6" i="5"/>
  <c r="K6" i="5"/>
  <c r="L6" i="5"/>
  <c r="AB6" i="5"/>
  <c r="AD6" i="5"/>
  <c r="G7" i="5"/>
  <c r="I7" i="5"/>
  <c r="K7" i="5"/>
  <c r="L7" i="5"/>
  <c r="AB7" i="5"/>
  <c r="AD7" i="5"/>
  <c r="G8" i="5"/>
  <c r="I8" i="5"/>
  <c r="K8" i="5"/>
  <c r="L8" i="5"/>
  <c r="AB8" i="5"/>
  <c r="AD8" i="5"/>
  <c r="G9" i="5"/>
  <c r="I9" i="5"/>
  <c r="K9" i="5"/>
  <c r="L9" i="5"/>
  <c r="AB9" i="5"/>
  <c r="AD9" i="5"/>
  <c r="G10" i="5"/>
  <c r="I10" i="5"/>
  <c r="K10" i="5"/>
  <c r="L10" i="5"/>
  <c r="AB10" i="5"/>
  <c r="AD10" i="5"/>
  <c r="G11" i="5"/>
  <c r="I11" i="5"/>
  <c r="K11" i="5"/>
  <c r="L11" i="5"/>
  <c r="AB11" i="5"/>
  <c r="AD11" i="5"/>
  <c r="G12" i="5"/>
  <c r="I12" i="5"/>
  <c r="K12" i="5"/>
  <c r="L12" i="5"/>
  <c r="AB12" i="5"/>
  <c r="AD12" i="5"/>
  <c r="G13" i="5"/>
  <c r="I13" i="5"/>
  <c r="K13" i="5"/>
  <c r="L13" i="5"/>
  <c r="AB13" i="5"/>
  <c r="AD13" i="5"/>
  <c r="G14" i="5"/>
  <c r="I14" i="5"/>
  <c r="K14" i="5"/>
  <c r="L14" i="5"/>
  <c r="AB14" i="5"/>
  <c r="AD14" i="5"/>
  <c r="G15" i="5"/>
  <c r="I15" i="5"/>
  <c r="K15" i="5"/>
  <c r="L15" i="5"/>
  <c r="AB15" i="5"/>
  <c r="AD15" i="5"/>
  <c r="G16" i="5"/>
  <c r="I16" i="5"/>
  <c r="K16" i="5"/>
  <c r="L16" i="5"/>
  <c r="AB16" i="5"/>
  <c r="AD16" i="5"/>
  <c r="G17" i="5"/>
  <c r="I17" i="5"/>
  <c r="K17" i="5"/>
  <c r="L17" i="5"/>
  <c r="AB17" i="5"/>
  <c r="AD17" i="5"/>
  <c r="G18" i="5"/>
  <c r="I18" i="5"/>
  <c r="K18" i="5"/>
  <c r="L18" i="5"/>
  <c r="AB18" i="5"/>
  <c r="AD18" i="5"/>
  <c r="G19" i="5"/>
  <c r="I19" i="5"/>
  <c r="K19" i="5"/>
  <c r="L19" i="5"/>
  <c r="AB19" i="5"/>
  <c r="AD19" i="5"/>
  <c r="G20" i="5"/>
  <c r="I20" i="5"/>
  <c r="K20" i="5"/>
  <c r="L20" i="5"/>
  <c r="AB20" i="5"/>
  <c r="AD20" i="5"/>
  <c r="G21" i="5"/>
  <c r="I21" i="5"/>
  <c r="K21" i="5"/>
  <c r="L21" i="5"/>
  <c r="AB21" i="5"/>
  <c r="AD21" i="5"/>
  <c r="G22" i="5"/>
  <c r="I22" i="5"/>
  <c r="K22" i="5"/>
  <c r="L22" i="5"/>
  <c r="AB22" i="5"/>
  <c r="AD22" i="5"/>
  <c r="G23" i="5"/>
  <c r="I23" i="5"/>
  <c r="K23" i="5"/>
  <c r="L23" i="5"/>
  <c r="AB23" i="5"/>
  <c r="AD23" i="5"/>
  <c r="G24" i="5"/>
  <c r="I24" i="5"/>
  <c r="K24" i="5"/>
  <c r="L24" i="5"/>
  <c r="AB24" i="5"/>
  <c r="AD24" i="5"/>
  <c r="G25" i="5"/>
  <c r="I25" i="5"/>
  <c r="K25" i="5"/>
  <c r="L25" i="5"/>
  <c r="AB25" i="5"/>
  <c r="AD25" i="5"/>
  <c r="G26" i="5"/>
  <c r="I26" i="5"/>
  <c r="K26" i="5"/>
  <c r="L26" i="5"/>
  <c r="AB26" i="5"/>
  <c r="AD26" i="5"/>
  <c r="G27" i="5"/>
  <c r="I27" i="5"/>
  <c r="K27" i="5"/>
  <c r="L27" i="5"/>
  <c r="AB27" i="5"/>
  <c r="AD27" i="5"/>
  <c r="G28" i="5"/>
  <c r="I28" i="5"/>
  <c r="K28" i="5"/>
  <c r="L28" i="5"/>
  <c r="AB28" i="5"/>
  <c r="AD28" i="5"/>
  <c r="G29" i="5"/>
  <c r="I29" i="5"/>
  <c r="K29" i="5"/>
  <c r="L29" i="5"/>
  <c r="AB29" i="5"/>
  <c r="AD29" i="5"/>
  <c r="G30" i="5"/>
  <c r="I30" i="5"/>
  <c r="K30" i="5"/>
  <c r="L30" i="5"/>
  <c r="AB30" i="5"/>
  <c r="AD30" i="5"/>
  <c r="G31" i="5"/>
  <c r="I31" i="5"/>
  <c r="K31" i="5"/>
  <c r="L31" i="5"/>
  <c r="AB31" i="5"/>
  <c r="AD31" i="5"/>
  <c r="G32" i="5"/>
  <c r="I32" i="5"/>
  <c r="K32" i="5"/>
  <c r="L32" i="5"/>
  <c r="AB32" i="5"/>
  <c r="AD32" i="5"/>
  <c r="G33" i="5"/>
  <c r="I33" i="5"/>
  <c r="K33" i="5"/>
  <c r="L33" i="5"/>
  <c r="AB33" i="5"/>
  <c r="AD33" i="5"/>
  <c r="G34" i="5"/>
  <c r="I34" i="5"/>
  <c r="K34" i="5"/>
  <c r="L34" i="5"/>
  <c r="AB34" i="5"/>
  <c r="AD34" i="5"/>
  <c r="G35" i="5"/>
  <c r="I35" i="5"/>
  <c r="K35" i="5"/>
  <c r="L35" i="5"/>
  <c r="AB35" i="5"/>
  <c r="AD35" i="5"/>
  <c r="G36" i="5"/>
  <c r="I36" i="5"/>
  <c r="K36" i="5"/>
  <c r="L36" i="5"/>
  <c r="AB36" i="5"/>
  <c r="AD36" i="5"/>
  <c r="G37" i="5"/>
  <c r="I37" i="5"/>
  <c r="K37" i="5"/>
  <c r="L37" i="5"/>
  <c r="AB37" i="5"/>
  <c r="AD37" i="5"/>
  <c r="G38" i="5"/>
  <c r="I38" i="5"/>
  <c r="K38" i="5"/>
  <c r="L38" i="5"/>
  <c r="AB38" i="5"/>
  <c r="AD38" i="5"/>
  <c r="G39" i="5"/>
  <c r="I39" i="5"/>
  <c r="K39" i="5"/>
  <c r="L39" i="5"/>
  <c r="AB39" i="5"/>
  <c r="AD39" i="5"/>
  <c r="G40" i="5"/>
  <c r="I40" i="5"/>
  <c r="K40" i="5"/>
  <c r="L40" i="5"/>
  <c r="AB40" i="5"/>
  <c r="AD40" i="5"/>
  <c r="G41" i="5"/>
  <c r="I41" i="5"/>
  <c r="K41" i="5"/>
  <c r="L41" i="5"/>
  <c r="AB41" i="5"/>
  <c r="AD41" i="5"/>
  <c r="G42" i="5"/>
  <c r="I42" i="5"/>
  <c r="K42" i="5"/>
  <c r="L42" i="5"/>
  <c r="AB42" i="5"/>
  <c r="AD42" i="5"/>
  <c r="G43" i="5"/>
  <c r="I43" i="5"/>
  <c r="K43" i="5"/>
  <c r="L43" i="5"/>
  <c r="AB43" i="5"/>
  <c r="AD43" i="5"/>
  <c r="G44" i="5"/>
  <c r="I44" i="5"/>
  <c r="K44" i="5"/>
  <c r="L44" i="5"/>
  <c r="AB44" i="5"/>
  <c r="AD44" i="5"/>
  <c r="G45" i="5"/>
  <c r="I45" i="5"/>
  <c r="K45" i="5"/>
  <c r="L45" i="5"/>
  <c r="AB45" i="5"/>
  <c r="AD45" i="5"/>
  <c r="G46" i="5"/>
  <c r="I46" i="5"/>
  <c r="K46" i="5"/>
  <c r="L46" i="5"/>
  <c r="AB46" i="5"/>
  <c r="AD46" i="5"/>
  <c r="G47" i="5"/>
  <c r="I47" i="5"/>
  <c r="K47" i="5"/>
  <c r="L47" i="5"/>
  <c r="AB47" i="5"/>
  <c r="AD47" i="5"/>
  <c r="G48" i="5"/>
  <c r="I48" i="5"/>
  <c r="K48" i="5"/>
  <c r="L48" i="5"/>
  <c r="AB48" i="5"/>
  <c r="AD48" i="5"/>
  <c r="G49" i="5"/>
  <c r="I49" i="5"/>
  <c r="K49" i="5"/>
  <c r="L49" i="5"/>
  <c r="AB49" i="5"/>
  <c r="AD49" i="5"/>
  <c r="G50" i="5"/>
  <c r="I50" i="5"/>
  <c r="K50" i="5"/>
  <c r="L50" i="5"/>
  <c r="AB50" i="5"/>
  <c r="AD50" i="5"/>
  <c r="G51" i="5"/>
  <c r="I51" i="5"/>
  <c r="K51" i="5"/>
  <c r="L51" i="5"/>
  <c r="AB51" i="5"/>
  <c r="AD51" i="5"/>
  <c r="G52" i="5"/>
  <c r="I52" i="5"/>
  <c r="K52" i="5"/>
  <c r="L52" i="5"/>
  <c r="AB52" i="5"/>
  <c r="AD52" i="5"/>
  <c r="G53" i="5"/>
  <c r="I53" i="5"/>
  <c r="K53" i="5"/>
  <c r="L53" i="5"/>
  <c r="AB53" i="5"/>
  <c r="AD53" i="5"/>
  <c r="G54" i="5"/>
  <c r="I54" i="5"/>
  <c r="K54" i="5"/>
  <c r="L54" i="5"/>
  <c r="AB54" i="5"/>
  <c r="AD54" i="5"/>
  <c r="G55" i="5"/>
  <c r="I55" i="5"/>
  <c r="K55" i="5"/>
  <c r="L55" i="5"/>
  <c r="AB55" i="5"/>
  <c r="AD55" i="5"/>
  <c r="G56" i="5"/>
  <c r="I56" i="5"/>
  <c r="K56" i="5"/>
  <c r="L56" i="5"/>
  <c r="AB56" i="5"/>
  <c r="AD56" i="5"/>
  <c r="G57" i="5"/>
  <c r="I57" i="5"/>
  <c r="K57" i="5"/>
  <c r="L57" i="5"/>
  <c r="AB57" i="5"/>
  <c r="AD57" i="5"/>
  <c r="G58" i="5"/>
  <c r="I58" i="5"/>
  <c r="K58" i="5"/>
  <c r="L58" i="5"/>
  <c r="AB58" i="5"/>
  <c r="AD58" i="5"/>
  <c r="G59" i="5"/>
  <c r="I59" i="5"/>
  <c r="K59" i="5"/>
  <c r="L59" i="5"/>
  <c r="AB59" i="5"/>
  <c r="AD59" i="5"/>
  <c r="G60" i="5"/>
  <c r="I60" i="5"/>
  <c r="K60" i="5"/>
  <c r="L60" i="5"/>
  <c r="AB60" i="5"/>
  <c r="AD60" i="5"/>
  <c r="G61" i="5"/>
  <c r="I61" i="5"/>
  <c r="K61" i="5"/>
  <c r="L61" i="5"/>
  <c r="AB61" i="5"/>
  <c r="AD61" i="5"/>
  <c r="G62" i="5"/>
  <c r="I62" i="5"/>
  <c r="K62" i="5"/>
  <c r="L62" i="5"/>
  <c r="AB62" i="5"/>
  <c r="AD62" i="5"/>
  <c r="G63" i="5"/>
  <c r="I63" i="5"/>
  <c r="K63" i="5"/>
  <c r="L63" i="5"/>
  <c r="AB63" i="5"/>
  <c r="AD63" i="5"/>
  <c r="G64" i="5"/>
  <c r="I64" i="5"/>
  <c r="K64" i="5"/>
  <c r="L64" i="5"/>
  <c r="AB64" i="5"/>
  <c r="AD64" i="5"/>
  <c r="G65" i="5"/>
  <c r="I65" i="5"/>
  <c r="K65" i="5"/>
  <c r="L65" i="5"/>
  <c r="AB65" i="5"/>
  <c r="AD65" i="5"/>
  <c r="G66" i="5"/>
  <c r="I66" i="5"/>
  <c r="K66" i="5"/>
  <c r="L66" i="5"/>
  <c r="AB66" i="5"/>
  <c r="AD66" i="5"/>
  <c r="G67" i="5"/>
  <c r="I67" i="5"/>
  <c r="K67" i="5"/>
  <c r="L67" i="5"/>
  <c r="AB67" i="5"/>
  <c r="AD67" i="5"/>
  <c r="G68" i="5"/>
  <c r="I68" i="5"/>
  <c r="K68" i="5"/>
  <c r="L68" i="5"/>
  <c r="AB68" i="5"/>
  <c r="AD68" i="5"/>
  <c r="G69" i="5"/>
  <c r="I69" i="5"/>
  <c r="K69" i="5"/>
  <c r="L69" i="5"/>
  <c r="AB69" i="5"/>
  <c r="AD69" i="5"/>
  <c r="G70" i="5"/>
  <c r="I70" i="5"/>
  <c r="K70" i="5"/>
  <c r="L70" i="5"/>
  <c r="AB70" i="5"/>
  <c r="AD70" i="5"/>
  <c r="G71" i="5"/>
  <c r="I71" i="5"/>
  <c r="K71" i="5"/>
  <c r="L71" i="5"/>
  <c r="AB71" i="5"/>
  <c r="AD71" i="5"/>
  <c r="G72" i="5"/>
  <c r="I72" i="5"/>
  <c r="K72" i="5"/>
  <c r="L72" i="5"/>
  <c r="AB72" i="5"/>
  <c r="AD72" i="5"/>
  <c r="G73" i="5"/>
  <c r="I73" i="5"/>
  <c r="K73" i="5"/>
  <c r="L73" i="5"/>
  <c r="AB73" i="5"/>
  <c r="AD73" i="5"/>
  <c r="G74" i="5"/>
  <c r="I74" i="5"/>
  <c r="K74" i="5"/>
  <c r="L74" i="5"/>
  <c r="AB74" i="5"/>
  <c r="AD74" i="5"/>
  <c r="G75" i="5"/>
  <c r="I75" i="5"/>
  <c r="K75" i="5"/>
  <c r="L75" i="5"/>
  <c r="AB75" i="5"/>
  <c r="AD75" i="5"/>
  <c r="G76" i="5"/>
  <c r="I76" i="5"/>
  <c r="K76" i="5"/>
  <c r="L76" i="5"/>
  <c r="AB76" i="5"/>
  <c r="AD76" i="5"/>
  <c r="G77" i="5"/>
  <c r="I77" i="5"/>
  <c r="K77" i="5"/>
  <c r="L77" i="5"/>
  <c r="AB77" i="5"/>
  <c r="AD77" i="5"/>
  <c r="G78" i="5"/>
  <c r="I78" i="5"/>
  <c r="K78" i="5"/>
  <c r="L78" i="5"/>
  <c r="AB78" i="5"/>
  <c r="AD78" i="5"/>
  <c r="G79" i="5"/>
  <c r="I79" i="5"/>
  <c r="K79" i="5"/>
  <c r="L79" i="5"/>
  <c r="AB79" i="5"/>
  <c r="AD79" i="5"/>
  <c r="G80" i="5"/>
  <c r="I80" i="5"/>
  <c r="K80" i="5"/>
  <c r="L80" i="5"/>
  <c r="AB80" i="5"/>
  <c r="AD80" i="5"/>
  <c r="G81" i="5"/>
  <c r="I81" i="5"/>
  <c r="K81" i="5"/>
  <c r="L81" i="5"/>
  <c r="AB81" i="5"/>
  <c r="AD81" i="5"/>
  <c r="G82" i="5"/>
  <c r="I82" i="5"/>
  <c r="K82" i="5"/>
  <c r="L82" i="5"/>
  <c r="AB82" i="5"/>
  <c r="AD82" i="5"/>
  <c r="G83" i="5"/>
  <c r="I83" i="5"/>
  <c r="K83" i="5"/>
  <c r="L83" i="5"/>
  <c r="AB83" i="5"/>
  <c r="AD83" i="5"/>
  <c r="G84" i="5"/>
  <c r="I84" i="5"/>
  <c r="K84" i="5"/>
  <c r="L84" i="5"/>
  <c r="AB84" i="5"/>
  <c r="AD84" i="5"/>
  <c r="G85" i="5"/>
  <c r="I85" i="5"/>
  <c r="K85" i="5"/>
  <c r="L85" i="5"/>
  <c r="AB85" i="5"/>
  <c r="AD85" i="5"/>
  <c r="G86" i="5"/>
  <c r="I86" i="5"/>
  <c r="K86" i="5"/>
  <c r="L86" i="5"/>
  <c r="AB86" i="5"/>
  <c r="AD86" i="5"/>
  <c r="G87" i="5"/>
  <c r="I87" i="5"/>
  <c r="K87" i="5"/>
  <c r="L87" i="5"/>
  <c r="AB87" i="5"/>
  <c r="AD87" i="5"/>
  <c r="G88" i="5"/>
  <c r="I88" i="5"/>
  <c r="K88" i="5"/>
  <c r="L88" i="5"/>
  <c r="AB88" i="5"/>
  <c r="AD88" i="5"/>
  <c r="G89" i="5"/>
  <c r="I89" i="5"/>
  <c r="K89" i="5"/>
  <c r="L89" i="5"/>
  <c r="AB89" i="5"/>
  <c r="AD89" i="5"/>
  <c r="G90" i="5"/>
  <c r="I90" i="5"/>
  <c r="K90" i="5"/>
  <c r="L90" i="5"/>
  <c r="AB90" i="5"/>
  <c r="AD90" i="5"/>
  <c r="G91" i="5"/>
  <c r="I91" i="5"/>
  <c r="K91" i="5"/>
  <c r="L91" i="5"/>
  <c r="AB91" i="5"/>
  <c r="AD91" i="5"/>
  <c r="G92" i="5"/>
  <c r="I92" i="5"/>
  <c r="K92" i="5"/>
  <c r="L92" i="5"/>
  <c r="AB92" i="5"/>
  <c r="AD92" i="5"/>
  <c r="G93" i="5"/>
  <c r="I93" i="5"/>
  <c r="K93" i="5"/>
  <c r="L93" i="5"/>
  <c r="AB93" i="5"/>
  <c r="AD93" i="5"/>
  <c r="G94" i="5"/>
  <c r="I94" i="5"/>
  <c r="K94" i="5"/>
  <c r="L94" i="5"/>
  <c r="AB94" i="5"/>
  <c r="AD94" i="5"/>
  <c r="G95" i="5"/>
  <c r="I95" i="5"/>
  <c r="K95" i="5"/>
  <c r="L95" i="5"/>
  <c r="AB95" i="5"/>
  <c r="AD95" i="5"/>
  <c r="G96" i="5"/>
  <c r="I96" i="5"/>
  <c r="K96" i="5"/>
  <c r="L96" i="5"/>
  <c r="AB96" i="5"/>
  <c r="AD96" i="5"/>
  <c r="G97" i="5"/>
  <c r="I97" i="5"/>
  <c r="K97" i="5"/>
  <c r="L97" i="5"/>
  <c r="AB97" i="5"/>
  <c r="AD97" i="5"/>
  <c r="G98" i="5"/>
  <c r="I98" i="5"/>
  <c r="K98" i="5"/>
  <c r="L98" i="5"/>
  <c r="AB98" i="5"/>
  <c r="AD98" i="5"/>
  <c r="G99" i="5"/>
  <c r="I99" i="5"/>
  <c r="K99" i="5"/>
  <c r="L99" i="5"/>
  <c r="AB99" i="5"/>
  <c r="AD99" i="5"/>
  <c r="G100" i="5"/>
  <c r="I100" i="5"/>
  <c r="K100" i="5"/>
  <c r="L100" i="5"/>
  <c r="AB100" i="5"/>
  <c r="AD100" i="5"/>
  <c r="G101" i="5"/>
  <c r="I101" i="5"/>
  <c r="K101" i="5"/>
  <c r="L101" i="5"/>
  <c r="AB101" i="5"/>
  <c r="AD101" i="5"/>
  <c r="G102" i="5"/>
  <c r="I102" i="5"/>
  <c r="K102" i="5"/>
  <c r="L102" i="5"/>
  <c r="AB102" i="5"/>
  <c r="AD102" i="5"/>
  <c r="G103" i="5"/>
  <c r="I103" i="5"/>
  <c r="K103" i="5"/>
  <c r="L103" i="5"/>
  <c r="AB103" i="5"/>
  <c r="AD103" i="5"/>
  <c r="G104" i="5"/>
  <c r="I104" i="5"/>
  <c r="K104" i="5"/>
  <c r="L104" i="5"/>
  <c r="AB104" i="5"/>
  <c r="AD104" i="5"/>
  <c r="G105" i="5"/>
  <c r="I105" i="5"/>
  <c r="K105" i="5"/>
  <c r="L105" i="5"/>
  <c r="AB105" i="5"/>
  <c r="AD105" i="5"/>
  <c r="G106" i="5"/>
  <c r="I106" i="5"/>
  <c r="K106" i="5"/>
  <c r="L106" i="5"/>
  <c r="AB106" i="5"/>
  <c r="AD106" i="5"/>
  <c r="G107" i="5"/>
  <c r="I107" i="5"/>
  <c r="K107" i="5"/>
  <c r="L107" i="5"/>
  <c r="AB107" i="5"/>
  <c r="AD107" i="5"/>
  <c r="G108" i="5"/>
  <c r="I108" i="5"/>
  <c r="K108" i="5"/>
  <c r="L108" i="5"/>
  <c r="AB108" i="5"/>
  <c r="AD108" i="5"/>
  <c r="G109" i="5"/>
  <c r="I109" i="5"/>
  <c r="K109" i="5"/>
  <c r="L109" i="5"/>
  <c r="AB109" i="5"/>
  <c r="AD109" i="5"/>
  <c r="G110" i="5"/>
  <c r="I110" i="5"/>
  <c r="K110" i="5"/>
  <c r="L110" i="5"/>
  <c r="AB110" i="5"/>
  <c r="AD110" i="5"/>
  <c r="G111" i="5"/>
  <c r="I111" i="5"/>
  <c r="K111" i="5"/>
  <c r="L111" i="5"/>
  <c r="AB111" i="5"/>
  <c r="AD111" i="5"/>
  <c r="G112" i="5"/>
  <c r="I112" i="5"/>
  <c r="K112" i="5"/>
  <c r="L112" i="5"/>
  <c r="AB112" i="5"/>
  <c r="AD112" i="5"/>
  <c r="G113" i="5"/>
  <c r="I113" i="5"/>
  <c r="K113" i="5"/>
  <c r="L113" i="5"/>
  <c r="AB113" i="5"/>
  <c r="AD113" i="5"/>
  <c r="G114" i="5"/>
  <c r="I114" i="5"/>
  <c r="K114" i="5"/>
  <c r="L114" i="5"/>
  <c r="AB114" i="5"/>
  <c r="AD114" i="5"/>
  <c r="G115" i="5"/>
  <c r="I115" i="5"/>
  <c r="K115" i="5"/>
  <c r="L115" i="5"/>
  <c r="AB115" i="5"/>
  <c r="AD115" i="5"/>
  <c r="G116" i="5"/>
  <c r="I116" i="5"/>
  <c r="K116" i="5"/>
  <c r="L116" i="5"/>
  <c r="AB116" i="5"/>
  <c r="AD116" i="5"/>
  <c r="G117" i="5"/>
  <c r="I117" i="5"/>
  <c r="K117" i="5"/>
  <c r="L117" i="5"/>
  <c r="AB117" i="5"/>
  <c r="AD117" i="5"/>
  <c r="G118" i="5"/>
  <c r="I118" i="5"/>
  <c r="K118" i="5"/>
  <c r="L118" i="5"/>
  <c r="AB118" i="5"/>
  <c r="AD118" i="5"/>
  <c r="G119" i="5"/>
  <c r="I119" i="5"/>
  <c r="K119" i="5"/>
  <c r="L119" i="5"/>
  <c r="AB119" i="5"/>
  <c r="AD119" i="5"/>
  <c r="G120" i="5"/>
  <c r="I120" i="5"/>
  <c r="K120" i="5"/>
  <c r="L120" i="5"/>
  <c r="AB120" i="5"/>
  <c r="AD120" i="5"/>
  <c r="G121" i="5"/>
  <c r="I121" i="5"/>
  <c r="K121" i="5"/>
  <c r="L121" i="5"/>
  <c r="AB121" i="5"/>
  <c r="AD121" i="5"/>
  <c r="G122" i="5"/>
  <c r="I122" i="5"/>
  <c r="K122" i="5"/>
  <c r="L122" i="5"/>
  <c r="AB122" i="5"/>
  <c r="AD122" i="5"/>
  <c r="G123" i="5"/>
  <c r="I123" i="5"/>
  <c r="K123" i="5"/>
  <c r="L123" i="5"/>
  <c r="AB123" i="5"/>
  <c r="AD123" i="5"/>
  <c r="G124" i="5"/>
  <c r="I124" i="5"/>
  <c r="K124" i="5"/>
  <c r="L124" i="5"/>
  <c r="AB124" i="5"/>
  <c r="AD124" i="5"/>
  <c r="G125" i="5"/>
  <c r="I125" i="5"/>
  <c r="K125" i="5"/>
  <c r="L125" i="5"/>
  <c r="AB125" i="5"/>
  <c r="AD125" i="5"/>
  <c r="G126" i="5"/>
  <c r="I126" i="5"/>
  <c r="K126" i="5"/>
  <c r="L126" i="5"/>
  <c r="AB126" i="5"/>
  <c r="AD126" i="5"/>
  <c r="G127" i="5"/>
  <c r="I127" i="5"/>
  <c r="K127" i="5"/>
  <c r="L127" i="5"/>
  <c r="AB127" i="5"/>
  <c r="AD127" i="5"/>
  <c r="G128" i="5"/>
  <c r="I128" i="5"/>
  <c r="K128" i="5"/>
  <c r="L128" i="5"/>
  <c r="AB128" i="5"/>
  <c r="AD128" i="5"/>
  <c r="G129" i="5"/>
  <c r="I129" i="5"/>
  <c r="K129" i="5"/>
  <c r="L129" i="5"/>
  <c r="AB129" i="5"/>
  <c r="AD129" i="5"/>
  <c r="G130" i="5"/>
  <c r="I130" i="5"/>
  <c r="K130" i="5"/>
  <c r="L130" i="5"/>
  <c r="AB130" i="5"/>
  <c r="AD130" i="5"/>
  <c r="G131" i="5"/>
  <c r="I131" i="5"/>
  <c r="K131" i="5"/>
  <c r="L131" i="5"/>
  <c r="AB131" i="5"/>
  <c r="AD131" i="5"/>
  <c r="G132" i="5"/>
  <c r="I132" i="5"/>
  <c r="K132" i="5"/>
  <c r="L132" i="5"/>
  <c r="AB132" i="5"/>
  <c r="AD132" i="5"/>
  <c r="G133" i="5"/>
  <c r="I133" i="5"/>
  <c r="K133" i="5"/>
  <c r="L133" i="5"/>
  <c r="AB133" i="5"/>
  <c r="AD133" i="5"/>
  <c r="G134" i="5"/>
  <c r="I134" i="5"/>
  <c r="K134" i="5"/>
  <c r="L134" i="5"/>
  <c r="AB134" i="5"/>
  <c r="AD134" i="5"/>
  <c r="G135" i="5"/>
  <c r="I135" i="5"/>
  <c r="K135" i="5"/>
  <c r="L135" i="5"/>
  <c r="AB135" i="5"/>
  <c r="AD135" i="5"/>
  <c r="G136" i="5"/>
  <c r="I136" i="5"/>
  <c r="K136" i="5"/>
  <c r="L136" i="5"/>
  <c r="AB136" i="5"/>
  <c r="AD136" i="5"/>
  <c r="G137" i="5"/>
  <c r="I137" i="5"/>
  <c r="K137" i="5"/>
  <c r="L137" i="5"/>
  <c r="AB137" i="5"/>
  <c r="AD137" i="5"/>
  <c r="G138" i="5"/>
  <c r="I138" i="5"/>
  <c r="K138" i="5"/>
  <c r="L138" i="5"/>
  <c r="AB138" i="5"/>
  <c r="AD138" i="5"/>
  <c r="G139" i="5"/>
  <c r="I139" i="5"/>
  <c r="K139" i="5"/>
  <c r="L139" i="5"/>
  <c r="AB139" i="5"/>
  <c r="AD139" i="5"/>
  <c r="G140" i="5"/>
  <c r="I140" i="5"/>
  <c r="K140" i="5"/>
  <c r="L140" i="5"/>
  <c r="AB140" i="5"/>
  <c r="AD140" i="5"/>
  <c r="G141" i="5"/>
  <c r="I141" i="5"/>
  <c r="K141" i="5"/>
  <c r="L141" i="5"/>
  <c r="AB141" i="5"/>
  <c r="AD141" i="5"/>
  <c r="G142" i="5"/>
  <c r="I142" i="5"/>
  <c r="K142" i="5"/>
  <c r="L142" i="5"/>
  <c r="AB142" i="5"/>
  <c r="AD142" i="5"/>
  <c r="G143" i="5"/>
  <c r="I143" i="5"/>
  <c r="K143" i="5"/>
  <c r="L143" i="5"/>
  <c r="AB143" i="5"/>
  <c r="AD143" i="5"/>
  <c r="G144" i="5"/>
  <c r="I144" i="5"/>
  <c r="K144" i="5"/>
  <c r="L144" i="5"/>
  <c r="AB144" i="5"/>
  <c r="AD144" i="5"/>
  <c r="G145" i="5"/>
  <c r="I145" i="5"/>
  <c r="K145" i="5"/>
  <c r="L145" i="5"/>
  <c r="AB145" i="5"/>
  <c r="AD145" i="5"/>
  <c r="G146" i="5"/>
  <c r="I146" i="5"/>
  <c r="K146" i="5"/>
  <c r="L146" i="5"/>
  <c r="AB146" i="5"/>
  <c r="AD146" i="5"/>
  <c r="G147" i="5"/>
  <c r="I147" i="5"/>
  <c r="K147" i="5"/>
  <c r="L147" i="5"/>
  <c r="AB147" i="5"/>
  <c r="AD147" i="5"/>
  <c r="G148" i="5"/>
  <c r="I148" i="5"/>
  <c r="K148" i="5"/>
  <c r="L148" i="5"/>
  <c r="AB148" i="5"/>
  <c r="AD148" i="5"/>
  <c r="G149" i="5"/>
  <c r="I149" i="5"/>
  <c r="K149" i="5"/>
  <c r="L149" i="5"/>
  <c r="AB149" i="5"/>
  <c r="AD149" i="5"/>
  <c r="G150" i="5"/>
  <c r="I150" i="5"/>
  <c r="K150" i="5"/>
  <c r="L150" i="5"/>
  <c r="AB150" i="5"/>
  <c r="AD150" i="5"/>
  <c r="G151" i="5"/>
  <c r="I151" i="5"/>
  <c r="K151" i="5"/>
  <c r="L151" i="5"/>
  <c r="AB151" i="5"/>
  <c r="AD151" i="5"/>
  <c r="G152" i="5"/>
  <c r="I152" i="5"/>
  <c r="K152" i="5"/>
  <c r="L152" i="5"/>
  <c r="AB152" i="5"/>
  <c r="AD152" i="5"/>
  <c r="G153" i="5"/>
  <c r="I153" i="5"/>
  <c r="K153" i="5"/>
  <c r="L153" i="5"/>
  <c r="AB153" i="5"/>
  <c r="AD153" i="5"/>
  <c r="G154" i="5"/>
  <c r="I154" i="5"/>
  <c r="K154" i="5"/>
  <c r="L154" i="5"/>
  <c r="AB154" i="5"/>
  <c r="AD154" i="5"/>
  <c r="G155" i="5"/>
  <c r="I155" i="5"/>
  <c r="K155" i="5"/>
  <c r="L155" i="5"/>
  <c r="AB155" i="5"/>
  <c r="AD155" i="5"/>
  <c r="G156" i="5"/>
  <c r="I156" i="5"/>
  <c r="K156" i="5"/>
  <c r="L156" i="5"/>
  <c r="AB156" i="5"/>
  <c r="AD156" i="5"/>
  <c r="G157" i="5"/>
  <c r="I157" i="5"/>
  <c r="K157" i="5"/>
  <c r="L157" i="5"/>
  <c r="AB157" i="5"/>
  <c r="AD157" i="5"/>
  <c r="G158" i="5"/>
  <c r="I158" i="5"/>
  <c r="K158" i="5"/>
  <c r="L158" i="5"/>
  <c r="AB158" i="5"/>
  <c r="AD158" i="5"/>
  <c r="G159" i="5"/>
  <c r="I159" i="5"/>
  <c r="K159" i="5"/>
  <c r="L159" i="5"/>
  <c r="AB159" i="5"/>
  <c r="AD159" i="5"/>
  <c r="G160" i="5"/>
  <c r="I160" i="5"/>
  <c r="K160" i="5"/>
  <c r="L160" i="5"/>
  <c r="AB160" i="5"/>
  <c r="AD160" i="5"/>
  <c r="G161" i="5"/>
  <c r="I161" i="5"/>
  <c r="K161" i="5"/>
  <c r="L161" i="5"/>
  <c r="AB161" i="5"/>
  <c r="AD161" i="5"/>
  <c r="G162" i="5"/>
  <c r="I162" i="5"/>
  <c r="K162" i="5"/>
  <c r="L162" i="5"/>
  <c r="AB162" i="5"/>
  <c r="AD162" i="5"/>
  <c r="G163" i="5"/>
  <c r="I163" i="5"/>
  <c r="K163" i="5"/>
  <c r="L163" i="5"/>
  <c r="AB163" i="5"/>
  <c r="AD163" i="5"/>
  <c r="G164" i="5"/>
  <c r="I164" i="5"/>
  <c r="K164" i="5"/>
  <c r="L164" i="5"/>
  <c r="AB164" i="5"/>
  <c r="AD164" i="5"/>
  <c r="G165" i="5"/>
  <c r="I165" i="5"/>
  <c r="K165" i="5"/>
  <c r="L165" i="5"/>
  <c r="AB165" i="5"/>
  <c r="AD165" i="5"/>
  <c r="G166" i="5"/>
  <c r="I166" i="5"/>
  <c r="K166" i="5"/>
  <c r="L166" i="5"/>
  <c r="AB166" i="5"/>
  <c r="AD166" i="5"/>
  <c r="G167" i="5"/>
  <c r="I167" i="5"/>
  <c r="K167" i="5"/>
  <c r="L167" i="5"/>
  <c r="AB167" i="5"/>
  <c r="AD167" i="5"/>
  <c r="G168" i="5"/>
  <c r="I168" i="5"/>
  <c r="K168" i="5"/>
  <c r="L168" i="5"/>
  <c r="AB168" i="5"/>
  <c r="AD168" i="5"/>
  <c r="G169" i="5"/>
  <c r="I169" i="5"/>
  <c r="K169" i="5"/>
  <c r="L169" i="5"/>
  <c r="AB169" i="5"/>
  <c r="AD169" i="5"/>
  <c r="G170" i="5"/>
  <c r="I170" i="5"/>
  <c r="K170" i="5"/>
  <c r="L170" i="5"/>
  <c r="AB170" i="5"/>
  <c r="AD170" i="5"/>
  <c r="G171" i="5"/>
  <c r="I171" i="5"/>
  <c r="K171" i="5"/>
  <c r="L171" i="5"/>
  <c r="AB171" i="5"/>
  <c r="AD171" i="5"/>
  <c r="G172" i="5"/>
  <c r="I172" i="5"/>
  <c r="K172" i="5"/>
  <c r="L172" i="5"/>
  <c r="AB172" i="5"/>
  <c r="AD172" i="5"/>
  <c r="G173" i="5"/>
  <c r="I173" i="5"/>
  <c r="K173" i="5"/>
  <c r="L173" i="5"/>
  <c r="AB173" i="5"/>
  <c r="AD173" i="5"/>
  <c r="G174" i="5"/>
  <c r="I174" i="5"/>
  <c r="K174" i="5"/>
  <c r="L174" i="5"/>
  <c r="AB174" i="5"/>
  <c r="AD174" i="5"/>
  <c r="G175" i="5"/>
  <c r="I175" i="5"/>
  <c r="K175" i="5"/>
  <c r="L175" i="5"/>
  <c r="AB175" i="5"/>
  <c r="AD175" i="5"/>
  <c r="G176" i="5"/>
  <c r="I176" i="5"/>
  <c r="K176" i="5"/>
  <c r="L176" i="5"/>
  <c r="AB176" i="5"/>
  <c r="AD176" i="5"/>
  <c r="G177" i="5"/>
  <c r="I177" i="5"/>
  <c r="K177" i="5"/>
  <c r="L177" i="5"/>
  <c r="AB177" i="5"/>
  <c r="AD177" i="5"/>
  <c r="G178" i="5"/>
  <c r="I178" i="5"/>
  <c r="K178" i="5"/>
  <c r="L178" i="5"/>
  <c r="AB178" i="5"/>
  <c r="AD178" i="5"/>
  <c r="G179" i="5"/>
  <c r="I179" i="5"/>
  <c r="K179" i="5"/>
  <c r="L179" i="5"/>
  <c r="AB179" i="5"/>
  <c r="AD179" i="5"/>
  <c r="G180" i="5"/>
  <c r="I180" i="5"/>
  <c r="K180" i="5"/>
  <c r="L180" i="5"/>
  <c r="AB180" i="5"/>
  <c r="AD180" i="5"/>
  <c r="G181" i="5"/>
  <c r="I181" i="5"/>
  <c r="K181" i="5"/>
  <c r="L181" i="5"/>
  <c r="AB181" i="5"/>
  <c r="AD181" i="5"/>
  <c r="G182" i="5"/>
  <c r="I182" i="5"/>
  <c r="K182" i="5"/>
  <c r="L182" i="5"/>
  <c r="AB182" i="5"/>
  <c r="AD182" i="5"/>
  <c r="G183" i="5"/>
  <c r="I183" i="5"/>
  <c r="K183" i="5"/>
  <c r="L183" i="5"/>
  <c r="AB183" i="5"/>
  <c r="AD183" i="5"/>
  <c r="G184" i="5"/>
  <c r="I184" i="5"/>
  <c r="K184" i="5"/>
  <c r="L184" i="5"/>
  <c r="AB184" i="5"/>
  <c r="AD184" i="5"/>
  <c r="G185" i="5"/>
  <c r="I185" i="5"/>
  <c r="K185" i="5"/>
  <c r="L185" i="5"/>
  <c r="AB185" i="5"/>
  <c r="AD185" i="5"/>
  <c r="G186" i="5"/>
  <c r="I186" i="5"/>
  <c r="K186" i="5"/>
  <c r="L186" i="5"/>
  <c r="AB186" i="5"/>
  <c r="AD186" i="5"/>
  <c r="G187" i="5"/>
  <c r="I187" i="5"/>
  <c r="K187" i="5"/>
  <c r="L187" i="5"/>
  <c r="AB187" i="5"/>
  <c r="AD187" i="5"/>
  <c r="G188" i="5"/>
  <c r="I188" i="5"/>
  <c r="K188" i="5"/>
  <c r="L188" i="5"/>
  <c r="AB188" i="5"/>
  <c r="AD188" i="5"/>
  <c r="G189" i="5"/>
  <c r="I189" i="5"/>
  <c r="K189" i="5"/>
  <c r="L189" i="5"/>
  <c r="AB189" i="5"/>
  <c r="AD189" i="5"/>
  <c r="G190" i="5"/>
  <c r="I190" i="5"/>
  <c r="K190" i="5"/>
  <c r="L190" i="5"/>
  <c r="AB190" i="5"/>
  <c r="AD190" i="5"/>
  <c r="G191" i="5"/>
  <c r="I191" i="5"/>
  <c r="K191" i="5"/>
  <c r="L191" i="5"/>
  <c r="AB191" i="5"/>
  <c r="AD191" i="5"/>
  <c r="G192" i="5"/>
  <c r="I192" i="5"/>
  <c r="K192" i="5"/>
  <c r="L192" i="5"/>
  <c r="AB192" i="5"/>
  <c r="AD192" i="5"/>
  <c r="G193" i="5"/>
  <c r="I193" i="5"/>
  <c r="K193" i="5"/>
  <c r="L193" i="5"/>
  <c r="AB193" i="5"/>
  <c r="AD193" i="5"/>
  <c r="G194" i="5"/>
  <c r="I194" i="5"/>
  <c r="K194" i="5"/>
  <c r="L194" i="5"/>
  <c r="AB194" i="5"/>
  <c r="AD194" i="5"/>
  <c r="G195" i="5"/>
  <c r="I195" i="5"/>
  <c r="K195" i="5"/>
  <c r="L195" i="5"/>
  <c r="AB195" i="5"/>
  <c r="AD195" i="5"/>
  <c r="G196" i="5"/>
  <c r="I196" i="5"/>
  <c r="K196" i="5"/>
  <c r="L196" i="5"/>
  <c r="AB196" i="5"/>
  <c r="AD196" i="5"/>
  <c r="G197" i="5"/>
  <c r="I197" i="5"/>
  <c r="K197" i="5"/>
  <c r="L197" i="5"/>
  <c r="AB197" i="5"/>
  <c r="AD197" i="5"/>
  <c r="G198" i="5"/>
  <c r="I198" i="5"/>
  <c r="K198" i="5"/>
  <c r="L198" i="5"/>
  <c r="AB198" i="5"/>
  <c r="AD198" i="5"/>
  <c r="G199" i="5"/>
  <c r="I199" i="5"/>
  <c r="K199" i="5"/>
  <c r="L199" i="5"/>
  <c r="AB199" i="5"/>
  <c r="AD199" i="5"/>
  <c r="G200" i="5"/>
  <c r="I200" i="5"/>
  <c r="K200" i="5"/>
  <c r="L200" i="5"/>
  <c r="AB200" i="5"/>
  <c r="AD200" i="5"/>
  <c r="G201" i="5"/>
  <c r="I201" i="5"/>
  <c r="K201" i="5"/>
  <c r="L201" i="5"/>
  <c r="AB201" i="5"/>
  <c r="AD201" i="5"/>
  <c r="G202" i="5"/>
  <c r="I202" i="5"/>
  <c r="K202" i="5"/>
  <c r="L202" i="5"/>
  <c r="AB202" i="5"/>
  <c r="AD202" i="5"/>
  <c r="G203" i="5"/>
  <c r="I203" i="5"/>
  <c r="K203" i="5"/>
  <c r="L203" i="5"/>
  <c r="AB203" i="5"/>
  <c r="AD203" i="5"/>
  <c r="G204" i="5"/>
  <c r="I204" i="5"/>
  <c r="K204" i="5"/>
  <c r="L204" i="5"/>
  <c r="AB204" i="5"/>
  <c r="AD204" i="5"/>
  <c r="G205" i="5"/>
  <c r="I205" i="5"/>
  <c r="K205" i="5"/>
  <c r="L205" i="5"/>
  <c r="AB205" i="5"/>
  <c r="AD205" i="5"/>
  <c r="G206" i="5"/>
  <c r="I206" i="5"/>
  <c r="K206" i="5"/>
  <c r="L206" i="5"/>
  <c r="AB206" i="5"/>
  <c r="AD206" i="5"/>
  <c r="G207" i="5"/>
  <c r="I207" i="5"/>
  <c r="K207" i="5"/>
  <c r="L207" i="5"/>
  <c r="AB207" i="5"/>
  <c r="AD207" i="5"/>
  <c r="G208" i="5"/>
  <c r="I208" i="5"/>
  <c r="K208" i="5"/>
  <c r="L208" i="5"/>
  <c r="AB208" i="5"/>
  <c r="AD208" i="5"/>
  <c r="G209" i="5"/>
  <c r="I209" i="5"/>
  <c r="K209" i="5"/>
  <c r="L209" i="5"/>
  <c r="AB209" i="5"/>
  <c r="AD209" i="5"/>
  <c r="G210" i="5"/>
  <c r="I210" i="5"/>
  <c r="K210" i="5"/>
  <c r="L210" i="5"/>
  <c r="AB210" i="5"/>
  <c r="AD210" i="5"/>
  <c r="G211" i="5"/>
  <c r="I211" i="5"/>
  <c r="K211" i="5"/>
  <c r="L211" i="5"/>
  <c r="AB211" i="5"/>
  <c r="AD211" i="5"/>
  <c r="G212" i="5"/>
  <c r="I212" i="5"/>
  <c r="K212" i="5"/>
  <c r="L212" i="5"/>
  <c r="AB212" i="5"/>
  <c r="AD212" i="5"/>
  <c r="G213" i="5"/>
  <c r="I213" i="5"/>
  <c r="K213" i="5"/>
  <c r="L213" i="5"/>
  <c r="AB213" i="5"/>
  <c r="AD213" i="5"/>
  <c r="G214" i="5"/>
  <c r="I214" i="5"/>
  <c r="K214" i="5"/>
  <c r="L214" i="5"/>
  <c r="AB214" i="5"/>
  <c r="AD214" i="5"/>
  <c r="G215" i="5"/>
  <c r="I215" i="5"/>
  <c r="K215" i="5"/>
  <c r="L215" i="5"/>
  <c r="AB215" i="5"/>
  <c r="AD215" i="5"/>
  <c r="G216" i="5"/>
  <c r="I216" i="5"/>
  <c r="K216" i="5"/>
  <c r="L216" i="5"/>
  <c r="AB216" i="5"/>
  <c r="AD216" i="5"/>
  <c r="G217" i="5"/>
  <c r="I217" i="5"/>
  <c r="K217" i="5"/>
  <c r="L217" i="5"/>
  <c r="AB217" i="5"/>
  <c r="AD217" i="5"/>
  <c r="G218" i="5"/>
  <c r="I218" i="5"/>
  <c r="K218" i="5"/>
  <c r="L218" i="5"/>
  <c r="AB218" i="5"/>
  <c r="AD218" i="5"/>
  <c r="G219" i="5"/>
  <c r="I219" i="5"/>
  <c r="K219" i="5"/>
  <c r="L219" i="5"/>
  <c r="AB219" i="5"/>
  <c r="AD219" i="5"/>
  <c r="G220" i="5"/>
  <c r="I220" i="5"/>
  <c r="K220" i="5"/>
  <c r="L220" i="5"/>
  <c r="AB220" i="5"/>
  <c r="AD220" i="5"/>
  <c r="G221" i="5"/>
  <c r="I221" i="5"/>
  <c r="K221" i="5"/>
  <c r="L221" i="5"/>
  <c r="AB221" i="5"/>
  <c r="AD221" i="5"/>
  <c r="G222" i="5"/>
  <c r="I222" i="5"/>
  <c r="K222" i="5"/>
  <c r="L222" i="5"/>
  <c r="AB222" i="5"/>
  <c r="AD222" i="5"/>
  <c r="G223" i="5"/>
  <c r="I223" i="5"/>
  <c r="K223" i="5"/>
  <c r="L223" i="5"/>
  <c r="AB223" i="5"/>
  <c r="AD223" i="5"/>
  <c r="G224" i="5"/>
  <c r="I224" i="5"/>
  <c r="K224" i="5"/>
  <c r="L224" i="5"/>
  <c r="AB224" i="5"/>
  <c r="AD224" i="5"/>
  <c r="G225" i="5"/>
  <c r="I225" i="5"/>
  <c r="K225" i="5"/>
  <c r="L225" i="5"/>
  <c r="AB225" i="5"/>
  <c r="AD225" i="5"/>
  <c r="G226" i="5"/>
  <c r="I226" i="5"/>
  <c r="K226" i="5"/>
  <c r="L226" i="5"/>
  <c r="AB226" i="5"/>
  <c r="AD226" i="5"/>
  <c r="G227" i="5"/>
  <c r="I227" i="5"/>
  <c r="K227" i="5"/>
  <c r="L227" i="5"/>
  <c r="AB227" i="5"/>
  <c r="AD227" i="5"/>
  <c r="G228" i="5"/>
  <c r="I228" i="5"/>
  <c r="K228" i="5"/>
  <c r="L228" i="5"/>
  <c r="AB228" i="5"/>
  <c r="AD228" i="5"/>
  <c r="G229" i="5"/>
  <c r="I229" i="5"/>
  <c r="K229" i="5"/>
  <c r="L229" i="5"/>
  <c r="AB229" i="5"/>
  <c r="AD229" i="5"/>
  <c r="G230" i="5"/>
  <c r="I230" i="5"/>
  <c r="K230" i="5"/>
  <c r="L230" i="5"/>
  <c r="AB230" i="5"/>
  <c r="AD230" i="5"/>
  <c r="G231" i="5"/>
  <c r="I231" i="5"/>
  <c r="K231" i="5"/>
  <c r="L231" i="5"/>
  <c r="AB231" i="5"/>
  <c r="AD231" i="5"/>
  <c r="G232" i="5"/>
  <c r="I232" i="5"/>
  <c r="K232" i="5"/>
  <c r="L232" i="5"/>
  <c r="AB232" i="5"/>
  <c r="AD232" i="5"/>
  <c r="G233" i="5"/>
  <c r="I233" i="5"/>
  <c r="K233" i="5"/>
  <c r="L233" i="5"/>
  <c r="AB233" i="5"/>
  <c r="AD233" i="5"/>
  <c r="G234" i="5"/>
  <c r="I234" i="5"/>
  <c r="K234" i="5"/>
  <c r="L234" i="5"/>
  <c r="AB234" i="5"/>
  <c r="AD234" i="5"/>
  <c r="G235" i="5"/>
  <c r="I235" i="5"/>
  <c r="K235" i="5"/>
  <c r="L235" i="5"/>
  <c r="AB235" i="5"/>
  <c r="AD235" i="5"/>
  <c r="G236" i="5"/>
  <c r="I236" i="5"/>
  <c r="K236" i="5"/>
  <c r="L236" i="5"/>
  <c r="AB236" i="5"/>
  <c r="AD236" i="5"/>
  <c r="G237" i="5"/>
  <c r="I237" i="5"/>
  <c r="K237" i="5"/>
  <c r="L237" i="5"/>
  <c r="AB237" i="5"/>
  <c r="AD237" i="5"/>
  <c r="G238" i="5"/>
  <c r="I238" i="5"/>
  <c r="K238" i="5"/>
  <c r="L238" i="5"/>
  <c r="AB238" i="5"/>
  <c r="AD238" i="5"/>
  <c r="G239" i="5"/>
  <c r="I239" i="5"/>
  <c r="K239" i="5"/>
  <c r="L239" i="5"/>
  <c r="AB239" i="5"/>
  <c r="AD239" i="5"/>
  <c r="G240" i="5"/>
  <c r="I240" i="5"/>
  <c r="K240" i="5"/>
  <c r="L240" i="5"/>
  <c r="AB240" i="5"/>
  <c r="AD240" i="5"/>
  <c r="G241" i="5"/>
  <c r="I241" i="5"/>
  <c r="K241" i="5"/>
  <c r="L241" i="5"/>
  <c r="AB241" i="5"/>
  <c r="AD241" i="5"/>
  <c r="G242" i="5"/>
  <c r="I242" i="5"/>
  <c r="K242" i="5"/>
  <c r="L242" i="5"/>
  <c r="AB242" i="5"/>
  <c r="AD242" i="5"/>
  <c r="G243" i="5"/>
  <c r="I243" i="5"/>
  <c r="K243" i="5"/>
  <c r="L243" i="5"/>
  <c r="AB243" i="5"/>
  <c r="AD243" i="5"/>
  <c r="G244" i="5"/>
  <c r="I244" i="5"/>
  <c r="K244" i="5"/>
  <c r="L244" i="5"/>
  <c r="AB244" i="5"/>
  <c r="AD244" i="5"/>
  <c r="G245" i="5"/>
  <c r="I245" i="5"/>
  <c r="K245" i="5"/>
  <c r="L245" i="5"/>
  <c r="AB245" i="5"/>
  <c r="AD245" i="5"/>
  <c r="G246" i="5"/>
  <c r="I246" i="5"/>
  <c r="K246" i="5"/>
  <c r="L246" i="5"/>
  <c r="AB246" i="5"/>
  <c r="AD246" i="5"/>
  <c r="G247" i="5"/>
  <c r="I247" i="5"/>
  <c r="K247" i="5"/>
  <c r="L247" i="5"/>
  <c r="AB247" i="5"/>
  <c r="AD247" i="5"/>
  <c r="G248" i="5"/>
  <c r="I248" i="5"/>
  <c r="K248" i="5"/>
  <c r="L248" i="5"/>
  <c r="AB248" i="5"/>
  <c r="AD248" i="5"/>
  <c r="G249" i="5"/>
  <c r="I249" i="5"/>
  <c r="K249" i="5"/>
  <c r="L249" i="5"/>
  <c r="AB249" i="5"/>
  <c r="AD249" i="5"/>
  <c r="G250" i="5"/>
  <c r="I250" i="5"/>
  <c r="K250" i="5"/>
  <c r="L250" i="5"/>
  <c r="AB250" i="5"/>
  <c r="AD250" i="5"/>
  <c r="G251" i="5"/>
  <c r="I251" i="5"/>
  <c r="K251" i="5"/>
  <c r="L251" i="5"/>
  <c r="AB251" i="5"/>
  <c r="AD251" i="5"/>
  <c r="G252" i="5"/>
  <c r="I252" i="5"/>
  <c r="K252" i="5"/>
  <c r="L252" i="5"/>
  <c r="AB252" i="5"/>
  <c r="AD252" i="5"/>
  <c r="G253" i="5"/>
  <c r="I253" i="5"/>
  <c r="K253" i="5"/>
  <c r="L253" i="5"/>
  <c r="AB253" i="5"/>
  <c r="AD253" i="5"/>
  <c r="G254" i="5"/>
  <c r="I254" i="5"/>
  <c r="K254" i="5"/>
  <c r="L254" i="5"/>
  <c r="AB254" i="5"/>
  <c r="AD254" i="5"/>
  <c r="G255" i="5"/>
  <c r="I255" i="5"/>
  <c r="K255" i="5"/>
  <c r="L255" i="5"/>
  <c r="AB255" i="5"/>
  <c r="AD255" i="5"/>
  <c r="G256" i="5"/>
  <c r="I256" i="5"/>
  <c r="K256" i="5"/>
  <c r="L256" i="5"/>
  <c r="AB256" i="5"/>
  <c r="AD256" i="5"/>
  <c r="G257" i="5"/>
  <c r="I257" i="5"/>
  <c r="K257" i="5"/>
  <c r="L257" i="5"/>
  <c r="AB257" i="5"/>
  <c r="AD257" i="5"/>
  <c r="G258" i="5"/>
  <c r="I258" i="5"/>
  <c r="K258" i="5"/>
  <c r="L258" i="5"/>
  <c r="AB258" i="5"/>
  <c r="AD258" i="5"/>
  <c r="G259" i="5"/>
  <c r="I259" i="5"/>
  <c r="K259" i="5"/>
  <c r="L259" i="5"/>
  <c r="AB259" i="5"/>
  <c r="AD259" i="5"/>
  <c r="G260" i="5"/>
  <c r="I260" i="5"/>
  <c r="K260" i="5"/>
  <c r="L260" i="5"/>
  <c r="AB260" i="5"/>
  <c r="AD260" i="5"/>
  <c r="G261" i="5"/>
  <c r="I261" i="5"/>
  <c r="K261" i="5"/>
  <c r="L261" i="5"/>
  <c r="AB261" i="5"/>
  <c r="AD261" i="5"/>
  <c r="G262" i="5"/>
  <c r="I262" i="5"/>
  <c r="K262" i="5"/>
  <c r="L262" i="5"/>
  <c r="AB262" i="5"/>
  <c r="AD262" i="5"/>
  <c r="G263" i="5"/>
  <c r="I263" i="5"/>
  <c r="K263" i="5"/>
  <c r="L263" i="5"/>
  <c r="AB263" i="5"/>
  <c r="AD263" i="5"/>
  <c r="G264" i="5"/>
  <c r="I264" i="5"/>
  <c r="K264" i="5"/>
  <c r="L264" i="5"/>
  <c r="AB264" i="5"/>
  <c r="AD264" i="5"/>
  <c r="G265" i="5"/>
  <c r="I265" i="5"/>
  <c r="K265" i="5"/>
  <c r="L265" i="5"/>
  <c r="AB265" i="5"/>
  <c r="AD265" i="5"/>
  <c r="G266" i="5"/>
  <c r="I266" i="5"/>
  <c r="K266" i="5"/>
  <c r="L266" i="5"/>
  <c r="AB266" i="5"/>
  <c r="AD266" i="5"/>
  <c r="G267" i="5"/>
  <c r="I267" i="5"/>
  <c r="K267" i="5"/>
  <c r="L267" i="5"/>
  <c r="AB267" i="5"/>
  <c r="AD267" i="5"/>
  <c r="G268" i="5"/>
  <c r="I268" i="5"/>
  <c r="K268" i="5"/>
  <c r="L268" i="5"/>
  <c r="AB268" i="5"/>
  <c r="AD268" i="5"/>
  <c r="G269" i="5"/>
  <c r="I269" i="5"/>
  <c r="K269" i="5"/>
  <c r="L269" i="5"/>
  <c r="AB269" i="5"/>
  <c r="AD269" i="5"/>
  <c r="G270" i="5"/>
  <c r="I270" i="5"/>
  <c r="K270" i="5"/>
  <c r="L270" i="5"/>
  <c r="AB270" i="5"/>
  <c r="AD270" i="5"/>
  <c r="G271" i="5"/>
  <c r="I271" i="5"/>
  <c r="K271" i="5"/>
  <c r="L271" i="5"/>
  <c r="AB271" i="5"/>
  <c r="AD271" i="5"/>
  <c r="G272" i="5"/>
  <c r="I272" i="5"/>
  <c r="K272" i="5"/>
  <c r="L272" i="5"/>
  <c r="AB272" i="5"/>
  <c r="AD272" i="5"/>
  <c r="G273" i="5"/>
  <c r="I273" i="5"/>
  <c r="K273" i="5"/>
  <c r="L273" i="5"/>
  <c r="AB273" i="5"/>
  <c r="AD273" i="5"/>
  <c r="G274" i="5"/>
  <c r="I274" i="5"/>
  <c r="K274" i="5"/>
  <c r="L274" i="5"/>
  <c r="AB274" i="5"/>
  <c r="AD274" i="5"/>
  <c r="G275" i="5"/>
  <c r="I275" i="5"/>
  <c r="K275" i="5"/>
  <c r="L275" i="5"/>
  <c r="AB275" i="5"/>
  <c r="AD275" i="5"/>
  <c r="G276" i="5"/>
  <c r="I276" i="5"/>
  <c r="K276" i="5"/>
  <c r="L276" i="5"/>
  <c r="AB276" i="5"/>
  <c r="AD276" i="5"/>
  <c r="G277" i="5"/>
  <c r="I277" i="5"/>
  <c r="K277" i="5"/>
  <c r="L277" i="5"/>
  <c r="AB277" i="5"/>
  <c r="AD277" i="5"/>
  <c r="G278" i="5"/>
  <c r="I278" i="5"/>
  <c r="K278" i="5"/>
  <c r="L278" i="5"/>
  <c r="AB278" i="5"/>
  <c r="AD278" i="5"/>
  <c r="G279" i="5"/>
  <c r="I279" i="5"/>
  <c r="K279" i="5"/>
  <c r="L279" i="5"/>
  <c r="AB279" i="5"/>
  <c r="AD279" i="5"/>
  <c r="G280" i="5"/>
  <c r="I280" i="5"/>
  <c r="K280" i="5"/>
  <c r="L280" i="5"/>
  <c r="AB280" i="5"/>
  <c r="AD280" i="5"/>
  <c r="G281" i="5"/>
  <c r="I281" i="5"/>
  <c r="K281" i="5"/>
  <c r="L281" i="5"/>
  <c r="AB281" i="5"/>
  <c r="AD281" i="5"/>
  <c r="G282" i="5"/>
  <c r="I282" i="5"/>
  <c r="K282" i="5"/>
  <c r="L282" i="5"/>
  <c r="AB282" i="5"/>
  <c r="AD282" i="5"/>
  <c r="G283" i="5"/>
  <c r="I283" i="5"/>
  <c r="K283" i="5"/>
  <c r="L283" i="5"/>
  <c r="AB283" i="5"/>
  <c r="AD283" i="5"/>
  <c r="G284" i="5"/>
  <c r="I284" i="5"/>
  <c r="K284" i="5"/>
  <c r="L284" i="5"/>
  <c r="AB284" i="5"/>
  <c r="AD284" i="5"/>
  <c r="G285" i="5"/>
  <c r="I285" i="5"/>
  <c r="K285" i="5"/>
  <c r="L285" i="5"/>
  <c r="AB285" i="5"/>
  <c r="AD285" i="5"/>
  <c r="G286" i="5"/>
  <c r="I286" i="5"/>
  <c r="K286" i="5"/>
  <c r="L286" i="5"/>
  <c r="AB286" i="5"/>
  <c r="AD286" i="5"/>
  <c r="G287" i="5"/>
  <c r="I287" i="5"/>
  <c r="K287" i="5"/>
  <c r="L287" i="5"/>
  <c r="AB287" i="5"/>
  <c r="AD287" i="5"/>
  <c r="G288" i="5"/>
  <c r="I288" i="5"/>
  <c r="K288" i="5"/>
  <c r="L288" i="5"/>
  <c r="AB288" i="5"/>
  <c r="AD288" i="5"/>
  <c r="G289" i="5"/>
  <c r="I289" i="5"/>
  <c r="K289" i="5"/>
  <c r="L289" i="5"/>
  <c r="AB289" i="5"/>
  <c r="AD289" i="5"/>
  <c r="G290" i="5"/>
  <c r="I290" i="5"/>
  <c r="K290" i="5"/>
  <c r="L290" i="5"/>
  <c r="AB290" i="5"/>
  <c r="AD290" i="5"/>
  <c r="G291" i="5"/>
  <c r="I291" i="5"/>
  <c r="K291" i="5"/>
  <c r="L291" i="5"/>
  <c r="AB291" i="5"/>
  <c r="AD291" i="5"/>
  <c r="G292" i="5"/>
  <c r="I292" i="5"/>
  <c r="K292" i="5"/>
  <c r="L292" i="5"/>
  <c r="AB292" i="5"/>
  <c r="AD292" i="5"/>
  <c r="G293" i="5"/>
  <c r="I293" i="5"/>
  <c r="K293" i="5"/>
  <c r="L293" i="5"/>
  <c r="AB293" i="5"/>
  <c r="AD293" i="5"/>
  <c r="G294" i="5"/>
  <c r="I294" i="5"/>
  <c r="K294" i="5"/>
  <c r="L294" i="5"/>
  <c r="AB294" i="5"/>
  <c r="AD294" i="5"/>
  <c r="G295" i="5"/>
  <c r="I295" i="5"/>
  <c r="K295" i="5"/>
  <c r="L295" i="5"/>
  <c r="AB295" i="5"/>
  <c r="AD295" i="5"/>
  <c r="G296" i="5"/>
  <c r="I296" i="5"/>
  <c r="K296" i="5"/>
  <c r="L296" i="5"/>
  <c r="AB296" i="5"/>
  <c r="AD296" i="5"/>
  <c r="G297" i="5"/>
  <c r="I297" i="5"/>
  <c r="K297" i="5"/>
  <c r="L297" i="5"/>
  <c r="AB297" i="5"/>
  <c r="AD297" i="5"/>
  <c r="G298" i="5"/>
  <c r="I298" i="5"/>
  <c r="K298" i="5"/>
  <c r="L298" i="5"/>
  <c r="AB298" i="5"/>
  <c r="AD298" i="5"/>
  <c r="G299" i="5"/>
  <c r="I299" i="5"/>
  <c r="K299" i="5"/>
  <c r="L299" i="5"/>
  <c r="AB299" i="5"/>
  <c r="AD299" i="5"/>
  <c r="G300" i="5"/>
  <c r="I300" i="5"/>
  <c r="K300" i="5"/>
  <c r="L300" i="5"/>
  <c r="AB300" i="5"/>
  <c r="AD300" i="5"/>
  <c r="G301" i="5"/>
  <c r="I301" i="5"/>
  <c r="K301" i="5"/>
  <c r="L301" i="5"/>
  <c r="AB301" i="5"/>
  <c r="AD301" i="5"/>
  <c r="G302" i="5"/>
  <c r="I302" i="5"/>
  <c r="K302" i="5"/>
  <c r="L302" i="5"/>
  <c r="AB302" i="5"/>
  <c r="AD302" i="5"/>
  <c r="G303" i="5"/>
  <c r="I303" i="5"/>
  <c r="K303" i="5"/>
  <c r="L303" i="5"/>
  <c r="AB303" i="5"/>
  <c r="AD303" i="5"/>
  <c r="G304" i="5"/>
  <c r="I304" i="5"/>
  <c r="K304" i="5"/>
  <c r="L304" i="5"/>
  <c r="AB304" i="5"/>
  <c r="AD304" i="5"/>
  <c r="G305" i="5"/>
  <c r="I305" i="5"/>
  <c r="K305" i="5"/>
  <c r="L305" i="5"/>
  <c r="AB305" i="5"/>
  <c r="AD305" i="5"/>
  <c r="G306" i="5"/>
  <c r="I306" i="5"/>
  <c r="K306" i="5"/>
  <c r="L306" i="5"/>
  <c r="AB306" i="5"/>
  <c r="AD306" i="5"/>
  <c r="G307" i="5"/>
  <c r="I307" i="5"/>
  <c r="K307" i="5"/>
  <c r="L307" i="5"/>
  <c r="AB307" i="5"/>
  <c r="AD307" i="5"/>
  <c r="G308" i="5"/>
  <c r="I308" i="5"/>
  <c r="K308" i="5"/>
  <c r="L308" i="5"/>
  <c r="AB308" i="5"/>
  <c r="AD308" i="5"/>
  <c r="G309" i="5"/>
  <c r="I309" i="5"/>
  <c r="K309" i="5"/>
  <c r="L309" i="5"/>
  <c r="AB309" i="5"/>
  <c r="AD309" i="5"/>
  <c r="G310" i="5"/>
  <c r="I310" i="5"/>
  <c r="K310" i="5"/>
  <c r="L310" i="5"/>
  <c r="AB310" i="5"/>
  <c r="AD310" i="5"/>
  <c r="G311" i="5"/>
  <c r="I311" i="5"/>
  <c r="K311" i="5"/>
  <c r="L311" i="5"/>
  <c r="AB311" i="5"/>
  <c r="AD311" i="5"/>
  <c r="G312" i="5"/>
  <c r="I312" i="5"/>
  <c r="K312" i="5"/>
  <c r="L312" i="5"/>
  <c r="AB312" i="5"/>
  <c r="AD312" i="5"/>
  <c r="G313" i="5"/>
  <c r="I313" i="5"/>
  <c r="K313" i="5"/>
  <c r="L313" i="5"/>
  <c r="AB313" i="5"/>
  <c r="AD313" i="5"/>
  <c r="G314" i="5"/>
  <c r="I314" i="5"/>
  <c r="K314" i="5"/>
  <c r="L314" i="5"/>
  <c r="AB314" i="5"/>
  <c r="AD314" i="5"/>
  <c r="G315" i="5"/>
  <c r="I315" i="5"/>
  <c r="K315" i="5"/>
  <c r="L315" i="5"/>
  <c r="AB315" i="5"/>
  <c r="AD315" i="5"/>
  <c r="G316" i="5"/>
  <c r="I316" i="5"/>
  <c r="K316" i="5"/>
  <c r="L316" i="5"/>
  <c r="AB316" i="5"/>
  <c r="AD316" i="5"/>
  <c r="G317" i="5"/>
  <c r="I317" i="5"/>
  <c r="K317" i="5"/>
  <c r="L317" i="5"/>
  <c r="AB317" i="5"/>
  <c r="AD317" i="5"/>
  <c r="G318" i="5"/>
  <c r="I318" i="5"/>
  <c r="K318" i="5"/>
  <c r="L318" i="5"/>
  <c r="AB318" i="5"/>
  <c r="AD318" i="5"/>
  <c r="G319" i="5"/>
  <c r="I319" i="5"/>
  <c r="K319" i="5"/>
  <c r="L319" i="5"/>
  <c r="AB319" i="5"/>
  <c r="AD319" i="5"/>
  <c r="G320" i="5"/>
  <c r="I320" i="5"/>
  <c r="K320" i="5"/>
  <c r="L320" i="5"/>
  <c r="AB320" i="5"/>
  <c r="AD320" i="5"/>
  <c r="G321" i="5"/>
  <c r="I321" i="5"/>
  <c r="K321" i="5"/>
  <c r="L321" i="5"/>
  <c r="AB321" i="5"/>
  <c r="AD321" i="5"/>
  <c r="G322" i="5"/>
  <c r="I322" i="5"/>
  <c r="K322" i="5"/>
  <c r="L322" i="5"/>
  <c r="AB322" i="5"/>
  <c r="AD322" i="5"/>
  <c r="G323" i="5"/>
  <c r="I323" i="5"/>
  <c r="K323" i="5"/>
  <c r="L323" i="5"/>
  <c r="AB323" i="5"/>
  <c r="AD323" i="5"/>
  <c r="G324" i="5"/>
  <c r="I324" i="5"/>
  <c r="K324" i="5"/>
  <c r="L324" i="5"/>
  <c r="AB324" i="5"/>
  <c r="AD324" i="5"/>
  <c r="G325" i="5"/>
  <c r="I325" i="5"/>
  <c r="K325" i="5"/>
  <c r="L325" i="5"/>
  <c r="AB325" i="5"/>
  <c r="AD325" i="5"/>
  <c r="G326" i="5"/>
  <c r="I326" i="5"/>
  <c r="K326" i="5"/>
  <c r="L326" i="5"/>
  <c r="AB326" i="5"/>
  <c r="AD326" i="5"/>
  <c r="G327" i="5"/>
  <c r="I327" i="5"/>
  <c r="K327" i="5"/>
  <c r="L327" i="5"/>
  <c r="AB327" i="5"/>
  <c r="AD327" i="5"/>
  <c r="G328" i="5"/>
  <c r="I328" i="5"/>
  <c r="K328" i="5"/>
  <c r="L328" i="5"/>
  <c r="AB328" i="5"/>
  <c r="AD328" i="5"/>
  <c r="G329" i="5"/>
  <c r="I329" i="5"/>
  <c r="K329" i="5"/>
  <c r="L329" i="5"/>
  <c r="AB329" i="5"/>
  <c r="AD329" i="5"/>
  <c r="G330" i="5"/>
  <c r="I330" i="5"/>
  <c r="K330" i="5"/>
  <c r="L330" i="5"/>
  <c r="AB330" i="5"/>
  <c r="AD330" i="5"/>
  <c r="G331" i="5"/>
  <c r="I331" i="5"/>
  <c r="K331" i="5"/>
  <c r="L331" i="5"/>
  <c r="AB331" i="5"/>
  <c r="AD331" i="5"/>
  <c r="G332" i="5"/>
  <c r="I332" i="5"/>
  <c r="K332" i="5"/>
  <c r="L332" i="5"/>
  <c r="AB332" i="5"/>
  <c r="AD332" i="5"/>
  <c r="G333" i="5"/>
  <c r="I333" i="5"/>
  <c r="K333" i="5"/>
  <c r="L333" i="5"/>
  <c r="AB333" i="5"/>
  <c r="AD333" i="5"/>
  <c r="G334" i="5"/>
  <c r="I334" i="5"/>
  <c r="K334" i="5"/>
  <c r="L334" i="5"/>
  <c r="AB334" i="5"/>
  <c r="AD334" i="5"/>
  <c r="G335" i="5"/>
  <c r="I335" i="5"/>
  <c r="K335" i="5"/>
  <c r="L335" i="5"/>
  <c r="AB335" i="5"/>
  <c r="AD335" i="5"/>
  <c r="G336" i="5"/>
  <c r="I336" i="5"/>
  <c r="K336" i="5"/>
  <c r="L336" i="5"/>
  <c r="AB336" i="5"/>
  <c r="AD336" i="5"/>
  <c r="G337" i="5"/>
  <c r="I337" i="5"/>
  <c r="K337" i="5"/>
  <c r="L337" i="5"/>
  <c r="AB337" i="5"/>
  <c r="AD337" i="5"/>
  <c r="G338" i="5"/>
  <c r="I338" i="5"/>
  <c r="K338" i="5"/>
  <c r="L338" i="5"/>
  <c r="AB338" i="5"/>
  <c r="AD338" i="5"/>
  <c r="G339" i="5"/>
  <c r="I339" i="5"/>
  <c r="K339" i="5"/>
  <c r="L339" i="5"/>
  <c r="AB339" i="5"/>
  <c r="AD339" i="5"/>
  <c r="G340" i="5"/>
  <c r="I340" i="5"/>
  <c r="K340" i="5"/>
  <c r="L340" i="5"/>
  <c r="AB340" i="5"/>
  <c r="AD340" i="5"/>
  <c r="G341" i="5"/>
  <c r="I341" i="5"/>
  <c r="K341" i="5"/>
  <c r="L341" i="5"/>
  <c r="AB341" i="5"/>
  <c r="AD341" i="5"/>
  <c r="G342" i="5"/>
  <c r="I342" i="5"/>
  <c r="K342" i="5"/>
  <c r="L342" i="5"/>
  <c r="AB342" i="5"/>
  <c r="AD342" i="5"/>
  <c r="G343" i="5"/>
  <c r="I343" i="5"/>
  <c r="K343" i="5"/>
  <c r="L343" i="5"/>
  <c r="AB343" i="5"/>
  <c r="AD343" i="5"/>
  <c r="G344" i="5"/>
  <c r="I344" i="5"/>
  <c r="K344" i="5"/>
  <c r="L344" i="5"/>
  <c r="AB344" i="5"/>
  <c r="AD344" i="5"/>
  <c r="G345" i="5"/>
  <c r="I345" i="5"/>
  <c r="K345" i="5"/>
  <c r="L345" i="5"/>
  <c r="AB345" i="5"/>
  <c r="AD345" i="5"/>
  <c r="G346" i="5"/>
  <c r="I346" i="5"/>
  <c r="K346" i="5"/>
  <c r="L346" i="5"/>
  <c r="AB346" i="5"/>
  <c r="AD346" i="5"/>
  <c r="G347" i="5"/>
  <c r="I347" i="5"/>
  <c r="K347" i="5"/>
  <c r="L347" i="5"/>
  <c r="AB347" i="5"/>
  <c r="AD347" i="5"/>
  <c r="G348" i="5"/>
  <c r="I348" i="5"/>
  <c r="K348" i="5"/>
  <c r="L348" i="5"/>
  <c r="AB348" i="5"/>
  <c r="AD348" i="5"/>
  <c r="G349" i="5"/>
  <c r="I349" i="5"/>
  <c r="K349" i="5"/>
  <c r="L349" i="5"/>
  <c r="AB349" i="5"/>
  <c r="AD349" i="5"/>
  <c r="G350" i="5"/>
  <c r="I350" i="5"/>
  <c r="K350" i="5"/>
  <c r="L350" i="5"/>
  <c r="AB350" i="5"/>
  <c r="AD350" i="5"/>
  <c r="G351" i="5"/>
  <c r="I351" i="5"/>
  <c r="K351" i="5"/>
  <c r="L351" i="5"/>
  <c r="AB351" i="5"/>
  <c r="AD351" i="5"/>
  <c r="G352" i="5"/>
  <c r="I352" i="5"/>
  <c r="K352" i="5"/>
  <c r="L352" i="5"/>
  <c r="AB352" i="5"/>
  <c r="AD352" i="5"/>
  <c r="G353" i="5"/>
  <c r="I353" i="5"/>
  <c r="K353" i="5"/>
  <c r="L353" i="5"/>
  <c r="AB353" i="5"/>
  <c r="AD353" i="5"/>
  <c r="G354" i="5"/>
  <c r="I354" i="5"/>
  <c r="K354" i="5"/>
  <c r="L354" i="5"/>
  <c r="AB354" i="5"/>
  <c r="AD354" i="5"/>
  <c r="G355" i="5"/>
  <c r="I355" i="5"/>
  <c r="K355" i="5"/>
  <c r="L355" i="5"/>
  <c r="AB355" i="5"/>
  <c r="AD355" i="5"/>
  <c r="G356" i="5"/>
  <c r="I356" i="5"/>
  <c r="K356" i="5"/>
  <c r="L356" i="5"/>
  <c r="AB356" i="5"/>
  <c r="AD356" i="5"/>
  <c r="G357" i="5"/>
  <c r="I357" i="5"/>
  <c r="K357" i="5"/>
  <c r="L357" i="5"/>
  <c r="AB357" i="5"/>
  <c r="AD357" i="5"/>
  <c r="G358" i="5"/>
  <c r="I358" i="5"/>
  <c r="K358" i="5"/>
  <c r="L358" i="5"/>
  <c r="AB358" i="5"/>
  <c r="AD358" i="5"/>
  <c r="G359" i="5"/>
  <c r="I359" i="5"/>
  <c r="K359" i="5"/>
  <c r="L359" i="5"/>
  <c r="AB359" i="5"/>
  <c r="AD359" i="5"/>
  <c r="G360" i="5"/>
  <c r="I360" i="5"/>
  <c r="K360" i="5"/>
  <c r="L360" i="5"/>
  <c r="AB360" i="5"/>
  <c r="AD360" i="5"/>
  <c r="G361" i="5"/>
  <c r="I361" i="5"/>
  <c r="K361" i="5"/>
  <c r="L361" i="5"/>
  <c r="AB361" i="5"/>
  <c r="AD361" i="5"/>
  <c r="G362" i="5"/>
  <c r="I362" i="5"/>
  <c r="K362" i="5"/>
  <c r="L362" i="5"/>
  <c r="AB362" i="5"/>
  <c r="AD362" i="5"/>
  <c r="G363" i="5"/>
  <c r="I363" i="5"/>
  <c r="K363" i="5"/>
  <c r="L363" i="5"/>
  <c r="AB363" i="5"/>
  <c r="AD363" i="5"/>
  <c r="G364" i="5"/>
  <c r="I364" i="5"/>
  <c r="K364" i="5"/>
  <c r="L364" i="5"/>
  <c r="AB364" i="5"/>
  <c r="AD364" i="5"/>
  <c r="G365" i="5"/>
  <c r="I365" i="5"/>
  <c r="K365" i="5"/>
  <c r="L365" i="5"/>
  <c r="AB365" i="5"/>
  <c r="AD365" i="5"/>
  <c r="G366" i="5"/>
  <c r="I366" i="5"/>
  <c r="K366" i="5"/>
  <c r="L366" i="5"/>
  <c r="AB366" i="5"/>
  <c r="AD366" i="5"/>
  <c r="G367" i="5"/>
  <c r="I367" i="5"/>
  <c r="K367" i="5"/>
  <c r="L367" i="5"/>
  <c r="AB367" i="5"/>
  <c r="AD367" i="5"/>
  <c r="G368" i="5"/>
  <c r="I368" i="5"/>
  <c r="K368" i="5"/>
  <c r="L368" i="5"/>
  <c r="AB368" i="5"/>
  <c r="AD368" i="5"/>
  <c r="G369" i="5"/>
  <c r="I369" i="5"/>
  <c r="K369" i="5"/>
  <c r="L369" i="5"/>
  <c r="AB369" i="5"/>
  <c r="AD369" i="5"/>
  <c r="G370" i="5"/>
  <c r="I370" i="5"/>
  <c r="K370" i="5"/>
  <c r="L370" i="5"/>
  <c r="AB370" i="5"/>
  <c r="AD370" i="5"/>
  <c r="G371" i="5"/>
  <c r="I371" i="5"/>
  <c r="K371" i="5"/>
  <c r="L371" i="5"/>
  <c r="AB371" i="5"/>
  <c r="AD371" i="5"/>
  <c r="G372" i="5"/>
  <c r="I372" i="5"/>
  <c r="K372" i="5"/>
  <c r="L372" i="5"/>
  <c r="AB372" i="5"/>
  <c r="AD372" i="5"/>
  <c r="G373" i="5"/>
  <c r="I373" i="5"/>
  <c r="K373" i="5"/>
  <c r="L373" i="5"/>
  <c r="AB373" i="5"/>
  <c r="AD373" i="5"/>
  <c r="G374" i="5"/>
  <c r="I374" i="5"/>
  <c r="K374" i="5"/>
  <c r="L374" i="5"/>
  <c r="AB374" i="5"/>
  <c r="AD374" i="5"/>
  <c r="G375" i="5"/>
  <c r="I375" i="5"/>
  <c r="K375" i="5"/>
  <c r="L375" i="5"/>
  <c r="AB375" i="5"/>
  <c r="AD375" i="5"/>
  <c r="G376" i="5"/>
  <c r="I376" i="5"/>
  <c r="K376" i="5"/>
  <c r="L376" i="5"/>
  <c r="AB376" i="5"/>
  <c r="AD376" i="5"/>
  <c r="G377" i="5"/>
  <c r="I377" i="5"/>
  <c r="K377" i="5"/>
  <c r="L377" i="5"/>
  <c r="AB377" i="5"/>
  <c r="AD377" i="5"/>
  <c r="G378" i="5"/>
  <c r="I378" i="5"/>
  <c r="K378" i="5"/>
  <c r="L378" i="5"/>
  <c r="AB378" i="5"/>
  <c r="AD378" i="5"/>
  <c r="G379" i="5"/>
  <c r="I379" i="5"/>
  <c r="K379" i="5"/>
  <c r="L379" i="5"/>
  <c r="AB379" i="5"/>
  <c r="AD379" i="5"/>
  <c r="G380" i="5"/>
  <c r="I380" i="5"/>
  <c r="K380" i="5"/>
  <c r="L380" i="5"/>
  <c r="AB380" i="5"/>
  <c r="AD380" i="5"/>
  <c r="G381" i="5"/>
  <c r="I381" i="5"/>
  <c r="K381" i="5"/>
  <c r="L381" i="5"/>
  <c r="AB381" i="5"/>
  <c r="AD381" i="5"/>
  <c r="G382" i="5"/>
  <c r="I382" i="5"/>
  <c r="K382" i="5"/>
  <c r="L382" i="5"/>
  <c r="AB382" i="5"/>
  <c r="AD382" i="5"/>
  <c r="G383" i="5"/>
  <c r="I383" i="5"/>
  <c r="K383" i="5"/>
  <c r="L383" i="5"/>
  <c r="AB383" i="5"/>
  <c r="AD383" i="5"/>
  <c r="G384" i="5"/>
  <c r="I384" i="5"/>
  <c r="K384" i="5"/>
  <c r="L384" i="5"/>
  <c r="AB384" i="5"/>
  <c r="AD384" i="5"/>
  <c r="G385" i="5"/>
  <c r="I385" i="5"/>
  <c r="K385" i="5"/>
  <c r="L385" i="5"/>
  <c r="AB385" i="5"/>
  <c r="AD385" i="5"/>
  <c r="G386" i="5"/>
  <c r="I386" i="5"/>
  <c r="K386" i="5"/>
  <c r="L386" i="5"/>
  <c r="AB386" i="5"/>
  <c r="AD386" i="5"/>
  <c r="G387" i="5"/>
  <c r="I387" i="5"/>
  <c r="K387" i="5"/>
  <c r="L387" i="5"/>
  <c r="AB387" i="5"/>
  <c r="AD387" i="5"/>
  <c r="G388" i="5"/>
  <c r="I388" i="5"/>
  <c r="K388" i="5"/>
  <c r="L388" i="5"/>
  <c r="AB388" i="5"/>
  <c r="AD388" i="5"/>
  <c r="G389" i="5"/>
  <c r="I389" i="5"/>
  <c r="K389" i="5"/>
  <c r="L389" i="5"/>
  <c r="AB389" i="5"/>
  <c r="AD389" i="5"/>
  <c r="G390" i="5"/>
  <c r="I390" i="5"/>
  <c r="K390" i="5"/>
  <c r="L390" i="5"/>
  <c r="AB390" i="5"/>
  <c r="AD390" i="5"/>
  <c r="G391" i="5"/>
  <c r="I391" i="5"/>
  <c r="K391" i="5"/>
  <c r="L391" i="5"/>
  <c r="AB391" i="5"/>
  <c r="AD391" i="5"/>
  <c r="G392" i="5"/>
  <c r="I392" i="5"/>
  <c r="K392" i="5"/>
  <c r="L392" i="5"/>
  <c r="AB392" i="5"/>
  <c r="AD392" i="5"/>
  <c r="G393" i="5"/>
  <c r="I393" i="5"/>
  <c r="K393" i="5"/>
  <c r="L393" i="5"/>
  <c r="AB393" i="5"/>
  <c r="AD393" i="5"/>
  <c r="G394" i="5"/>
  <c r="I394" i="5"/>
  <c r="K394" i="5"/>
  <c r="L394" i="5"/>
  <c r="AB394" i="5"/>
  <c r="AD394" i="5"/>
  <c r="G395" i="5"/>
  <c r="I395" i="5"/>
  <c r="K395" i="5"/>
  <c r="L395" i="5"/>
  <c r="AB395" i="5"/>
  <c r="AD395" i="5"/>
  <c r="G396" i="5"/>
  <c r="I396" i="5"/>
  <c r="K396" i="5"/>
  <c r="L396" i="5"/>
  <c r="AB396" i="5"/>
  <c r="AD396" i="5"/>
  <c r="G397" i="5"/>
  <c r="I397" i="5"/>
  <c r="K397" i="5"/>
  <c r="L397" i="5"/>
  <c r="AB397" i="5"/>
  <c r="AD397" i="5"/>
  <c r="G398" i="5"/>
  <c r="I398" i="5"/>
  <c r="K398" i="5"/>
  <c r="L398" i="5"/>
  <c r="AB398" i="5"/>
  <c r="AD398" i="5"/>
  <c r="G399" i="5"/>
  <c r="I399" i="5"/>
  <c r="K399" i="5"/>
  <c r="L399" i="5"/>
  <c r="AB399" i="5"/>
  <c r="AD399" i="5"/>
  <c r="G400" i="5"/>
  <c r="I400" i="5"/>
  <c r="K400" i="5"/>
  <c r="L400" i="5"/>
  <c r="AB400" i="5"/>
  <c r="AD400" i="5"/>
  <c r="G401" i="5"/>
  <c r="I401" i="5"/>
  <c r="K401" i="5"/>
  <c r="L401" i="5"/>
  <c r="AB401" i="5"/>
  <c r="AD401" i="5"/>
  <c r="G402" i="5"/>
  <c r="I402" i="5"/>
  <c r="K402" i="5"/>
  <c r="L402" i="5"/>
  <c r="AB402" i="5"/>
  <c r="AD402" i="5"/>
  <c r="G403" i="5"/>
  <c r="I403" i="5"/>
  <c r="K403" i="5"/>
  <c r="L403" i="5"/>
  <c r="AB403" i="5"/>
  <c r="AD403" i="5"/>
  <c r="G404" i="5"/>
  <c r="I404" i="5"/>
  <c r="K404" i="5"/>
  <c r="L404" i="5"/>
  <c r="AB404" i="5"/>
  <c r="AD404" i="5"/>
  <c r="G405" i="5"/>
  <c r="I405" i="5"/>
  <c r="K405" i="5"/>
  <c r="L405" i="5"/>
  <c r="AB405" i="5"/>
  <c r="AD405" i="5"/>
  <c r="G406" i="5"/>
  <c r="I406" i="5"/>
  <c r="K406" i="5"/>
  <c r="L406" i="5"/>
  <c r="AB406" i="5"/>
  <c r="AD406" i="5"/>
  <c r="G407" i="5"/>
  <c r="I407" i="5"/>
  <c r="K407" i="5"/>
  <c r="L407" i="5"/>
  <c r="AB407" i="5"/>
  <c r="AD407" i="5"/>
  <c r="G408" i="5"/>
  <c r="I408" i="5"/>
  <c r="K408" i="5"/>
  <c r="L408" i="5"/>
  <c r="AB408" i="5"/>
  <c r="AD408" i="5"/>
  <c r="G409" i="5"/>
  <c r="I409" i="5"/>
  <c r="K409" i="5"/>
  <c r="L409" i="5"/>
  <c r="AB409" i="5"/>
  <c r="AD409" i="5"/>
  <c r="G410" i="5"/>
  <c r="I410" i="5"/>
  <c r="K410" i="5"/>
  <c r="L410" i="5"/>
  <c r="AB410" i="5"/>
  <c r="AD410" i="5"/>
  <c r="G411" i="5"/>
  <c r="I411" i="5"/>
  <c r="K411" i="5"/>
  <c r="L411" i="5"/>
  <c r="AB411" i="5"/>
  <c r="AD411" i="5"/>
  <c r="G412" i="5"/>
  <c r="I412" i="5"/>
  <c r="K412" i="5"/>
  <c r="L412" i="5"/>
  <c r="AB412" i="5"/>
  <c r="AD412" i="5"/>
  <c r="G413" i="5"/>
  <c r="I413" i="5"/>
  <c r="K413" i="5"/>
  <c r="L413" i="5"/>
  <c r="AB413" i="5"/>
  <c r="AD413" i="5"/>
  <c r="G414" i="5"/>
  <c r="I414" i="5"/>
  <c r="K414" i="5"/>
  <c r="L414" i="5"/>
  <c r="AB414" i="5"/>
  <c r="AD414" i="5"/>
  <c r="G415" i="5"/>
  <c r="I415" i="5"/>
  <c r="K415" i="5"/>
  <c r="L415" i="5"/>
  <c r="AB415" i="5"/>
  <c r="AD415" i="5"/>
  <c r="G416" i="5"/>
  <c r="I416" i="5"/>
  <c r="K416" i="5"/>
  <c r="L416" i="5"/>
  <c r="AB416" i="5"/>
  <c r="AD416" i="5"/>
  <c r="G417" i="5"/>
  <c r="I417" i="5"/>
  <c r="K417" i="5"/>
  <c r="L417" i="5"/>
  <c r="AB417" i="5"/>
  <c r="AD417" i="5"/>
  <c r="G418" i="5"/>
  <c r="I418" i="5"/>
  <c r="K418" i="5"/>
  <c r="L418" i="5"/>
  <c r="AB418" i="5"/>
  <c r="AD418" i="5"/>
  <c r="G419" i="5"/>
  <c r="I419" i="5"/>
  <c r="K419" i="5"/>
  <c r="L419" i="5"/>
  <c r="AB419" i="5"/>
  <c r="AD419" i="5"/>
  <c r="G420" i="5"/>
  <c r="I420" i="5"/>
  <c r="K420" i="5"/>
  <c r="L420" i="5"/>
  <c r="AB420" i="5"/>
  <c r="AD420" i="5"/>
  <c r="G421" i="5"/>
  <c r="I421" i="5"/>
  <c r="K421" i="5"/>
  <c r="L421" i="5"/>
  <c r="AB421" i="5"/>
  <c r="AD421" i="5"/>
  <c r="G422" i="5"/>
  <c r="I422" i="5"/>
  <c r="K422" i="5"/>
  <c r="L422" i="5"/>
  <c r="AB422" i="5"/>
  <c r="AD422" i="5"/>
  <c r="G423" i="5"/>
  <c r="I423" i="5"/>
  <c r="K423" i="5"/>
  <c r="L423" i="5"/>
  <c r="AB423" i="5"/>
  <c r="AD423" i="5"/>
  <c r="G424" i="5"/>
  <c r="I424" i="5"/>
  <c r="K424" i="5"/>
  <c r="L424" i="5"/>
  <c r="AB424" i="5"/>
  <c r="AD424" i="5"/>
  <c r="G425" i="5"/>
  <c r="I425" i="5"/>
  <c r="K425" i="5"/>
  <c r="L425" i="5"/>
  <c r="AB425" i="5"/>
  <c r="AD425" i="5"/>
  <c r="G426" i="5"/>
  <c r="I426" i="5"/>
  <c r="K426" i="5"/>
  <c r="L426" i="5"/>
  <c r="AB426" i="5"/>
  <c r="AD426" i="5"/>
  <c r="G427" i="5"/>
  <c r="I427" i="5"/>
  <c r="K427" i="5"/>
  <c r="L427" i="5"/>
  <c r="AB427" i="5"/>
  <c r="AD427" i="5"/>
  <c r="G428" i="5"/>
  <c r="I428" i="5"/>
  <c r="K428" i="5"/>
  <c r="L428" i="5"/>
  <c r="AB428" i="5"/>
  <c r="AD428" i="5"/>
  <c r="G429" i="5"/>
  <c r="I429" i="5"/>
  <c r="K429" i="5"/>
  <c r="L429" i="5"/>
  <c r="AB429" i="5"/>
  <c r="AD429" i="5"/>
  <c r="G430" i="5"/>
  <c r="I430" i="5"/>
  <c r="K430" i="5"/>
  <c r="L430" i="5"/>
  <c r="AB430" i="5"/>
  <c r="AD430" i="5"/>
  <c r="G431" i="5"/>
  <c r="I431" i="5"/>
  <c r="K431" i="5"/>
  <c r="L431" i="5"/>
  <c r="AB431" i="5"/>
  <c r="AD431" i="5"/>
  <c r="G432" i="5"/>
  <c r="I432" i="5"/>
  <c r="K432" i="5"/>
  <c r="L432" i="5"/>
  <c r="AB432" i="5"/>
  <c r="AD432" i="5"/>
  <c r="G433" i="5"/>
  <c r="I433" i="5"/>
  <c r="K433" i="5"/>
  <c r="L433" i="5"/>
  <c r="AB433" i="5"/>
  <c r="AD433" i="5"/>
  <c r="G434" i="5"/>
  <c r="I434" i="5"/>
  <c r="K434" i="5"/>
  <c r="L434" i="5"/>
  <c r="AB434" i="5"/>
  <c r="AD434" i="5"/>
  <c r="G435" i="5"/>
  <c r="I435" i="5"/>
  <c r="K435" i="5"/>
  <c r="L435" i="5"/>
  <c r="AB435" i="5"/>
  <c r="AD435" i="5"/>
  <c r="G436" i="5"/>
  <c r="I436" i="5"/>
  <c r="K436" i="5"/>
  <c r="L436" i="5"/>
  <c r="AB436" i="5"/>
  <c r="AD436" i="5"/>
  <c r="G437" i="5"/>
  <c r="I437" i="5"/>
  <c r="K437" i="5"/>
  <c r="L437" i="5"/>
  <c r="AB437" i="5"/>
  <c r="AD437" i="5"/>
  <c r="G438" i="5"/>
  <c r="I438" i="5"/>
  <c r="K438" i="5"/>
  <c r="L438" i="5"/>
  <c r="AB438" i="5"/>
  <c r="AD438" i="5"/>
  <c r="G439" i="5"/>
  <c r="I439" i="5"/>
  <c r="K439" i="5"/>
  <c r="L439" i="5"/>
  <c r="AB439" i="5"/>
  <c r="AD439" i="5"/>
  <c r="G440" i="5"/>
  <c r="I440" i="5"/>
  <c r="K440" i="5"/>
  <c r="L440" i="5"/>
  <c r="AB440" i="5"/>
  <c r="AD440" i="5"/>
  <c r="G441" i="5"/>
  <c r="I441" i="5"/>
  <c r="K441" i="5"/>
  <c r="L441" i="5"/>
  <c r="AB441" i="5"/>
  <c r="AD441" i="5"/>
  <c r="G442" i="5"/>
  <c r="I442" i="5"/>
  <c r="K442" i="5"/>
  <c r="L442" i="5"/>
  <c r="AB442" i="5"/>
  <c r="AD442" i="5"/>
  <c r="G443" i="5"/>
  <c r="I443" i="5"/>
  <c r="K443" i="5"/>
  <c r="L443" i="5"/>
  <c r="AB443" i="5"/>
  <c r="AD443" i="5"/>
  <c r="G444" i="5"/>
  <c r="I444" i="5"/>
  <c r="K444" i="5"/>
  <c r="L444" i="5"/>
  <c r="AB444" i="5"/>
  <c r="AD444" i="5"/>
  <c r="G445" i="5"/>
  <c r="I445" i="5"/>
  <c r="K445" i="5"/>
  <c r="L445" i="5"/>
  <c r="AB445" i="5"/>
  <c r="AD445" i="5"/>
  <c r="G446" i="5"/>
  <c r="I446" i="5"/>
  <c r="K446" i="5"/>
  <c r="L446" i="5"/>
  <c r="AB446" i="5"/>
  <c r="AD446" i="5"/>
  <c r="G447" i="5"/>
  <c r="I447" i="5"/>
  <c r="K447" i="5"/>
  <c r="L447" i="5"/>
  <c r="AB447" i="5"/>
  <c r="AD447" i="5"/>
  <c r="G448" i="5"/>
  <c r="I448" i="5"/>
  <c r="K448" i="5"/>
  <c r="L448" i="5"/>
  <c r="AB448" i="5"/>
  <c r="AD448" i="5"/>
  <c r="G449" i="5"/>
  <c r="I449" i="5"/>
  <c r="K449" i="5"/>
  <c r="L449" i="5"/>
  <c r="AB449" i="5"/>
  <c r="AD449" i="5"/>
  <c r="G450" i="5"/>
  <c r="I450" i="5"/>
  <c r="K450" i="5"/>
  <c r="L450" i="5"/>
  <c r="AB450" i="5"/>
  <c r="AD450" i="5"/>
  <c r="G451" i="5"/>
  <c r="I451" i="5"/>
  <c r="K451" i="5"/>
  <c r="L451" i="5"/>
  <c r="AB451" i="5"/>
  <c r="AD451" i="5"/>
  <c r="G452" i="5"/>
  <c r="I452" i="5"/>
  <c r="K452" i="5"/>
  <c r="L452" i="5"/>
  <c r="AB452" i="5"/>
  <c r="AD452" i="5"/>
  <c r="G453" i="5"/>
  <c r="I453" i="5"/>
  <c r="K453" i="5"/>
  <c r="L453" i="5"/>
  <c r="AB453" i="5"/>
  <c r="AD453" i="5"/>
  <c r="G454" i="5"/>
  <c r="I454" i="5"/>
  <c r="K454" i="5"/>
  <c r="L454" i="5"/>
  <c r="AB454" i="5"/>
  <c r="AD454" i="5"/>
  <c r="G455" i="5"/>
  <c r="I455" i="5"/>
  <c r="K455" i="5"/>
  <c r="L455" i="5"/>
  <c r="AB455" i="5"/>
  <c r="AD455" i="5"/>
  <c r="G456" i="5"/>
  <c r="I456" i="5"/>
  <c r="K456" i="5"/>
  <c r="L456" i="5"/>
  <c r="AB456" i="5"/>
  <c r="AD456" i="5"/>
  <c r="G457" i="5"/>
  <c r="I457" i="5"/>
  <c r="K457" i="5"/>
  <c r="L457" i="5"/>
  <c r="AB457" i="5"/>
  <c r="AD457" i="5"/>
  <c r="G458" i="5"/>
  <c r="I458" i="5"/>
  <c r="K458" i="5"/>
  <c r="L458" i="5"/>
  <c r="AB458" i="5"/>
  <c r="AD458" i="5"/>
  <c r="G459" i="5"/>
  <c r="I459" i="5"/>
  <c r="K459" i="5"/>
  <c r="L459" i="5"/>
  <c r="AB459" i="5"/>
  <c r="AD459" i="5"/>
  <c r="G460" i="5"/>
  <c r="I460" i="5"/>
  <c r="K460" i="5"/>
  <c r="L460" i="5"/>
  <c r="AB460" i="5"/>
  <c r="AD460" i="5"/>
  <c r="G461" i="5"/>
  <c r="I461" i="5"/>
  <c r="K461" i="5"/>
  <c r="L461" i="5"/>
  <c r="AB461" i="5"/>
  <c r="AD461" i="5"/>
  <c r="G462" i="5"/>
  <c r="I462" i="5"/>
  <c r="K462" i="5"/>
  <c r="L462" i="5"/>
  <c r="AB462" i="5"/>
  <c r="AD462" i="5"/>
  <c r="G463" i="5"/>
  <c r="I463" i="5"/>
  <c r="K463" i="5"/>
  <c r="L463" i="5"/>
  <c r="AB463" i="5"/>
  <c r="AD463" i="5"/>
  <c r="G464" i="5"/>
  <c r="I464" i="5"/>
  <c r="K464" i="5"/>
  <c r="L464" i="5"/>
  <c r="AB464" i="5"/>
  <c r="AD464" i="5"/>
  <c r="G465" i="5"/>
  <c r="I465" i="5"/>
  <c r="K465" i="5"/>
  <c r="L465" i="5"/>
  <c r="AB465" i="5"/>
  <c r="AD465" i="5"/>
  <c r="G466" i="5"/>
  <c r="I466" i="5"/>
  <c r="K466" i="5"/>
  <c r="L466" i="5"/>
  <c r="AB466" i="5"/>
  <c r="AD466" i="5"/>
  <c r="G467" i="5"/>
  <c r="I467" i="5"/>
  <c r="K467" i="5"/>
  <c r="L467" i="5"/>
  <c r="AB467" i="5"/>
  <c r="AD467" i="5"/>
  <c r="G468" i="5"/>
  <c r="I468" i="5"/>
  <c r="K468" i="5"/>
  <c r="L468" i="5"/>
  <c r="AB468" i="5"/>
  <c r="AD468" i="5"/>
  <c r="G469" i="5"/>
  <c r="I469" i="5"/>
  <c r="K469" i="5"/>
  <c r="L469" i="5"/>
  <c r="AB469" i="5"/>
  <c r="AD469" i="5"/>
  <c r="G470" i="5"/>
  <c r="I470" i="5"/>
  <c r="K470" i="5"/>
  <c r="L470" i="5"/>
  <c r="AB470" i="5"/>
  <c r="AD470" i="5"/>
  <c r="G471" i="5"/>
  <c r="I471" i="5"/>
  <c r="K471" i="5"/>
  <c r="L471" i="5"/>
  <c r="AB471" i="5"/>
  <c r="AD471" i="5"/>
  <c r="G472" i="5"/>
  <c r="I472" i="5"/>
  <c r="K472" i="5"/>
  <c r="L472" i="5"/>
  <c r="AB472" i="5"/>
  <c r="AD472" i="5"/>
  <c r="G473" i="5"/>
  <c r="I473" i="5"/>
  <c r="K473" i="5"/>
  <c r="L473" i="5"/>
  <c r="AB473" i="5"/>
  <c r="AD473" i="5"/>
  <c r="G474" i="5"/>
  <c r="I474" i="5"/>
  <c r="K474" i="5"/>
  <c r="L474" i="5"/>
  <c r="AB474" i="5"/>
  <c r="AD474" i="5"/>
  <c r="G475" i="5"/>
  <c r="I475" i="5"/>
  <c r="K475" i="5"/>
  <c r="L475" i="5"/>
  <c r="AB475" i="5"/>
  <c r="AD475" i="5"/>
  <c r="G476" i="5"/>
  <c r="I476" i="5"/>
  <c r="K476" i="5"/>
  <c r="L476" i="5"/>
  <c r="AB476" i="5"/>
  <c r="AD476" i="5"/>
  <c r="G477" i="5"/>
  <c r="I477" i="5"/>
  <c r="K477" i="5"/>
  <c r="L477" i="5"/>
  <c r="AB477" i="5"/>
  <c r="AD477" i="5"/>
  <c r="G478" i="5"/>
  <c r="I478" i="5"/>
  <c r="K478" i="5"/>
  <c r="L478" i="5"/>
  <c r="AB478" i="5"/>
  <c r="AD478" i="5"/>
  <c r="G479" i="5"/>
  <c r="I479" i="5"/>
  <c r="K479" i="5"/>
  <c r="L479" i="5"/>
  <c r="AB479" i="5"/>
  <c r="AD479" i="5"/>
  <c r="G480" i="5"/>
  <c r="I480" i="5"/>
  <c r="K480" i="5"/>
  <c r="L480" i="5"/>
  <c r="AB480" i="5"/>
  <c r="AD480" i="5"/>
  <c r="G481" i="5"/>
  <c r="I481" i="5"/>
  <c r="K481" i="5"/>
  <c r="L481" i="5"/>
  <c r="AB481" i="5"/>
  <c r="AD481" i="5"/>
  <c r="G482" i="5"/>
  <c r="I482" i="5"/>
  <c r="K482" i="5"/>
  <c r="L482" i="5"/>
  <c r="AB482" i="5"/>
  <c r="AD482" i="5"/>
  <c r="G483" i="5"/>
  <c r="I483" i="5"/>
  <c r="K483" i="5"/>
  <c r="L483" i="5"/>
  <c r="AB483" i="5"/>
  <c r="AD483" i="5"/>
  <c r="G484" i="5"/>
  <c r="I484" i="5"/>
  <c r="K484" i="5"/>
  <c r="L484" i="5"/>
  <c r="AB484" i="5"/>
  <c r="AD484" i="5"/>
  <c r="G485" i="5"/>
  <c r="I485" i="5"/>
  <c r="K485" i="5"/>
  <c r="L485" i="5"/>
  <c r="AB485" i="5"/>
  <c r="AD485" i="5"/>
  <c r="G486" i="5"/>
  <c r="I486" i="5"/>
  <c r="K486" i="5"/>
  <c r="L486" i="5"/>
  <c r="AB486" i="5"/>
  <c r="AD486" i="5"/>
  <c r="G487" i="5"/>
  <c r="I487" i="5"/>
  <c r="K487" i="5"/>
  <c r="L487" i="5"/>
  <c r="AB487" i="5"/>
  <c r="AD487" i="5"/>
  <c r="G488" i="5"/>
  <c r="I488" i="5"/>
  <c r="K488" i="5"/>
  <c r="L488" i="5"/>
  <c r="AB488" i="5"/>
  <c r="AD488" i="5"/>
  <c r="G489" i="5"/>
  <c r="I489" i="5"/>
  <c r="K489" i="5"/>
  <c r="L489" i="5"/>
  <c r="AB489" i="5"/>
  <c r="AD489" i="5"/>
  <c r="G490" i="5"/>
  <c r="I490" i="5"/>
  <c r="K490" i="5"/>
  <c r="L490" i="5"/>
  <c r="AB490" i="5"/>
  <c r="AD490" i="5"/>
  <c r="G491" i="5"/>
  <c r="I491" i="5"/>
  <c r="K491" i="5"/>
  <c r="L491" i="5"/>
  <c r="AB491" i="5"/>
  <c r="AD491" i="5"/>
  <c r="G492" i="5"/>
  <c r="I492" i="5"/>
  <c r="K492" i="5"/>
  <c r="L492" i="5"/>
  <c r="AB492" i="5"/>
  <c r="AD492" i="5"/>
  <c r="G493" i="5"/>
  <c r="I493" i="5"/>
  <c r="K493" i="5"/>
  <c r="L493" i="5"/>
  <c r="AB493" i="5"/>
  <c r="AD493" i="5"/>
  <c r="G494" i="5"/>
  <c r="I494" i="5"/>
  <c r="K494" i="5"/>
  <c r="L494" i="5"/>
  <c r="AB494" i="5"/>
  <c r="AD494" i="5"/>
  <c r="G495" i="5"/>
  <c r="I495" i="5"/>
  <c r="K495" i="5"/>
  <c r="L495" i="5"/>
  <c r="AB495" i="5"/>
  <c r="AD495" i="5"/>
  <c r="G496" i="5"/>
  <c r="I496" i="5"/>
  <c r="K496" i="5"/>
  <c r="L496" i="5"/>
  <c r="AB496" i="5"/>
  <c r="AD496" i="5"/>
  <c r="G497" i="5"/>
  <c r="I497" i="5"/>
  <c r="K497" i="5"/>
  <c r="L497" i="5"/>
  <c r="AB497" i="5"/>
  <c r="AD497" i="5"/>
  <c r="G498" i="5"/>
  <c r="I498" i="5"/>
  <c r="K498" i="5"/>
  <c r="L498" i="5"/>
  <c r="AB498" i="5"/>
  <c r="AD498" i="5"/>
  <c r="G499" i="5"/>
  <c r="I499" i="5"/>
  <c r="K499" i="5"/>
  <c r="L499" i="5"/>
  <c r="AB499" i="5"/>
  <c r="AD499" i="5"/>
  <c r="G500" i="5"/>
  <c r="I500" i="5"/>
  <c r="K500" i="5"/>
  <c r="L500" i="5"/>
  <c r="AB500" i="5"/>
  <c r="AD500" i="5"/>
  <c r="G501" i="5"/>
  <c r="I501" i="5"/>
  <c r="K501" i="5"/>
  <c r="L501" i="5"/>
  <c r="AB501" i="5"/>
  <c r="AD501" i="5"/>
  <c r="G502" i="5"/>
  <c r="I502" i="5"/>
  <c r="K502" i="5"/>
  <c r="L502" i="5"/>
  <c r="AB502" i="5"/>
  <c r="AD502" i="5"/>
  <c r="G503" i="5"/>
  <c r="I503" i="5"/>
  <c r="K503" i="5"/>
  <c r="L503" i="5"/>
  <c r="AB503" i="5"/>
  <c r="AD503" i="5"/>
  <c r="G504" i="5"/>
  <c r="I504" i="5"/>
  <c r="K504" i="5"/>
  <c r="L504" i="5"/>
  <c r="AB504" i="5"/>
  <c r="AD504" i="5"/>
  <c r="G505" i="5"/>
  <c r="I505" i="5"/>
  <c r="K505" i="5"/>
  <c r="L505" i="5"/>
  <c r="AB505" i="5"/>
  <c r="AD505" i="5"/>
  <c r="G506" i="5"/>
  <c r="I506" i="5"/>
  <c r="K506" i="5"/>
  <c r="L506" i="5"/>
  <c r="AB506" i="5"/>
  <c r="AD506" i="5"/>
  <c r="G507" i="5"/>
  <c r="I507" i="5"/>
  <c r="K507" i="5"/>
  <c r="L507" i="5"/>
  <c r="AB507" i="5"/>
  <c r="AD507" i="5"/>
  <c r="G508" i="5"/>
  <c r="I508" i="5"/>
  <c r="K508" i="5"/>
  <c r="L508" i="5"/>
  <c r="AB508" i="5"/>
  <c r="AD508" i="5"/>
  <c r="G509" i="5"/>
  <c r="I509" i="5"/>
  <c r="K509" i="5"/>
  <c r="L509" i="5"/>
  <c r="AB509" i="5"/>
  <c r="AD509" i="5"/>
  <c r="G510" i="5"/>
  <c r="I510" i="5"/>
  <c r="K510" i="5"/>
  <c r="L510" i="5"/>
  <c r="AB510" i="5"/>
  <c r="AD510" i="5"/>
  <c r="G511" i="5"/>
  <c r="I511" i="5"/>
  <c r="K511" i="5"/>
  <c r="L511" i="5"/>
  <c r="AB511" i="5"/>
  <c r="AD511" i="5"/>
  <c r="G512" i="5"/>
  <c r="I512" i="5"/>
  <c r="K512" i="5"/>
  <c r="L512" i="5"/>
  <c r="AB512" i="5"/>
  <c r="AD512" i="5"/>
  <c r="G513" i="5"/>
  <c r="I513" i="5"/>
  <c r="K513" i="5"/>
  <c r="L513" i="5"/>
  <c r="AB513" i="5"/>
  <c r="AD513" i="5"/>
  <c r="G514" i="5"/>
  <c r="I514" i="5"/>
  <c r="K514" i="5"/>
  <c r="L514" i="5"/>
  <c r="AB514" i="5"/>
  <c r="AD514" i="5"/>
  <c r="G515" i="5"/>
  <c r="I515" i="5"/>
  <c r="K515" i="5"/>
  <c r="L515" i="5"/>
  <c r="AB515" i="5"/>
  <c r="AD515" i="5"/>
  <c r="G516" i="5"/>
  <c r="I516" i="5"/>
  <c r="K516" i="5"/>
  <c r="L516" i="5"/>
  <c r="AB516" i="5"/>
  <c r="AD516" i="5"/>
  <c r="G517" i="5"/>
  <c r="I517" i="5"/>
  <c r="K517" i="5"/>
  <c r="L517" i="5"/>
  <c r="AB517" i="5"/>
  <c r="AD517" i="5"/>
  <c r="G518" i="5"/>
  <c r="I518" i="5"/>
  <c r="K518" i="5"/>
  <c r="L518" i="5"/>
  <c r="AB518" i="5"/>
  <c r="AD518" i="5"/>
  <c r="G519" i="5"/>
  <c r="I519" i="5"/>
  <c r="K519" i="5"/>
  <c r="L519" i="5"/>
  <c r="AB519" i="5"/>
  <c r="AD519" i="5"/>
  <c r="G520" i="5"/>
  <c r="I520" i="5"/>
  <c r="K520" i="5"/>
  <c r="L520" i="5"/>
  <c r="AB520" i="5"/>
  <c r="AD520" i="5"/>
  <c r="G521" i="5"/>
  <c r="I521" i="5"/>
  <c r="K521" i="5"/>
  <c r="L521" i="5"/>
  <c r="AB521" i="5"/>
  <c r="AD521" i="5"/>
  <c r="G522" i="5"/>
  <c r="I522" i="5"/>
  <c r="K522" i="5"/>
  <c r="L522" i="5"/>
  <c r="AB522" i="5"/>
  <c r="AD522" i="5"/>
  <c r="G523" i="5"/>
  <c r="I523" i="5"/>
  <c r="K523" i="5"/>
  <c r="L523" i="5"/>
  <c r="AB523" i="5"/>
  <c r="AD523" i="5"/>
  <c r="G524" i="5"/>
  <c r="I524" i="5"/>
  <c r="K524" i="5"/>
  <c r="L524" i="5"/>
  <c r="AB524" i="5"/>
  <c r="AD524" i="5"/>
  <c r="G525" i="5"/>
  <c r="I525" i="5"/>
  <c r="K525" i="5"/>
  <c r="L525" i="5"/>
  <c r="AB525" i="5"/>
  <c r="AD525" i="5"/>
  <c r="G526" i="5"/>
  <c r="I526" i="5"/>
  <c r="K526" i="5"/>
  <c r="L526" i="5"/>
  <c r="AB526" i="5"/>
  <c r="AD526" i="5"/>
  <c r="G527" i="5"/>
  <c r="I527" i="5"/>
  <c r="K527" i="5"/>
  <c r="L527" i="5"/>
  <c r="AB527" i="5"/>
  <c r="AD527" i="5"/>
  <c r="G528" i="5"/>
  <c r="I528" i="5"/>
  <c r="K528" i="5"/>
  <c r="L528" i="5"/>
  <c r="AB528" i="5"/>
  <c r="AD528" i="5"/>
  <c r="G529" i="5"/>
  <c r="I529" i="5"/>
  <c r="K529" i="5"/>
  <c r="L529" i="5"/>
  <c r="AB529" i="5"/>
  <c r="AD529" i="5"/>
  <c r="G530" i="5"/>
  <c r="I530" i="5"/>
  <c r="K530" i="5"/>
  <c r="L530" i="5"/>
  <c r="AB530" i="5"/>
  <c r="AD530" i="5"/>
  <c r="G531" i="5"/>
  <c r="I531" i="5"/>
  <c r="K531" i="5"/>
  <c r="L531" i="5"/>
  <c r="AB531" i="5"/>
  <c r="AD531" i="5"/>
  <c r="G532" i="5"/>
  <c r="I532" i="5"/>
  <c r="K532" i="5"/>
  <c r="L532" i="5"/>
  <c r="AB532" i="5"/>
  <c r="AD532" i="5"/>
  <c r="G533" i="5"/>
  <c r="I533" i="5"/>
  <c r="K533" i="5"/>
  <c r="L533" i="5"/>
  <c r="AB533" i="5"/>
  <c r="AD533" i="5"/>
  <c r="G534" i="5"/>
  <c r="I534" i="5"/>
  <c r="K534" i="5"/>
  <c r="L534" i="5"/>
  <c r="AB534" i="5"/>
  <c r="AD534" i="5"/>
  <c r="G535" i="5"/>
  <c r="I535" i="5"/>
  <c r="K535" i="5"/>
  <c r="L535" i="5"/>
  <c r="AB535" i="5"/>
  <c r="AD535" i="5"/>
  <c r="G536" i="5"/>
  <c r="I536" i="5"/>
  <c r="K536" i="5"/>
  <c r="L536" i="5"/>
  <c r="AB536" i="5"/>
  <c r="AD536" i="5"/>
  <c r="G537" i="5"/>
  <c r="I537" i="5"/>
  <c r="K537" i="5"/>
  <c r="L537" i="5"/>
  <c r="AB537" i="5"/>
  <c r="AD537" i="5"/>
  <c r="G538" i="5"/>
  <c r="I538" i="5"/>
  <c r="K538" i="5"/>
  <c r="L538" i="5"/>
  <c r="AB538" i="5"/>
  <c r="AD538" i="5"/>
  <c r="G539" i="5"/>
  <c r="I539" i="5"/>
  <c r="K539" i="5"/>
  <c r="L539" i="5"/>
  <c r="AB539" i="5"/>
  <c r="AD539" i="5"/>
  <c r="G540" i="5"/>
  <c r="I540" i="5"/>
  <c r="K540" i="5"/>
  <c r="L540" i="5"/>
  <c r="AB540" i="5"/>
  <c r="AD540" i="5"/>
  <c r="G541" i="5"/>
  <c r="I541" i="5"/>
  <c r="K541" i="5"/>
  <c r="L541" i="5"/>
  <c r="AB541" i="5"/>
  <c r="AD541" i="5"/>
  <c r="G542" i="5"/>
  <c r="I542" i="5"/>
  <c r="K542" i="5"/>
  <c r="L542" i="5"/>
  <c r="AB542" i="5"/>
  <c r="AD542" i="5"/>
  <c r="G543" i="5"/>
  <c r="I543" i="5"/>
  <c r="K543" i="5"/>
  <c r="L543" i="5"/>
  <c r="AB543" i="5"/>
  <c r="AD543" i="5"/>
  <c r="G544" i="5"/>
  <c r="I544" i="5"/>
  <c r="K544" i="5"/>
  <c r="L544" i="5"/>
  <c r="AB544" i="5"/>
  <c r="AD544" i="5"/>
  <c r="G545" i="5"/>
  <c r="I545" i="5"/>
  <c r="K545" i="5"/>
  <c r="L545" i="5"/>
  <c r="AB545" i="5"/>
  <c r="AD545" i="5"/>
  <c r="G546" i="5"/>
  <c r="I546" i="5"/>
  <c r="K546" i="5"/>
  <c r="L546" i="5"/>
  <c r="AB546" i="5"/>
  <c r="AD546" i="5"/>
  <c r="G547" i="5"/>
  <c r="I547" i="5"/>
  <c r="K547" i="5"/>
  <c r="L547" i="5"/>
  <c r="AB547" i="5"/>
  <c r="AD547" i="5"/>
  <c r="G548" i="5"/>
  <c r="I548" i="5"/>
  <c r="K548" i="5"/>
  <c r="L548" i="5"/>
  <c r="AB548" i="5"/>
  <c r="AD548" i="5"/>
  <c r="G549" i="5"/>
  <c r="I549" i="5"/>
  <c r="K549" i="5"/>
  <c r="L549" i="5"/>
  <c r="AB549" i="5"/>
  <c r="AD549" i="5"/>
  <c r="G550" i="5"/>
  <c r="I550" i="5"/>
  <c r="K550" i="5"/>
  <c r="L550" i="5"/>
  <c r="AB550" i="5"/>
  <c r="AD550" i="5"/>
  <c r="G551" i="5"/>
  <c r="I551" i="5"/>
  <c r="K551" i="5"/>
  <c r="L551" i="5"/>
  <c r="AB551" i="5"/>
  <c r="AD551" i="5"/>
  <c r="G552" i="5"/>
  <c r="I552" i="5"/>
  <c r="K552" i="5"/>
  <c r="L552" i="5"/>
  <c r="AB552" i="5"/>
  <c r="AD552" i="5"/>
  <c r="G553" i="5"/>
  <c r="I553" i="5"/>
  <c r="K553" i="5"/>
  <c r="L553" i="5"/>
  <c r="AB553" i="5"/>
  <c r="AD553" i="5"/>
  <c r="G554" i="5"/>
  <c r="I554" i="5"/>
  <c r="K554" i="5"/>
  <c r="L554" i="5"/>
  <c r="AB554" i="5"/>
  <c r="AD554" i="5"/>
  <c r="G555" i="5"/>
  <c r="I555" i="5"/>
  <c r="K555" i="5"/>
  <c r="L555" i="5"/>
  <c r="AB555" i="5"/>
  <c r="AD555" i="5"/>
  <c r="G556" i="5"/>
  <c r="I556" i="5"/>
  <c r="K556" i="5"/>
  <c r="L556" i="5"/>
  <c r="AB556" i="5"/>
  <c r="AD556" i="5"/>
  <c r="G557" i="5"/>
  <c r="I557" i="5"/>
  <c r="K557" i="5"/>
  <c r="L557" i="5"/>
  <c r="AB557" i="5"/>
  <c r="AD557" i="5"/>
  <c r="G558" i="5"/>
  <c r="I558" i="5"/>
  <c r="K558" i="5"/>
  <c r="L558" i="5"/>
  <c r="AB558" i="5"/>
  <c r="AD558" i="5"/>
  <c r="G559" i="5"/>
  <c r="I559" i="5"/>
  <c r="K559" i="5"/>
  <c r="L559" i="5"/>
  <c r="AB559" i="5"/>
  <c r="AD559" i="5"/>
  <c r="G560" i="5"/>
  <c r="I560" i="5"/>
  <c r="K560" i="5"/>
  <c r="L560" i="5"/>
  <c r="AB560" i="5"/>
  <c r="AD560" i="5"/>
  <c r="G561" i="5"/>
  <c r="I561" i="5"/>
  <c r="K561" i="5"/>
  <c r="L561" i="5"/>
  <c r="AB561" i="5"/>
  <c r="AD561" i="5"/>
  <c r="G562" i="5"/>
  <c r="I562" i="5"/>
  <c r="K562" i="5"/>
  <c r="L562" i="5"/>
  <c r="AB562" i="5"/>
  <c r="AD562" i="5"/>
  <c r="G563" i="5"/>
  <c r="I563" i="5"/>
  <c r="K563" i="5"/>
  <c r="L563" i="5"/>
  <c r="AB563" i="5"/>
  <c r="AD563" i="5"/>
  <c r="G564" i="5"/>
  <c r="I564" i="5"/>
  <c r="K564" i="5"/>
  <c r="L564" i="5"/>
  <c r="AB564" i="5"/>
  <c r="AD564" i="5"/>
  <c r="G565" i="5"/>
  <c r="I565" i="5"/>
  <c r="K565" i="5"/>
  <c r="L565" i="5"/>
  <c r="AB565" i="5"/>
  <c r="AD565" i="5"/>
  <c r="G566" i="5"/>
  <c r="I566" i="5"/>
  <c r="K566" i="5"/>
  <c r="L566" i="5"/>
  <c r="AB566" i="5"/>
  <c r="AD566" i="5"/>
  <c r="G567" i="5"/>
  <c r="I567" i="5"/>
  <c r="K567" i="5"/>
  <c r="L567" i="5"/>
  <c r="AB567" i="5"/>
  <c r="AD567" i="5"/>
  <c r="G568" i="5"/>
  <c r="I568" i="5"/>
  <c r="K568" i="5"/>
  <c r="L568" i="5"/>
  <c r="AB568" i="5"/>
  <c r="AD568" i="5"/>
  <c r="G569" i="5"/>
  <c r="I569" i="5"/>
  <c r="K569" i="5"/>
  <c r="L569" i="5"/>
  <c r="AB569" i="5"/>
  <c r="AD569" i="5"/>
  <c r="G570" i="5"/>
  <c r="I570" i="5"/>
  <c r="K570" i="5"/>
  <c r="L570" i="5"/>
  <c r="AB570" i="5"/>
  <c r="AD570" i="5"/>
  <c r="G571" i="5"/>
  <c r="I571" i="5"/>
  <c r="K571" i="5"/>
  <c r="L571" i="5"/>
  <c r="AB571" i="5"/>
  <c r="AD571" i="5"/>
  <c r="G572" i="5"/>
  <c r="I572" i="5"/>
  <c r="K572" i="5"/>
  <c r="L572" i="5"/>
  <c r="AB572" i="5"/>
  <c r="AD572" i="5"/>
  <c r="G573" i="5"/>
  <c r="I573" i="5"/>
  <c r="K573" i="5"/>
  <c r="L573" i="5"/>
  <c r="AB573" i="5"/>
  <c r="AD573" i="5"/>
  <c r="G574" i="5"/>
  <c r="I574" i="5"/>
  <c r="K574" i="5"/>
  <c r="L574" i="5"/>
  <c r="AB574" i="5"/>
  <c r="AD574" i="5"/>
  <c r="G575" i="5"/>
  <c r="I575" i="5"/>
  <c r="K575" i="5"/>
  <c r="L575" i="5"/>
  <c r="AB575" i="5"/>
  <c r="AD575" i="5"/>
  <c r="G576" i="5"/>
  <c r="I576" i="5"/>
  <c r="K576" i="5"/>
  <c r="L576" i="5"/>
  <c r="AB576" i="5"/>
  <c r="AD576" i="5"/>
  <c r="G577" i="5"/>
  <c r="I577" i="5"/>
  <c r="K577" i="5"/>
  <c r="L577" i="5"/>
  <c r="AB577" i="5"/>
  <c r="AD577" i="5"/>
  <c r="G578" i="5"/>
  <c r="I578" i="5"/>
  <c r="K578" i="5"/>
  <c r="L578" i="5"/>
  <c r="AB578" i="5"/>
  <c r="AD578" i="5"/>
  <c r="G579" i="5"/>
  <c r="I579" i="5"/>
  <c r="K579" i="5"/>
  <c r="L579" i="5"/>
  <c r="AB579" i="5"/>
  <c r="AD579" i="5"/>
  <c r="G580" i="5"/>
  <c r="I580" i="5"/>
  <c r="K580" i="5"/>
  <c r="L580" i="5"/>
  <c r="AB580" i="5"/>
  <c r="AD580" i="5"/>
  <c r="G581" i="5"/>
  <c r="I581" i="5"/>
  <c r="K581" i="5"/>
  <c r="L581" i="5"/>
  <c r="AB581" i="5"/>
  <c r="AD581" i="5"/>
  <c r="G582" i="5"/>
  <c r="I582" i="5"/>
  <c r="K582" i="5"/>
  <c r="L582" i="5"/>
  <c r="AB582" i="5"/>
  <c r="AD582" i="5"/>
  <c r="G583" i="5"/>
  <c r="I583" i="5"/>
  <c r="K583" i="5"/>
  <c r="L583" i="5"/>
  <c r="AB583" i="5"/>
  <c r="AD583" i="5"/>
  <c r="G584" i="5"/>
  <c r="I584" i="5"/>
  <c r="K584" i="5"/>
  <c r="L584" i="5"/>
  <c r="AB584" i="5"/>
  <c r="AD584" i="5"/>
  <c r="G585" i="5"/>
  <c r="I585" i="5"/>
  <c r="K585" i="5"/>
  <c r="L585" i="5"/>
  <c r="AB585" i="5"/>
  <c r="AD585" i="5"/>
  <c r="G586" i="5"/>
  <c r="I586" i="5"/>
  <c r="K586" i="5"/>
  <c r="L586" i="5"/>
  <c r="AB586" i="5"/>
  <c r="AD586" i="5"/>
  <c r="G587" i="5"/>
  <c r="I587" i="5"/>
  <c r="K587" i="5"/>
  <c r="L587" i="5"/>
  <c r="AB587" i="5"/>
  <c r="AD587" i="5"/>
  <c r="G588" i="5"/>
  <c r="I588" i="5"/>
  <c r="K588" i="5"/>
  <c r="L588" i="5"/>
  <c r="AB588" i="5"/>
  <c r="AD588" i="5"/>
  <c r="G589" i="5"/>
  <c r="I589" i="5"/>
  <c r="K589" i="5"/>
  <c r="L589" i="5"/>
  <c r="AB589" i="5"/>
  <c r="AD589" i="5"/>
  <c r="G590" i="5"/>
  <c r="I590" i="5"/>
  <c r="K590" i="5"/>
  <c r="L590" i="5"/>
  <c r="AB590" i="5"/>
  <c r="AD590" i="5"/>
  <c r="G591" i="5"/>
  <c r="I591" i="5"/>
  <c r="K591" i="5"/>
  <c r="L591" i="5"/>
  <c r="AB591" i="5"/>
  <c r="AD591" i="5"/>
  <c r="G592" i="5"/>
  <c r="I592" i="5"/>
  <c r="K592" i="5"/>
  <c r="L592" i="5"/>
  <c r="AB592" i="5"/>
  <c r="AD592" i="5"/>
  <c r="G593" i="5"/>
  <c r="I593" i="5"/>
  <c r="K593" i="5"/>
  <c r="L593" i="5"/>
  <c r="AB593" i="5"/>
  <c r="AD593" i="5"/>
  <c r="G594" i="5"/>
  <c r="I594" i="5"/>
  <c r="K594" i="5"/>
  <c r="L594" i="5"/>
  <c r="AB594" i="5"/>
  <c r="AD594" i="5"/>
  <c r="G595" i="5"/>
  <c r="I595" i="5"/>
  <c r="K595" i="5"/>
  <c r="L595" i="5"/>
  <c r="AB595" i="5"/>
  <c r="AD595" i="5"/>
  <c r="G596" i="5"/>
  <c r="I596" i="5"/>
  <c r="K596" i="5"/>
  <c r="L596" i="5"/>
  <c r="AB596" i="5"/>
  <c r="AD596" i="5"/>
  <c r="G597" i="5"/>
  <c r="I597" i="5"/>
  <c r="K597" i="5"/>
  <c r="L597" i="5"/>
  <c r="AB597" i="5"/>
  <c r="AD597" i="5"/>
  <c r="G598" i="5"/>
  <c r="I598" i="5"/>
  <c r="K598" i="5"/>
  <c r="L598" i="5"/>
  <c r="AB598" i="5"/>
  <c r="AD598" i="5"/>
  <c r="G599" i="5"/>
  <c r="I599" i="5"/>
  <c r="K599" i="5"/>
  <c r="L599" i="5"/>
  <c r="AB599" i="5"/>
  <c r="AD599" i="5"/>
  <c r="G600" i="5"/>
  <c r="I600" i="5"/>
  <c r="K600" i="5"/>
  <c r="L600" i="5"/>
  <c r="AB600" i="5"/>
  <c r="AD600" i="5"/>
  <c r="G601" i="5"/>
  <c r="I601" i="5"/>
  <c r="K601" i="5"/>
  <c r="L601" i="5"/>
  <c r="AB601" i="5"/>
  <c r="AD601" i="5"/>
  <c r="G602" i="5"/>
  <c r="I602" i="5"/>
  <c r="K602" i="5"/>
  <c r="L602" i="5"/>
  <c r="AB602" i="5"/>
  <c r="AD602" i="5"/>
  <c r="G603" i="5"/>
  <c r="I603" i="5"/>
  <c r="K603" i="5"/>
  <c r="L603" i="5"/>
  <c r="AB603" i="5"/>
  <c r="AD603" i="5"/>
  <c r="G604" i="5"/>
  <c r="I604" i="5"/>
  <c r="K604" i="5"/>
  <c r="L604" i="5"/>
  <c r="AB604" i="5"/>
  <c r="AD604" i="5"/>
  <c r="G605" i="5"/>
  <c r="I605" i="5"/>
  <c r="K605" i="5"/>
  <c r="L605" i="5"/>
  <c r="AB605" i="5"/>
  <c r="AD605" i="5"/>
  <c r="G606" i="5"/>
  <c r="I606" i="5"/>
  <c r="K606" i="5"/>
  <c r="L606" i="5"/>
  <c r="AB606" i="5"/>
  <c r="AD606" i="5"/>
  <c r="G607" i="5"/>
  <c r="I607" i="5"/>
  <c r="K607" i="5"/>
  <c r="L607" i="5"/>
  <c r="AB607" i="5"/>
  <c r="AD607" i="5"/>
  <c r="G608" i="5"/>
  <c r="I608" i="5"/>
  <c r="K608" i="5"/>
  <c r="L608" i="5"/>
  <c r="AB608" i="5"/>
  <c r="AD608" i="5"/>
  <c r="G609" i="5"/>
  <c r="I609" i="5"/>
  <c r="K609" i="5"/>
  <c r="L609" i="5"/>
  <c r="AB609" i="5"/>
  <c r="AD609" i="5"/>
  <c r="G610" i="5"/>
  <c r="I610" i="5"/>
  <c r="K610" i="5"/>
  <c r="L610" i="5"/>
  <c r="AB610" i="5"/>
  <c r="AD610" i="5"/>
  <c r="G611" i="5"/>
  <c r="I611" i="5"/>
  <c r="K611" i="5"/>
  <c r="L611" i="5"/>
  <c r="AB611" i="5"/>
  <c r="AD611" i="5"/>
  <c r="G612" i="5"/>
  <c r="I612" i="5"/>
  <c r="K612" i="5"/>
  <c r="L612" i="5"/>
  <c r="AB612" i="5"/>
  <c r="AD612" i="5"/>
  <c r="G613" i="5"/>
  <c r="I613" i="5"/>
  <c r="K613" i="5"/>
  <c r="L613" i="5"/>
  <c r="AB613" i="5"/>
  <c r="AD613" i="5"/>
  <c r="G614" i="5"/>
  <c r="I614" i="5"/>
  <c r="K614" i="5"/>
  <c r="L614" i="5"/>
  <c r="AB614" i="5"/>
  <c r="AD614" i="5"/>
  <c r="G615" i="5"/>
  <c r="I615" i="5"/>
  <c r="K615" i="5"/>
  <c r="L615" i="5"/>
  <c r="AB615" i="5"/>
  <c r="AD615" i="5"/>
  <c r="G616" i="5"/>
  <c r="I616" i="5"/>
  <c r="K616" i="5"/>
  <c r="L616" i="5"/>
  <c r="AB616" i="5"/>
  <c r="AD616" i="5"/>
  <c r="G617" i="5"/>
  <c r="I617" i="5"/>
  <c r="K617" i="5"/>
  <c r="L617" i="5"/>
  <c r="AB617" i="5"/>
  <c r="AD617" i="5"/>
  <c r="G618" i="5"/>
  <c r="I618" i="5"/>
  <c r="K618" i="5"/>
  <c r="L618" i="5"/>
  <c r="AB618" i="5"/>
  <c r="AD618" i="5"/>
  <c r="G619" i="5"/>
  <c r="I619" i="5"/>
  <c r="K619" i="5"/>
  <c r="L619" i="5"/>
  <c r="AB619" i="5"/>
  <c r="AD619" i="5"/>
  <c r="G620" i="5"/>
  <c r="I620" i="5"/>
  <c r="K620" i="5"/>
  <c r="L620" i="5"/>
  <c r="AB620" i="5"/>
  <c r="AD620" i="5"/>
  <c r="G621" i="5"/>
  <c r="I621" i="5"/>
  <c r="K621" i="5"/>
  <c r="L621" i="5"/>
  <c r="AB621" i="5"/>
  <c r="AD621" i="5"/>
  <c r="G622" i="5"/>
  <c r="I622" i="5"/>
  <c r="K622" i="5"/>
  <c r="L622" i="5"/>
  <c r="AB622" i="5"/>
  <c r="AD622" i="5"/>
  <c r="G623" i="5"/>
  <c r="I623" i="5"/>
  <c r="K623" i="5"/>
  <c r="L623" i="5"/>
  <c r="AB623" i="5"/>
  <c r="AD623" i="5"/>
  <c r="G624" i="5"/>
  <c r="I624" i="5"/>
  <c r="K624" i="5"/>
  <c r="L624" i="5"/>
  <c r="AB624" i="5"/>
  <c r="AD624" i="5"/>
  <c r="G625" i="5"/>
  <c r="I625" i="5"/>
  <c r="K625" i="5"/>
  <c r="L625" i="5"/>
  <c r="AB625" i="5"/>
  <c r="AD625" i="5"/>
  <c r="G626" i="5"/>
  <c r="I626" i="5"/>
  <c r="K626" i="5"/>
  <c r="L626" i="5"/>
  <c r="AB626" i="5"/>
  <c r="AD626" i="5"/>
  <c r="G627" i="5"/>
  <c r="I627" i="5"/>
  <c r="K627" i="5"/>
  <c r="L627" i="5"/>
  <c r="AB627" i="5"/>
  <c r="AD627" i="5"/>
  <c r="G628" i="5"/>
  <c r="I628" i="5"/>
  <c r="K628" i="5"/>
  <c r="L628" i="5"/>
  <c r="AB628" i="5"/>
  <c r="AD628" i="5"/>
  <c r="G629" i="5"/>
  <c r="I629" i="5"/>
  <c r="K629" i="5"/>
  <c r="L629" i="5"/>
  <c r="AB629" i="5"/>
  <c r="AD629" i="5"/>
  <c r="G630" i="5"/>
  <c r="I630" i="5"/>
  <c r="K630" i="5"/>
  <c r="L630" i="5"/>
  <c r="AB630" i="5"/>
  <c r="AD630" i="5"/>
  <c r="G631" i="5"/>
  <c r="I631" i="5"/>
  <c r="K631" i="5"/>
  <c r="L631" i="5"/>
  <c r="AB631" i="5"/>
  <c r="AD631" i="5"/>
  <c r="G632" i="5"/>
  <c r="I632" i="5"/>
  <c r="K632" i="5"/>
  <c r="L632" i="5"/>
  <c r="AB632" i="5"/>
  <c r="AD632" i="5"/>
  <c r="G633" i="5"/>
  <c r="I633" i="5"/>
  <c r="K633" i="5"/>
  <c r="L633" i="5"/>
  <c r="AB633" i="5"/>
  <c r="AD633" i="5"/>
  <c r="G634" i="5"/>
  <c r="I634" i="5"/>
  <c r="K634" i="5"/>
  <c r="L634" i="5"/>
  <c r="AB634" i="5"/>
  <c r="AD634" i="5"/>
  <c r="G635" i="5"/>
  <c r="I635" i="5"/>
  <c r="K635" i="5"/>
  <c r="L635" i="5"/>
  <c r="AB635" i="5"/>
  <c r="AD635" i="5"/>
  <c r="G636" i="5"/>
  <c r="I636" i="5"/>
  <c r="K636" i="5"/>
  <c r="L636" i="5"/>
  <c r="AB636" i="5"/>
  <c r="AD636" i="5"/>
  <c r="G637" i="5"/>
  <c r="I637" i="5"/>
  <c r="K637" i="5"/>
  <c r="L637" i="5"/>
  <c r="AB637" i="5"/>
  <c r="AD637" i="5"/>
  <c r="G638" i="5"/>
  <c r="I638" i="5"/>
  <c r="K638" i="5"/>
  <c r="L638" i="5"/>
  <c r="AB638" i="5"/>
  <c r="AD638" i="5"/>
  <c r="G639" i="5"/>
  <c r="I639" i="5"/>
  <c r="K639" i="5"/>
  <c r="L639" i="5"/>
  <c r="AB639" i="5"/>
  <c r="AD639" i="5"/>
  <c r="G640" i="5"/>
  <c r="I640" i="5"/>
  <c r="K640" i="5"/>
  <c r="L640" i="5"/>
  <c r="AB640" i="5"/>
  <c r="AD640" i="5"/>
  <c r="G641" i="5"/>
  <c r="I641" i="5"/>
  <c r="K641" i="5"/>
  <c r="L641" i="5"/>
  <c r="AB641" i="5"/>
  <c r="AD641" i="5"/>
  <c r="G642" i="5"/>
  <c r="I642" i="5"/>
  <c r="K642" i="5"/>
  <c r="L642" i="5"/>
  <c r="AB642" i="5"/>
  <c r="AD642" i="5"/>
  <c r="G643" i="5"/>
  <c r="I643" i="5"/>
  <c r="K643" i="5"/>
  <c r="L643" i="5"/>
  <c r="AB643" i="5"/>
  <c r="AD643" i="5"/>
  <c r="G644" i="5"/>
  <c r="I644" i="5"/>
  <c r="K644" i="5"/>
  <c r="L644" i="5"/>
  <c r="AB644" i="5"/>
  <c r="AD644" i="5"/>
  <c r="G645" i="5"/>
  <c r="I645" i="5"/>
  <c r="K645" i="5"/>
  <c r="L645" i="5"/>
  <c r="AB645" i="5"/>
  <c r="AD645" i="5"/>
  <c r="G646" i="5"/>
  <c r="I646" i="5"/>
  <c r="K646" i="5"/>
  <c r="L646" i="5"/>
  <c r="AB646" i="5"/>
  <c r="AD646" i="5"/>
  <c r="G647" i="5"/>
  <c r="I647" i="5"/>
  <c r="K647" i="5"/>
  <c r="L647" i="5"/>
  <c r="AB647" i="5"/>
  <c r="AD647" i="5"/>
  <c r="G648" i="5"/>
  <c r="I648" i="5"/>
  <c r="K648" i="5"/>
  <c r="L648" i="5"/>
  <c r="AB648" i="5"/>
  <c r="AD648" i="5"/>
  <c r="G649" i="5"/>
  <c r="I649" i="5"/>
  <c r="K649" i="5"/>
  <c r="L649" i="5"/>
  <c r="AB649" i="5"/>
  <c r="AD649" i="5"/>
  <c r="G650" i="5"/>
  <c r="I650" i="5"/>
  <c r="K650" i="5"/>
  <c r="L650" i="5"/>
  <c r="AB650" i="5"/>
  <c r="AD650" i="5"/>
  <c r="G651" i="5"/>
  <c r="I651" i="5"/>
  <c r="K651" i="5"/>
  <c r="L651" i="5"/>
  <c r="AB651" i="5"/>
  <c r="AD651" i="5"/>
  <c r="G652" i="5"/>
  <c r="I652" i="5"/>
  <c r="K652" i="5"/>
  <c r="L652" i="5"/>
  <c r="AB652" i="5"/>
  <c r="AD652" i="5"/>
  <c r="G653" i="5"/>
  <c r="I653" i="5"/>
  <c r="K653" i="5"/>
  <c r="L653" i="5"/>
  <c r="AB653" i="5"/>
  <c r="AD653" i="5"/>
  <c r="G654" i="5"/>
  <c r="I654" i="5"/>
  <c r="K654" i="5"/>
  <c r="L654" i="5"/>
  <c r="AB654" i="5"/>
  <c r="AD654" i="5"/>
  <c r="G655" i="5"/>
  <c r="I655" i="5"/>
  <c r="K655" i="5"/>
  <c r="L655" i="5"/>
  <c r="AB655" i="5"/>
  <c r="AD655" i="5"/>
  <c r="G657" i="5"/>
  <c r="I657" i="5"/>
  <c r="K657" i="5"/>
  <c r="L657" i="5"/>
  <c r="AB657" i="5"/>
  <c r="AD657" i="5"/>
  <c r="G658" i="5"/>
  <c r="I658" i="5"/>
  <c r="K658" i="5"/>
  <c r="L658" i="5"/>
  <c r="AB658" i="5"/>
  <c r="AD658" i="5"/>
  <c r="G659" i="5"/>
  <c r="I659" i="5"/>
  <c r="K659" i="5"/>
  <c r="L659" i="5"/>
  <c r="AB659" i="5"/>
  <c r="AD659" i="5"/>
  <c r="G660" i="5"/>
  <c r="I660" i="5"/>
  <c r="K660" i="5"/>
  <c r="L660" i="5"/>
  <c r="AB660" i="5"/>
  <c r="AD660" i="5"/>
  <c r="G661" i="5"/>
  <c r="I661" i="5"/>
  <c r="K661" i="5"/>
  <c r="L661" i="5"/>
  <c r="AB661" i="5"/>
  <c r="AD661" i="5"/>
  <c r="G662" i="5"/>
  <c r="I662" i="5"/>
  <c r="K662" i="5"/>
  <c r="L662" i="5"/>
  <c r="AB662" i="5"/>
  <c r="AD662" i="5"/>
  <c r="G663" i="5"/>
  <c r="I663" i="5"/>
  <c r="K663" i="5"/>
  <c r="L663" i="5"/>
  <c r="AB663" i="5"/>
  <c r="AD663" i="5"/>
  <c r="G664" i="5"/>
  <c r="I664" i="5"/>
  <c r="K664" i="5"/>
  <c r="L664" i="5"/>
  <c r="AB664" i="5"/>
  <c r="AD664" i="5"/>
  <c r="G665" i="5"/>
  <c r="I665" i="5"/>
  <c r="K665" i="5"/>
  <c r="L665" i="5"/>
  <c r="AB665" i="5"/>
  <c r="AD665" i="5"/>
  <c r="G666" i="5"/>
  <c r="I666" i="5"/>
  <c r="K666" i="5"/>
  <c r="L666" i="5"/>
  <c r="AB666" i="5"/>
  <c r="AD666" i="5"/>
  <c r="G667" i="5"/>
  <c r="I667" i="5"/>
  <c r="K667" i="5"/>
  <c r="L667" i="5"/>
  <c r="AB667" i="5"/>
  <c r="AD667" i="5"/>
  <c r="G668" i="5"/>
  <c r="I668" i="5"/>
  <c r="K668" i="5"/>
  <c r="L668" i="5"/>
  <c r="AB668" i="5"/>
  <c r="AD668" i="5"/>
  <c r="G669" i="5"/>
  <c r="I669" i="5"/>
  <c r="K669" i="5"/>
  <c r="L669" i="5"/>
  <c r="AB669" i="5"/>
  <c r="AD669" i="5"/>
  <c r="G670" i="5"/>
  <c r="I670" i="5"/>
  <c r="K670" i="5"/>
  <c r="L670" i="5"/>
  <c r="AB670" i="5"/>
  <c r="AD670" i="5"/>
  <c r="G671" i="5"/>
  <c r="I671" i="5"/>
  <c r="K671" i="5"/>
  <c r="L671" i="5"/>
  <c r="AB671" i="5"/>
  <c r="AD671" i="5"/>
  <c r="G672" i="5"/>
  <c r="I672" i="5"/>
  <c r="K672" i="5"/>
  <c r="L672" i="5"/>
  <c r="AB672" i="5"/>
  <c r="AD672" i="5"/>
  <c r="G673" i="5"/>
  <c r="I673" i="5"/>
  <c r="K673" i="5"/>
  <c r="L673" i="5"/>
  <c r="AB673" i="5"/>
  <c r="AD673" i="5"/>
  <c r="G674" i="5"/>
  <c r="I674" i="5"/>
  <c r="K674" i="5"/>
  <c r="L674" i="5"/>
  <c r="AB674" i="5"/>
  <c r="AD674" i="5"/>
  <c r="G675" i="5"/>
  <c r="I675" i="5"/>
  <c r="K675" i="5"/>
  <c r="L675" i="5"/>
  <c r="AB675" i="5"/>
  <c r="AD675" i="5"/>
  <c r="G676" i="5"/>
  <c r="I676" i="5"/>
  <c r="K676" i="5"/>
  <c r="L676" i="5"/>
  <c r="AB676" i="5"/>
  <c r="AD676" i="5"/>
  <c r="G677" i="5"/>
  <c r="I677" i="5"/>
  <c r="K677" i="5"/>
  <c r="L677" i="5"/>
  <c r="AB677" i="5"/>
  <c r="AD677" i="5"/>
  <c r="G678" i="5"/>
  <c r="I678" i="5"/>
  <c r="K678" i="5"/>
  <c r="L678" i="5"/>
  <c r="AB678" i="5"/>
  <c r="AD678" i="5"/>
  <c r="G679" i="5"/>
  <c r="I679" i="5"/>
  <c r="K679" i="5"/>
  <c r="L679" i="5"/>
  <c r="AB679" i="5"/>
  <c r="AD679" i="5"/>
  <c r="G680" i="5"/>
  <c r="I680" i="5"/>
  <c r="K680" i="5"/>
  <c r="L680" i="5"/>
  <c r="AB680" i="5"/>
  <c r="AD680" i="5"/>
  <c r="G681" i="5"/>
  <c r="I681" i="5"/>
  <c r="K681" i="5"/>
  <c r="L681" i="5"/>
  <c r="AB681" i="5"/>
  <c r="AD681" i="5"/>
  <c r="G682" i="5"/>
  <c r="I682" i="5"/>
  <c r="K682" i="5"/>
  <c r="L682" i="5"/>
  <c r="AB682" i="5"/>
  <c r="AD682" i="5"/>
  <c r="G683" i="5"/>
  <c r="I683" i="5"/>
  <c r="K683" i="5"/>
  <c r="L683" i="5"/>
  <c r="AB683" i="5"/>
  <c r="AD683" i="5"/>
  <c r="G684" i="5"/>
  <c r="I684" i="5"/>
  <c r="K684" i="5"/>
  <c r="L684" i="5"/>
  <c r="AB684" i="5"/>
  <c r="AD684" i="5"/>
  <c r="G685" i="5"/>
  <c r="I685" i="5"/>
  <c r="K685" i="5"/>
  <c r="L685" i="5"/>
  <c r="AB685" i="5"/>
  <c r="AD685" i="5"/>
  <c r="G686" i="5"/>
  <c r="I686" i="5"/>
  <c r="K686" i="5"/>
  <c r="L686" i="5"/>
  <c r="AB686" i="5"/>
  <c r="AD686" i="5"/>
  <c r="G687" i="5"/>
  <c r="I687" i="5"/>
  <c r="K687" i="5"/>
  <c r="L687" i="5"/>
  <c r="AB687" i="5"/>
  <c r="AD687" i="5"/>
  <c r="G688" i="5"/>
  <c r="I688" i="5"/>
  <c r="K688" i="5"/>
  <c r="L688" i="5"/>
  <c r="AB688" i="5"/>
  <c r="AD688" i="5"/>
  <c r="G689" i="5"/>
  <c r="I689" i="5"/>
  <c r="K689" i="5"/>
  <c r="L689" i="5"/>
  <c r="AB689" i="5"/>
  <c r="AD689" i="5"/>
  <c r="G690" i="5"/>
  <c r="I690" i="5"/>
  <c r="K690" i="5"/>
  <c r="L690" i="5"/>
  <c r="AB690" i="5"/>
  <c r="AD690" i="5"/>
  <c r="G691" i="5"/>
  <c r="I691" i="5"/>
  <c r="K691" i="5"/>
  <c r="L691" i="5"/>
  <c r="AB691" i="5"/>
  <c r="AD691" i="5"/>
  <c r="G692" i="5"/>
  <c r="I692" i="5"/>
  <c r="K692" i="5"/>
  <c r="L692" i="5"/>
  <c r="AB692" i="5"/>
  <c r="AD692" i="5"/>
  <c r="G693" i="5"/>
  <c r="I693" i="5"/>
  <c r="K693" i="5"/>
  <c r="L693" i="5"/>
  <c r="AB693" i="5"/>
  <c r="AD693" i="5"/>
  <c r="G694" i="5"/>
  <c r="I694" i="5"/>
  <c r="K694" i="5"/>
  <c r="L694" i="5"/>
  <c r="AB694" i="5"/>
  <c r="AD694" i="5"/>
  <c r="G695" i="5"/>
  <c r="I695" i="5"/>
  <c r="K695" i="5"/>
  <c r="L695" i="5"/>
  <c r="AB695" i="5"/>
  <c r="AD695" i="5"/>
  <c r="G696" i="5"/>
  <c r="I696" i="5"/>
  <c r="K696" i="5"/>
  <c r="L696" i="5"/>
  <c r="AB696" i="5"/>
  <c r="AD696" i="5"/>
  <c r="G697" i="5"/>
  <c r="I697" i="5"/>
  <c r="K697" i="5"/>
  <c r="L697" i="5"/>
  <c r="AB697" i="5"/>
  <c r="AD697" i="5"/>
  <c r="G698" i="5"/>
  <c r="I698" i="5"/>
  <c r="K698" i="5"/>
  <c r="L698" i="5"/>
  <c r="AB698" i="5"/>
  <c r="AD698" i="5"/>
  <c r="G699" i="5"/>
  <c r="I699" i="5"/>
  <c r="K699" i="5"/>
  <c r="L699" i="5"/>
  <c r="AB699" i="5"/>
  <c r="AD699" i="5"/>
  <c r="G700" i="5"/>
  <c r="I700" i="5"/>
  <c r="K700" i="5"/>
  <c r="L700" i="5"/>
  <c r="AB700" i="5"/>
  <c r="AD700" i="5"/>
  <c r="G702" i="5"/>
  <c r="I702" i="5"/>
  <c r="K702" i="5"/>
  <c r="L702" i="5"/>
  <c r="AB702" i="5"/>
  <c r="AD702" i="5"/>
  <c r="G703" i="5"/>
  <c r="I703" i="5"/>
  <c r="K703" i="5"/>
  <c r="L703" i="5"/>
  <c r="AB703" i="5"/>
  <c r="AD703" i="5"/>
  <c r="G704" i="5"/>
  <c r="I704" i="5"/>
  <c r="K704" i="5"/>
  <c r="L704" i="5"/>
  <c r="AB704" i="5"/>
  <c r="AD704" i="5"/>
  <c r="G705" i="5"/>
  <c r="I705" i="5"/>
  <c r="K705" i="5"/>
  <c r="L705" i="5"/>
  <c r="AB705" i="5"/>
  <c r="AD705" i="5"/>
  <c r="G706" i="5"/>
  <c r="I706" i="5"/>
  <c r="K706" i="5"/>
  <c r="L706" i="5"/>
  <c r="AB706" i="5"/>
  <c r="AD706" i="5"/>
  <c r="G707" i="5"/>
  <c r="I707" i="5"/>
  <c r="K707" i="5"/>
  <c r="L707" i="5"/>
  <c r="AB707" i="5"/>
  <c r="AD707" i="5"/>
  <c r="G708" i="5"/>
  <c r="I708" i="5"/>
  <c r="K708" i="5"/>
  <c r="L708" i="5"/>
  <c r="AB708" i="5"/>
  <c r="AD708" i="5"/>
  <c r="G709" i="5"/>
  <c r="I709" i="5"/>
  <c r="K709" i="5"/>
  <c r="L709" i="5"/>
  <c r="AB709" i="5"/>
  <c r="AD709" i="5"/>
  <c r="G710" i="5"/>
  <c r="I710" i="5"/>
  <c r="K710" i="5"/>
  <c r="L710" i="5"/>
  <c r="AB710" i="5"/>
  <c r="AD710" i="5"/>
  <c r="G711" i="5"/>
  <c r="I711" i="5"/>
  <c r="K711" i="5"/>
  <c r="L711" i="5"/>
  <c r="AB711" i="5"/>
  <c r="AD711" i="5"/>
  <c r="G712" i="5"/>
  <c r="I712" i="5"/>
  <c r="K712" i="5"/>
  <c r="L712" i="5"/>
  <c r="AB712" i="5"/>
  <c r="AD712" i="5"/>
  <c r="G713" i="5"/>
  <c r="I713" i="5"/>
  <c r="K713" i="5"/>
  <c r="L713" i="5"/>
  <c r="AB713" i="5"/>
  <c r="AD713" i="5"/>
  <c r="G714" i="5"/>
  <c r="I714" i="5"/>
  <c r="K714" i="5"/>
  <c r="L714" i="5"/>
  <c r="AB714" i="5"/>
  <c r="AD714" i="5"/>
  <c r="G715" i="5"/>
  <c r="I715" i="5"/>
  <c r="K715" i="5"/>
  <c r="L715" i="5"/>
  <c r="AB715" i="5"/>
  <c r="AD715" i="5"/>
  <c r="G716" i="5"/>
  <c r="I716" i="5"/>
  <c r="K716" i="5"/>
  <c r="L716" i="5"/>
  <c r="AB716" i="5"/>
  <c r="AD716" i="5"/>
  <c r="G717" i="5"/>
  <c r="I717" i="5"/>
  <c r="K717" i="5"/>
  <c r="L717" i="5"/>
  <c r="AB717" i="5"/>
  <c r="AD717" i="5"/>
  <c r="G718" i="5"/>
  <c r="I718" i="5"/>
  <c r="K718" i="5"/>
  <c r="L718" i="5"/>
  <c r="AB718" i="5"/>
  <c r="AD718" i="5"/>
  <c r="G719" i="5"/>
  <c r="I719" i="5"/>
  <c r="K719" i="5"/>
  <c r="L719" i="5"/>
  <c r="AB719" i="5"/>
  <c r="AD719" i="5"/>
  <c r="G720" i="5"/>
  <c r="I720" i="5"/>
  <c r="K720" i="5"/>
  <c r="L720" i="5"/>
  <c r="AB720" i="5"/>
  <c r="AD720" i="5"/>
  <c r="G721" i="5"/>
  <c r="I721" i="5"/>
  <c r="K721" i="5"/>
  <c r="L721" i="5"/>
  <c r="AB721" i="5"/>
  <c r="AD721" i="5"/>
  <c r="G722" i="5"/>
  <c r="I722" i="5"/>
  <c r="K722" i="5"/>
  <c r="L722" i="5"/>
  <c r="AB722" i="5"/>
  <c r="AD722" i="5"/>
  <c r="G723" i="5"/>
  <c r="I723" i="5"/>
  <c r="K723" i="5"/>
  <c r="L723" i="5"/>
  <c r="AB723" i="5"/>
  <c r="AD723" i="5"/>
  <c r="G724" i="5"/>
  <c r="I724" i="5"/>
  <c r="K724" i="5"/>
  <c r="L724" i="5"/>
  <c r="AB724" i="5"/>
  <c r="AD724" i="5"/>
  <c r="G725" i="5"/>
  <c r="I725" i="5"/>
  <c r="K725" i="5"/>
  <c r="L725" i="5"/>
  <c r="AB725" i="5"/>
  <c r="AD725" i="5"/>
  <c r="G726" i="5"/>
  <c r="I726" i="5"/>
  <c r="K726" i="5"/>
  <c r="L726" i="5"/>
  <c r="AB726" i="5"/>
  <c r="AD726" i="5"/>
  <c r="G727" i="5"/>
  <c r="I727" i="5"/>
  <c r="K727" i="5"/>
  <c r="L727" i="5"/>
  <c r="AB727" i="5"/>
  <c r="AD727" i="5"/>
  <c r="G728" i="5"/>
  <c r="I728" i="5"/>
  <c r="K728" i="5"/>
  <c r="L728" i="5"/>
  <c r="AB728" i="5"/>
  <c r="AD728" i="5"/>
  <c r="G729" i="5"/>
  <c r="I729" i="5"/>
  <c r="K729" i="5"/>
  <c r="L729" i="5"/>
  <c r="AB729" i="5"/>
  <c r="AD729" i="5"/>
  <c r="G730" i="5"/>
  <c r="I730" i="5"/>
  <c r="K730" i="5"/>
  <c r="L730" i="5"/>
  <c r="AB730" i="5"/>
  <c r="AD730" i="5"/>
  <c r="G731" i="5"/>
  <c r="I731" i="5"/>
  <c r="K731" i="5"/>
  <c r="L731" i="5"/>
  <c r="AB731" i="5"/>
  <c r="AD731" i="5"/>
  <c r="G732" i="5"/>
  <c r="I732" i="5"/>
  <c r="K732" i="5"/>
  <c r="L732" i="5"/>
  <c r="AB732" i="5"/>
  <c r="AD732" i="5"/>
  <c r="G733" i="5"/>
  <c r="I733" i="5"/>
  <c r="K733" i="5"/>
  <c r="L733" i="5"/>
  <c r="AB733" i="5"/>
  <c r="AD733" i="5"/>
  <c r="G734" i="5"/>
  <c r="I734" i="5"/>
  <c r="K734" i="5"/>
  <c r="L734" i="5"/>
  <c r="AB734" i="5"/>
  <c r="AD734" i="5"/>
  <c r="G735" i="5"/>
  <c r="I735" i="5"/>
  <c r="K735" i="5"/>
  <c r="L735" i="5"/>
  <c r="AB735" i="5"/>
  <c r="AD735" i="5"/>
  <c r="G736" i="5"/>
  <c r="I736" i="5"/>
  <c r="K736" i="5"/>
  <c r="L736" i="5"/>
  <c r="AB736" i="5"/>
  <c r="AD736" i="5"/>
  <c r="G737" i="5"/>
  <c r="I737" i="5"/>
  <c r="K737" i="5"/>
  <c r="L737" i="5"/>
  <c r="AB737" i="5"/>
  <c r="AD737" i="5"/>
  <c r="AD2" i="5"/>
  <c r="AB2" i="5"/>
  <c r="L2" i="5"/>
  <c r="K2" i="5"/>
  <c r="I2" i="5"/>
  <c r="G2" i="5"/>
  <c r="A3" i="5"/>
  <c r="B3" i="5"/>
  <c r="C3" i="5"/>
  <c r="E3" i="5"/>
  <c r="A4" i="5"/>
  <c r="B4" i="5"/>
  <c r="C4" i="5"/>
  <c r="E4" i="5"/>
  <c r="A5" i="5"/>
  <c r="B5" i="5"/>
  <c r="C5" i="5"/>
  <c r="E5" i="5"/>
  <c r="A6" i="5"/>
  <c r="B6" i="5"/>
  <c r="C6" i="5"/>
  <c r="E6" i="5"/>
  <c r="A7" i="5"/>
  <c r="B7" i="5"/>
  <c r="C7" i="5"/>
  <c r="E7" i="5"/>
  <c r="A8" i="5"/>
  <c r="B8" i="5"/>
  <c r="C8" i="5"/>
  <c r="E8" i="5"/>
  <c r="A9" i="5"/>
  <c r="B9" i="5"/>
  <c r="C9" i="5"/>
  <c r="E9" i="5"/>
  <c r="A10" i="5"/>
  <c r="B10" i="5"/>
  <c r="C10" i="5"/>
  <c r="E10" i="5"/>
  <c r="A11" i="5"/>
  <c r="B11" i="5"/>
  <c r="C11" i="5"/>
  <c r="E11" i="5"/>
  <c r="A12" i="5"/>
  <c r="B12" i="5"/>
  <c r="C12" i="5"/>
  <c r="E12" i="5"/>
  <c r="A13" i="5"/>
  <c r="B13" i="5"/>
  <c r="C13" i="5"/>
  <c r="E13" i="5"/>
  <c r="A14" i="5"/>
  <c r="B14" i="5"/>
  <c r="C14" i="5"/>
  <c r="E14" i="5"/>
  <c r="A15" i="5"/>
  <c r="B15" i="5"/>
  <c r="C15" i="5"/>
  <c r="E15" i="5"/>
  <c r="A16" i="5"/>
  <c r="B16" i="5"/>
  <c r="C16" i="5"/>
  <c r="E16" i="5"/>
  <c r="A17" i="5"/>
  <c r="B17" i="5"/>
  <c r="C17" i="5"/>
  <c r="E17" i="5"/>
  <c r="A18" i="5"/>
  <c r="B18" i="5"/>
  <c r="C18" i="5"/>
  <c r="E18" i="5"/>
  <c r="A19" i="5"/>
  <c r="B19" i="5"/>
  <c r="C19" i="5"/>
  <c r="E19" i="5"/>
  <c r="A20" i="5"/>
  <c r="B20" i="5"/>
  <c r="C20" i="5"/>
  <c r="E20" i="5"/>
  <c r="A21" i="5"/>
  <c r="B21" i="5"/>
  <c r="C21" i="5"/>
  <c r="E21" i="5"/>
  <c r="A22" i="5"/>
  <c r="B22" i="5"/>
  <c r="C22" i="5"/>
  <c r="E22" i="5"/>
  <c r="A23" i="5"/>
  <c r="B23" i="5"/>
  <c r="C23" i="5"/>
  <c r="E23" i="5"/>
  <c r="A24" i="5"/>
  <c r="B24" i="5"/>
  <c r="C24" i="5"/>
  <c r="E24" i="5"/>
  <c r="A25" i="5"/>
  <c r="B25" i="5"/>
  <c r="C25" i="5"/>
  <c r="E25" i="5"/>
  <c r="A26" i="5"/>
  <c r="B26" i="5"/>
  <c r="C26" i="5"/>
  <c r="E26" i="5"/>
  <c r="A27" i="5"/>
  <c r="B27" i="5"/>
  <c r="C27" i="5"/>
  <c r="E27" i="5"/>
  <c r="A28" i="5"/>
  <c r="B28" i="5"/>
  <c r="C28" i="5"/>
  <c r="E28" i="5"/>
  <c r="A29" i="5"/>
  <c r="B29" i="5"/>
  <c r="C29" i="5"/>
  <c r="E29" i="5"/>
  <c r="A30" i="5"/>
  <c r="B30" i="5"/>
  <c r="C30" i="5"/>
  <c r="E30" i="5"/>
  <c r="A31" i="5"/>
  <c r="B31" i="5"/>
  <c r="C31" i="5"/>
  <c r="E31" i="5"/>
  <c r="A32" i="5"/>
  <c r="B32" i="5"/>
  <c r="C32" i="5"/>
  <c r="E32" i="5"/>
  <c r="A33" i="5"/>
  <c r="B33" i="5"/>
  <c r="C33" i="5"/>
  <c r="E33" i="5"/>
  <c r="A34" i="5"/>
  <c r="B34" i="5"/>
  <c r="C34" i="5"/>
  <c r="E34" i="5"/>
  <c r="A35" i="5"/>
  <c r="B35" i="5"/>
  <c r="C35" i="5"/>
  <c r="E35" i="5"/>
  <c r="A36" i="5"/>
  <c r="B36" i="5"/>
  <c r="C36" i="5"/>
  <c r="E36" i="5"/>
  <c r="A37" i="5"/>
  <c r="B37" i="5"/>
  <c r="C37" i="5"/>
  <c r="E37" i="5"/>
  <c r="A38" i="5"/>
  <c r="B38" i="5"/>
  <c r="C38" i="5"/>
  <c r="E38" i="5"/>
  <c r="A39" i="5"/>
  <c r="B39" i="5"/>
  <c r="C39" i="5"/>
  <c r="E39" i="5"/>
  <c r="A40" i="5"/>
  <c r="B40" i="5"/>
  <c r="C40" i="5"/>
  <c r="E40" i="5"/>
  <c r="A41" i="5"/>
  <c r="B41" i="5"/>
  <c r="C41" i="5"/>
  <c r="E41" i="5"/>
  <c r="A42" i="5"/>
  <c r="B42" i="5"/>
  <c r="C42" i="5"/>
  <c r="E42" i="5"/>
  <c r="A43" i="5"/>
  <c r="B43" i="5"/>
  <c r="C43" i="5"/>
  <c r="E43" i="5"/>
  <c r="A44" i="5"/>
  <c r="B44" i="5"/>
  <c r="C44" i="5"/>
  <c r="E44" i="5"/>
  <c r="A45" i="5"/>
  <c r="B45" i="5"/>
  <c r="C45" i="5"/>
  <c r="E45" i="5"/>
  <c r="A46" i="5"/>
  <c r="B46" i="5"/>
  <c r="C46" i="5"/>
  <c r="E46" i="5"/>
  <c r="A47" i="5"/>
  <c r="B47" i="5"/>
  <c r="C47" i="5"/>
  <c r="E47" i="5"/>
  <c r="A48" i="5"/>
  <c r="B48" i="5"/>
  <c r="C48" i="5"/>
  <c r="E48" i="5"/>
  <c r="A49" i="5"/>
  <c r="B49" i="5"/>
  <c r="C49" i="5"/>
  <c r="E49" i="5"/>
  <c r="A50" i="5"/>
  <c r="B50" i="5"/>
  <c r="C50" i="5"/>
  <c r="E50" i="5"/>
  <c r="A51" i="5"/>
  <c r="B51" i="5"/>
  <c r="C51" i="5"/>
  <c r="E51" i="5"/>
  <c r="A52" i="5"/>
  <c r="B52" i="5"/>
  <c r="C52" i="5"/>
  <c r="E52" i="5"/>
  <c r="A53" i="5"/>
  <c r="B53" i="5"/>
  <c r="C53" i="5"/>
  <c r="E53" i="5"/>
  <c r="A54" i="5"/>
  <c r="B54" i="5"/>
  <c r="C54" i="5"/>
  <c r="E54" i="5"/>
  <c r="A55" i="5"/>
  <c r="B55" i="5"/>
  <c r="C55" i="5"/>
  <c r="E55" i="5"/>
  <c r="A56" i="5"/>
  <c r="B56" i="5"/>
  <c r="C56" i="5"/>
  <c r="E56" i="5"/>
  <c r="A57" i="5"/>
  <c r="B57" i="5"/>
  <c r="C57" i="5"/>
  <c r="E57" i="5"/>
  <c r="A58" i="5"/>
  <c r="B58" i="5"/>
  <c r="C58" i="5"/>
  <c r="E58" i="5"/>
  <c r="A59" i="5"/>
  <c r="B59" i="5"/>
  <c r="C59" i="5"/>
  <c r="E59" i="5"/>
  <c r="A60" i="5"/>
  <c r="B60" i="5"/>
  <c r="C60" i="5"/>
  <c r="E60" i="5"/>
  <c r="A61" i="5"/>
  <c r="B61" i="5"/>
  <c r="C61" i="5"/>
  <c r="E61" i="5"/>
  <c r="A62" i="5"/>
  <c r="B62" i="5"/>
  <c r="C62" i="5"/>
  <c r="E62" i="5"/>
  <c r="A63" i="5"/>
  <c r="B63" i="5"/>
  <c r="C63" i="5"/>
  <c r="E63" i="5"/>
  <c r="A64" i="5"/>
  <c r="B64" i="5"/>
  <c r="C64" i="5"/>
  <c r="E64" i="5"/>
  <c r="A65" i="5"/>
  <c r="B65" i="5"/>
  <c r="C65" i="5"/>
  <c r="E65" i="5"/>
  <c r="A66" i="5"/>
  <c r="B66" i="5"/>
  <c r="C66" i="5"/>
  <c r="E66" i="5"/>
  <c r="A67" i="5"/>
  <c r="B67" i="5"/>
  <c r="C67" i="5"/>
  <c r="E67" i="5"/>
  <c r="A68" i="5"/>
  <c r="B68" i="5"/>
  <c r="C68" i="5"/>
  <c r="E68" i="5"/>
  <c r="A69" i="5"/>
  <c r="B69" i="5"/>
  <c r="C69" i="5"/>
  <c r="E69" i="5"/>
  <c r="A70" i="5"/>
  <c r="B70" i="5"/>
  <c r="C70" i="5"/>
  <c r="E70" i="5"/>
  <c r="A71" i="5"/>
  <c r="B71" i="5"/>
  <c r="C71" i="5"/>
  <c r="E71" i="5"/>
  <c r="A72" i="5"/>
  <c r="B72" i="5"/>
  <c r="C72" i="5"/>
  <c r="E72" i="5"/>
  <c r="A73" i="5"/>
  <c r="B73" i="5"/>
  <c r="C73" i="5"/>
  <c r="E73" i="5"/>
  <c r="A74" i="5"/>
  <c r="B74" i="5"/>
  <c r="C74" i="5"/>
  <c r="E74" i="5"/>
  <c r="A75" i="5"/>
  <c r="B75" i="5"/>
  <c r="C75" i="5"/>
  <c r="E75" i="5"/>
  <c r="A76" i="5"/>
  <c r="B76" i="5"/>
  <c r="C76" i="5"/>
  <c r="E76" i="5"/>
  <c r="A77" i="5"/>
  <c r="B77" i="5"/>
  <c r="C77" i="5"/>
  <c r="E77" i="5"/>
  <c r="A78" i="5"/>
  <c r="B78" i="5"/>
  <c r="C78" i="5"/>
  <c r="E78" i="5"/>
  <c r="A79" i="5"/>
  <c r="B79" i="5"/>
  <c r="C79" i="5"/>
  <c r="E79" i="5"/>
  <c r="A80" i="5"/>
  <c r="B80" i="5"/>
  <c r="C80" i="5"/>
  <c r="E80" i="5"/>
  <c r="A81" i="5"/>
  <c r="B81" i="5"/>
  <c r="C81" i="5"/>
  <c r="E81" i="5"/>
  <c r="A82" i="5"/>
  <c r="B82" i="5"/>
  <c r="C82" i="5"/>
  <c r="E82" i="5"/>
  <c r="A83" i="5"/>
  <c r="B83" i="5"/>
  <c r="C83" i="5"/>
  <c r="E83" i="5"/>
  <c r="A84" i="5"/>
  <c r="B84" i="5"/>
  <c r="C84" i="5"/>
  <c r="E84" i="5"/>
  <c r="A85" i="5"/>
  <c r="B85" i="5"/>
  <c r="C85" i="5"/>
  <c r="E85" i="5"/>
  <c r="A86" i="5"/>
  <c r="B86" i="5"/>
  <c r="C86" i="5"/>
  <c r="E86" i="5"/>
  <c r="A87" i="5"/>
  <c r="B87" i="5"/>
  <c r="C87" i="5"/>
  <c r="E87" i="5"/>
  <c r="A88" i="5"/>
  <c r="B88" i="5"/>
  <c r="C88" i="5"/>
  <c r="E88" i="5"/>
  <c r="A89" i="5"/>
  <c r="B89" i="5"/>
  <c r="C89" i="5"/>
  <c r="E89" i="5"/>
  <c r="A90" i="5"/>
  <c r="B90" i="5"/>
  <c r="C90" i="5"/>
  <c r="E90" i="5"/>
  <c r="A91" i="5"/>
  <c r="B91" i="5"/>
  <c r="C91" i="5"/>
  <c r="E91" i="5"/>
  <c r="A92" i="5"/>
  <c r="B92" i="5"/>
  <c r="C92" i="5"/>
  <c r="E92" i="5"/>
  <c r="A93" i="5"/>
  <c r="B93" i="5"/>
  <c r="C93" i="5"/>
  <c r="E93" i="5"/>
  <c r="A94" i="5"/>
  <c r="B94" i="5"/>
  <c r="C94" i="5"/>
  <c r="E94" i="5"/>
  <c r="A95" i="5"/>
  <c r="B95" i="5"/>
  <c r="C95" i="5"/>
  <c r="E95" i="5"/>
  <c r="A96" i="5"/>
  <c r="B96" i="5"/>
  <c r="C96" i="5"/>
  <c r="E96" i="5"/>
  <c r="A97" i="5"/>
  <c r="B97" i="5"/>
  <c r="C97" i="5"/>
  <c r="E97" i="5"/>
  <c r="A98" i="5"/>
  <c r="B98" i="5"/>
  <c r="C98" i="5"/>
  <c r="E98" i="5"/>
  <c r="A99" i="5"/>
  <c r="B99" i="5"/>
  <c r="C99" i="5"/>
  <c r="D99" i="5"/>
  <c r="E99" i="5"/>
  <c r="A100" i="5"/>
  <c r="B100" i="5"/>
  <c r="C100" i="5"/>
  <c r="D100" i="5"/>
  <c r="E100" i="5"/>
  <c r="A101" i="5"/>
  <c r="B101" i="5"/>
  <c r="C101" i="5"/>
  <c r="D101" i="5"/>
  <c r="E101" i="5"/>
  <c r="A102" i="5"/>
  <c r="B102" i="5"/>
  <c r="C102" i="5"/>
  <c r="D102" i="5"/>
  <c r="E102" i="5"/>
  <c r="A103" i="5"/>
  <c r="B103" i="5"/>
  <c r="C103" i="5"/>
  <c r="E103" i="5"/>
  <c r="A104" i="5"/>
  <c r="B104" i="5"/>
  <c r="C104" i="5"/>
  <c r="E104" i="5"/>
  <c r="A105" i="5"/>
  <c r="B105" i="5"/>
  <c r="C105" i="5"/>
  <c r="E105" i="5"/>
  <c r="A106" i="5"/>
  <c r="B106" i="5"/>
  <c r="C106" i="5"/>
  <c r="E106" i="5"/>
  <c r="A107" i="5"/>
  <c r="B107" i="5"/>
  <c r="C107" i="5"/>
  <c r="E107" i="5"/>
  <c r="A108" i="5"/>
  <c r="B108" i="5"/>
  <c r="C108" i="5"/>
  <c r="E108" i="5"/>
  <c r="A109" i="5"/>
  <c r="B109" i="5"/>
  <c r="C109" i="5"/>
  <c r="E109" i="5"/>
  <c r="A110" i="5"/>
  <c r="B110" i="5"/>
  <c r="C110" i="5"/>
  <c r="E110" i="5"/>
  <c r="A111" i="5"/>
  <c r="B111" i="5"/>
  <c r="C111" i="5"/>
  <c r="E111" i="5"/>
  <c r="A112" i="5"/>
  <c r="B112" i="5"/>
  <c r="C112" i="5"/>
  <c r="E112" i="5"/>
  <c r="A113" i="5"/>
  <c r="B113" i="5"/>
  <c r="C113" i="5"/>
  <c r="E113" i="5"/>
  <c r="A114" i="5"/>
  <c r="B114" i="5"/>
  <c r="C114" i="5"/>
  <c r="E114" i="5"/>
  <c r="A115" i="5"/>
  <c r="B115" i="5"/>
  <c r="C115" i="5"/>
  <c r="E115" i="5"/>
  <c r="A116" i="5"/>
  <c r="B116" i="5"/>
  <c r="C116" i="5"/>
  <c r="E116" i="5"/>
  <c r="A117" i="5"/>
  <c r="B117" i="5"/>
  <c r="C117" i="5"/>
  <c r="E117" i="5"/>
  <c r="A118" i="5"/>
  <c r="B118" i="5"/>
  <c r="C118" i="5"/>
  <c r="E118" i="5"/>
  <c r="A119" i="5"/>
  <c r="B119" i="5"/>
  <c r="C119" i="5"/>
  <c r="E119" i="5"/>
  <c r="A120" i="5"/>
  <c r="B120" i="5"/>
  <c r="C120" i="5"/>
  <c r="E120" i="5"/>
  <c r="A121" i="5"/>
  <c r="B121" i="5"/>
  <c r="C121" i="5"/>
  <c r="E121" i="5"/>
  <c r="A122" i="5"/>
  <c r="B122" i="5"/>
  <c r="C122" i="5"/>
  <c r="E122" i="5"/>
  <c r="A123" i="5"/>
  <c r="B123" i="5"/>
  <c r="C123" i="5"/>
  <c r="E123" i="5"/>
  <c r="A124" i="5"/>
  <c r="B124" i="5"/>
  <c r="C124" i="5"/>
  <c r="E124" i="5"/>
  <c r="A125" i="5"/>
  <c r="B125" i="5"/>
  <c r="C125" i="5"/>
  <c r="E125" i="5"/>
  <c r="A126" i="5"/>
  <c r="B126" i="5"/>
  <c r="C126" i="5"/>
  <c r="E126" i="5"/>
  <c r="A127" i="5"/>
  <c r="B127" i="5"/>
  <c r="C127" i="5"/>
  <c r="E127" i="5"/>
  <c r="A128" i="5"/>
  <c r="B128" i="5"/>
  <c r="C128" i="5"/>
  <c r="E128" i="5"/>
  <c r="A129" i="5"/>
  <c r="B129" i="5"/>
  <c r="C129" i="5"/>
  <c r="E129" i="5"/>
  <c r="A130" i="5"/>
  <c r="B130" i="5"/>
  <c r="C130" i="5"/>
  <c r="E130" i="5"/>
  <c r="A131" i="5"/>
  <c r="B131" i="5"/>
  <c r="C131" i="5"/>
  <c r="E131" i="5"/>
  <c r="A132" i="5"/>
  <c r="B132" i="5"/>
  <c r="C132" i="5"/>
  <c r="D132" i="5"/>
  <c r="E132" i="5"/>
  <c r="A133" i="5"/>
  <c r="B133" i="5"/>
  <c r="C133" i="5"/>
  <c r="E133" i="5"/>
  <c r="A134" i="5"/>
  <c r="B134" i="5"/>
  <c r="C134" i="5"/>
  <c r="E134" i="5"/>
  <c r="A135" i="5"/>
  <c r="B135" i="5"/>
  <c r="C135" i="5"/>
  <c r="E135" i="5"/>
  <c r="A136" i="5"/>
  <c r="B136" i="5"/>
  <c r="C136" i="5"/>
  <c r="E136" i="5"/>
  <c r="A137" i="5"/>
  <c r="B137" i="5"/>
  <c r="C137" i="5"/>
  <c r="E137" i="5"/>
  <c r="A138" i="5"/>
  <c r="B138" i="5"/>
  <c r="C138" i="5"/>
  <c r="E138" i="5"/>
  <c r="A139" i="5"/>
  <c r="B139" i="5"/>
  <c r="C139" i="5"/>
  <c r="E139" i="5"/>
  <c r="A140" i="5"/>
  <c r="B140" i="5"/>
  <c r="C140" i="5"/>
  <c r="E140" i="5"/>
  <c r="A141" i="5"/>
  <c r="B141" i="5"/>
  <c r="C141" i="5"/>
  <c r="E141" i="5"/>
  <c r="A142" i="5"/>
  <c r="B142" i="5"/>
  <c r="C142" i="5"/>
  <c r="E142" i="5"/>
  <c r="A143" i="5"/>
  <c r="B143" i="5"/>
  <c r="C143" i="5"/>
  <c r="E143" i="5"/>
  <c r="A144" i="5"/>
  <c r="B144" i="5"/>
  <c r="C144" i="5"/>
  <c r="E144" i="5"/>
  <c r="A145" i="5"/>
  <c r="B145" i="5"/>
  <c r="C145" i="5"/>
  <c r="E145" i="5"/>
  <c r="A146" i="5"/>
  <c r="B146" i="5"/>
  <c r="C146" i="5"/>
  <c r="E146" i="5"/>
  <c r="A147" i="5"/>
  <c r="B147" i="5"/>
  <c r="C147" i="5"/>
  <c r="E147" i="5"/>
  <c r="A148" i="5"/>
  <c r="B148" i="5"/>
  <c r="C148" i="5"/>
  <c r="E148" i="5"/>
  <c r="A149" i="5"/>
  <c r="B149" i="5"/>
  <c r="C149" i="5"/>
  <c r="E149" i="5"/>
  <c r="A150" i="5"/>
  <c r="B150" i="5"/>
  <c r="C150" i="5"/>
  <c r="E150" i="5"/>
  <c r="A151" i="5"/>
  <c r="B151" i="5"/>
  <c r="C151" i="5"/>
  <c r="E151" i="5"/>
  <c r="A152" i="5"/>
  <c r="B152" i="5"/>
  <c r="C152" i="5"/>
  <c r="E152" i="5"/>
  <c r="A153" i="5"/>
  <c r="B153" i="5"/>
  <c r="C153" i="5"/>
  <c r="E153" i="5"/>
  <c r="A154" i="5"/>
  <c r="B154" i="5"/>
  <c r="C154" i="5"/>
  <c r="E154" i="5"/>
  <c r="A155" i="5"/>
  <c r="B155" i="5"/>
  <c r="C155" i="5"/>
  <c r="E155" i="5"/>
  <c r="A156" i="5"/>
  <c r="B156" i="5"/>
  <c r="C156" i="5"/>
  <c r="E156" i="5"/>
  <c r="A157" i="5"/>
  <c r="B157" i="5"/>
  <c r="C157" i="5"/>
  <c r="E157" i="5"/>
  <c r="A158" i="5"/>
  <c r="B158" i="5"/>
  <c r="C158" i="5"/>
  <c r="E158" i="5"/>
  <c r="A159" i="5"/>
  <c r="B159" i="5"/>
  <c r="C159" i="5"/>
  <c r="E159" i="5"/>
  <c r="A160" i="5"/>
  <c r="B160" i="5"/>
  <c r="C160" i="5"/>
  <c r="E160" i="5"/>
  <c r="A161" i="5"/>
  <c r="B161" i="5"/>
  <c r="C161" i="5"/>
  <c r="E161" i="5"/>
  <c r="A162" i="5"/>
  <c r="B162" i="5"/>
  <c r="C162" i="5"/>
  <c r="E162" i="5"/>
  <c r="A163" i="5"/>
  <c r="B163" i="5"/>
  <c r="C163" i="5"/>
  <c r="E163" i="5"/>
  <c r="A164" i="5"/>
  <c r="B164" i="5"/>
  <c r="C164" i="5"/>
  <c r="E164" i="5"/>
  <c r="A165" i="5"/>
  <c r="B165" i="5"/>
  <c r="C165" i="5"/>
  <c r="D165" i="5"/>
  <c r="E165" i="5"/>
  <c r="A166" i="5"/>
  <c r="B166" i="5"/>
  <c r="C166" i="5"/>
  <c r="E166" i="5"/>
  <c r="A167" i="5"/>
  <c r="B167" i="5"/>
  <c r="C167" i="5"/>
  <c r="D167" i="5"/>
  <c r="E167" i="5"/>
  <c r="A168" i="5"/>
  <c r="B168" i="5"/>
  <c r="C168" i="5"/>
  <c r="E168" i="5"/>
  <c r="A169" i="5"/>
  <c r="B169" i="5"/>
  <c r="C169" i="5"/>
  <c r="E169" i="5"/>
  <c r="A170" i="5"/>
  <c r="B170" i="5"/>
  <c r="C170" i="5"/>
  <c r="E170" i="5"/>
  <c r="A171" i="5"/>
  <c r="B171" i="5"/>
  <c r="C171" i="5"/>
  <c r="E171" i="5"/>
  <c r="A172" i="5"/>
  <c r="B172" i="5"/>
  <c r="C172" i="5"/>
  <c r="E172" i="5"/>
  <c r="A173" i="5"/>
  <c r="B173" i="5"/>
  <c r="C173" i="5"/>
  <c r="E173" i="5"/>
  <c r="A174" i="5"/>
  <c r="B174" i="5"/>
  <c r="C174" i="5"/>
  <c r="E174" i="5"/>
  <c r="A175" i="5"/>
  <c r="B175" i="5"/>
  <c r="C175" i="5"/>
  <c r="E175" i="5"/>
  <c r="A176" i="5"/>
  <c r="B176" i="5"/>
  <c r="C176" i="5"/>
  <c r="E176" i="5"/>
  <c r="A177" i="5"/>
  <c r="B177" i="5"/>
  <c r="C177" i="5"/>
  <c r="E177" i="5"/>
  <c r="A178" i="5"/>
  <c r="B178" i="5"/>
  <c r="C178" i="5"/>
  <c r="E178" i="5"/>
  <c r="A179" i="5"/>
  <c r="B179" i="5"/>
  <c r="C179" i="5"/>
  <c r="E179" i="5"/>
  <c r="A180" i="5"/>
  <c r="B180" i="5"/>
  <c r="C180" i="5"/>
  <c r="E180" i="5"/>
  <c r="A181" i="5"/>
  <c r="B181" i="5"/>
  <c r="C181" i="5"/>
  <c r="E181" i="5"/>
  <c r="A182" i="5"/>
  <c r="B182" i="5"/>
  <c r="C182" i="5"/>
  <c r="E182" i="5"/>
  <c r="A183" i="5"/>
  <c r="B183" i="5"/>
  <c r="C183" i="5"/>
  <c r="E183" i="5"/>
  <c r="A184" i="5"/>
  <c r="B184" i="5"/>
  <c r="C184" i="5"/>
  <c r="E184" i="5"/>
  <c r="A185" i="5"/>
  <c r="B185" i="5"/>
  <c r="C185" i="5"/>
  <c r="E185" i="5"/>
  <c r="A186" i="5"/>
  <c r="B186" i="5"/>
  <c r="C186" i="5"/>
  <c r="E186" i="5"/>
  <c r="A187" i="5"/>
  <c r="B187" i="5"/>
  <c r="C187" i="5"/>
  <c r="E187" i="5"/>
  <c r="A188" i="5"/>
  <c r="B188" i="5"/>
  <c r="C188" i="5"/>
  <c r="E188" i="5"/>
  <c r="A189" i="5"/>
  <c r="B189" i="5"/>
  <c r="C189" i="5"/>
  <c r="E189" i="5"/>
  <c r="A190" i="5"/>
  <c r="B190" i="5"/>
  <c r="C190" i="5"/>
  <c r="E190" i="5"/>
  <c r="A191" i="5"/>
  <c r="B191" i="5"/>
  <c r="C191" i="5"/>
  <c r="E191" i="5"/>
  <c r="A192" i="5"/>
  <c r="B192" i="5"/>
  <c r="C192" i="5"/>
  <c r="E192" i="5"/>
  <c r="A193" i="5"/>
  <c r="B193" i="5"/>
  <c r="C193" i="5"/>
  <c r="E193" i="5"/>
  <c r="A194" i="5"/>
  <c r="B194" i="5"/>
  <c r="C194" i="5"/>
  <c r="E194" i="5"/>
  <c r="A195" i="5"/>
  <c r="B195" i="5"/>
  <c r="C195" i="5"/>
  <c r="E195" i="5"/>
  <c r="A196" i="5"/>
  <c r="B196" i="5"/>
  <c r="C196" i="5"/>
  <c r="E196" i="5"/>
  <c r="A197" i="5"/>
  <c r="B197" i="5"/>
  <c r="C197" i="5"/>
  <c r="E197" i="5"/>
  <c r="A198" i="5"/>
  <c r="B198" i="5"/>
  <c r="C198" i="5"/>
  <c r="E198" i="5"/>
  <c r="A199" i="5"/>
  <c r="B199" i="5"/>
  <c r="C199" i="5"/>
  <c r="E199" i="5"/>
  <c r="A200" i="5"/>
  <c r="B200" i="5"/>
  <c r="C200" i="5"/>
  <c r="E200" i="5"/>
  <c r="A201" i="5"/>
  <c r="B201" i="5"/>
  <c r="C201" i="5"/>
  <c r="E201" i="5"/>
  <c r="A202" i="5"/>
  <c r="B202" i="5"/>
  <c r="C202" i="5"/>
  <c r="E202" i="5"/>
  <c r="A203" i="5"/>
  <c r="B203" i="5"/>
  <c r="C203" i="5"/>
  <c r="E203" i="5"/>
  <c r="A204" i="5"/>
  <c r="B204" i="5"/>
  <c r="C204" i="5"/>
  <c r="E204" i="5"/>
  <c r="A205" i="5"/>
  <c r="B205" i="5"/>
  <c r="C205" i="5"/>
  <c r="E205" i="5"/>
  <c r="A206" i="5"/>
  <c r="B206" i="5"/>
  <c r="C206" i="5"/>
  <c r="E206" i="5"/>
  <c r="A207" i="5"/>
  <c r="B207" i="5"/>
  <c r="C207" i="5"/>
  <c r="E207" i="5"/>
  <c r="A208" i="5"/>
  <c r="B208" i="5"/>
  <c r="C208" i="5"/>
  <c r="E208" i="5"/>
  <c r="A209" i="5"/>
  <c r="B209" i="5"/>
  <c r="C209" i="5"/>
  <c r="E209" i="5"/>
  <c r="A210" i="5"/>
  <c r="B210" i="5"/>
  <c r="C210" i="5"/>
  <c r="E210" i="5"/>
  <c r="A211" i="5"/>
  <c r="B211" i="5"/>
  <c r="C211" i="5"/>
  <c r="E211" i="5"/>
  <c r="A212" i="5"/>
  <c r="B212" i="5"/>
  <c r="C212" i="5"/>
  <c r="E212" i="5"/>
  <c r="A213" i="5"/>
  <c r="B213" i="5"/>
  <c r="C213" i="5"/>
  <c r="E213" i="5"/>
  <c r="A214" i="5"/>
  <c r="B214" i="5"/>
  <c r="C214" i="5"/>
  <c r="E214" i="5"/>
  <c r="A215" i="5"/>
  <c r="B215" i="5"/>
  <c r="C215" i="5"/>
  <c r="E215" i="5"/>
  <c r="A216" i="5"/>
  <c r="B216" i="5"/>
  <c r="C216" i="5"/>
  <c r="E216" i="5"/>
  <c r="A217" i="5"/>
  <c r="B217" i="5"/>
  <c r="C217" i="5"/>
  <c r="E217" i="5"/>
  <c r="A218" i="5"/>
  <c r="B218" i="5"/>
  <c r="C218" i="5"/>
  <c r="E218" i="5"/>
  <c r="A219" i="5"/>
  <c r="B219" i="5"/>
  <c r="C219" i="5"/>
  <c r="E219" i="5"/>
  <c r="A220" i="5"/>
  <c r="B220" i="5"/>
  <c r="C220" i="5"/>
  <c r="E220" i="5"/>
  <c r="A221" i="5"/>
  <c r="B221" i="5"/>
  <c r="C221" i="5"/>
  <c r="E221" i="5"/>
  <c r="A222" i="5"/>
  <c r="B222" i="5"/>
  <c r="C222" i="5"/>
  <c r="E222" i="5"/>
  <c r="A223" i="5"/>
  <c r="B223" i="5"/>
  <c r="C223" i="5"/>
  <c r="E223" i="5"/>
  <c r="A224" i="5"/>
  <c r="B224" i="5"/>
  <c r="C224" i="5"/>
  <c r="E224" i="5"/>
  <c r="A225" i="5"/>
  <c r="B225" i="5"/>
  <c r="C225" i="5"/>
  <c r="E225" i="5"/>
  <c r="A226" i="5"/>
  <c r="B226" i="5"/>
  <c r="C226" i="5"/>
  <c r="E226" i="5"/>
  <c r="A227" i="5"/>
  <c r="B227" i="5"/>
  <c r="C227" i="5"/>
  <c r="E227" i="5"/>
  <c r="A228" i="5"/>
  <c r="B228" i="5"/>
  <c r="C228" i="5"/>
  <c r="E228" i="5"/>
  <c r="A229" i="5"/>
  <c r="B229" i="5"/>
  <c r="C229" i="5"/>
  <c r="E229" i="5"/>
  <c r="A230" i="5"/>
  <c r="B230" i="5"/>
  <c r="C230" i="5"/>
  <c r="D230" i="5"/>
  <c r="E230" i="5"/>
  <c r="A231" i="5"/>
  <c r="B231" i="5"/>
  <c r="C231" i="5"/>
  <c r="E231" i="5"/>
  <c r="A232" i="5"/>
  <c r="B232" i="5"/>
  <c r="C232" i="5"/>
  <c r="E232" i="5"/>
  <c r="A233" i="5"/>
  <c r="B233" i="5"/>
  <c r="C233" i="5"/>
  <c r="E233" i="5"/>
  <c r="A234" i="5"/>
  <c r="B234" i="5"/>
  <c r="C234" i="5"/>
  <c r="E234" i="5"/>
  <c r="A235" i="5"/>
  <c r="B235" i="5"/>
  <c r="C235" i="5"/>
  <c r="E235" i="5"/>
  <c r="A236" i="5"/>
  <c r="B236" i="5"/>
  <c r="C236" i="5"/>
  <c r="E236" i="5"/>
  <c r="A237" i="5"/>
  <c r="B237" i="5"/>
  <c r="C237" i="5"/>
  <c r="E237" i="5"/>
  <c r="A238" i="5"/>
  <c r="B238" i="5"/>
  <c r="C238" i="5"/>
  <c r="E238" i="5"/>
  <c r="A239" i="5"/>
  <c r="B239" i="5"/>
  <c r="C239" i="5"/>
  <c r="E239" i="5"/>
  <c r="A240" i="5"/>
  <c r="B240" i="5"/>
  <c r="C240" i="5"/>
  <c r="E240" i="5"/>
  <c r="A241" i="5"/>
  <c r="B241" i="5"/>
  <c r="C241" i="5"/>
  <c r="E241" i="5"/>
  <c r="A242" i="5"/>
  <c r="B242" i="5"/>
  <c r="C242" i="5"/>
  <c r="E242" i="5"/>
  <c r="A243" i="5"/>
  <c r="B243" i="5"/>
  <c r="C243" i="5"/>
  <c r="E243" i="5"/>
  <c r="A244" i="5"/>
  <c r="B244" i="5"/>
  <c r="C244" i="5"/>
  <c r="E244" i="5"/>
  <c r="A245" i="5"/>
  <c r="B245" i="5"/>
  <c r="C245" i="5"/>
  <c r="E245" i="5"/>
  <c r="A246" i="5"/>
  <c r="B246" i="5"/>
  <c r="C246" i="5"/>
  <c r="E246" i="5"/>
  <c r="A247" i="5"/>
  <c r="B247" i="5"/>
  <c r="C247" i="5"/>
  <c r="E247" i="5"/>
  <c r="A248" i="5"/>
  <c r="B248" i="5"/>
  <c r="C248" i="5"/>
  <c r="E248" i="5"/>
  <c r="A249" i="5"/>
  <c r="B249" i="5"/>
  <c r="C249" i="5"/>
  <c r="E249" i="5"/>
  <c r="A250" i="5"/>
  <c r="B250" i="5"/>
  <c r="C250" i="5"/>
  <c r="E250" i="5"/>
  <c r="A251" i="5"/>
  <c r="B251" i="5"/>
  <c r="C251" i="5"/>
  <c r="E251" i="5"/>
  <c r="A252" i="5"/>
  <c r="B252" i="5"/>
  <c r="C252" i="5"/>
  <c r="E252" i="5"/>
  <c r="A253" i="5"/>
  <c r="B253" i="5"/>
  <c r="C253" i="5"/>
  <c r="E253" i="5"/>
  <c r="A254" i="5"/>
  <c r="B254" i="5"/>
  <c r="C254" i="5"/>
  <c r="E254" i="5"/>
  <c r="A255" i="5"/>
  <c r="B255" i="5"/>
  <c r="C255" i="5"/>
  <c r="E255" i="5"/>
  <c r="A256" i="5"/>
  <c r="B256" i="5"/>
  <c r="C256" i="5"/>
  <c r="E256" i="5"/>
  <c r="A257" i="5"/>
  <c r="B257" i="5"/>
  <c r="C257" i="5"/>
  <c r="E257" i="5"/>
  <c r="A258" i="5"/>
  <c r="B258" i="5"/>
  <c r="C258" i="5"/>
  <c r="E258" i="5"/>
  <c r="A259" i="5"/>
  <c r="B259" i="5"/>
  <c r="C259" i="5"/>
  <c r="E259" i="5"/>
  <c r="A260" i="5"/>
  <c r="B260" i="5"/>
  <c r="C260" i="5"/>
  <c r="E260" i="5"/>
  <c r="A261" i="5"/>
  <c r="B261" i="5"/>
  <c r="C261" i="5"/>
  <c r="E261" i="5"/>
  <c r="A262" i="5"/>
  <c r="B262" i="5"/>
  <c r="C262" i="5"/>
  <c r="E262" i="5"/>
  <c r="A263" i="5"/>
  <c r="B263" i="5"/>
  <c r="C263" i="5"/>
  <c r="E263" i="5"/>
  <c r="A264" i="5"/>
  <c r="B264" i="5"/>
  <c r="C264" i="5"/>
  <c r="E264" i="5"/>
  <c r="A265" i="5"/>
  <c r="B265" i="5"/>
  <c r="C265" i="5"/>
  <c r="E265" i="5"/>
  <c r="A266" i="5"/>
  <c r="B266" i="5"/>
  <c r="C266" i="5"/>
  <c r="E266" i="5"/>
  <c r="A267" i="5"/>
  <c r="B267" i="5"/>
  <c r="C267" i="5"/>
  <c r="E267" i="5"/>
  <c r="A268" i="5"/>
  <c r="B268" i="5"/>
  <c r="C268" i="5"/>
  <c r="E268" i="5"/>
  <c r="A269" i="5"/>
  <c r="B269" i="5"/>
  <c r="C269" i="5"/>
  <c r="E269" i="5"/>
  <c r="A270" i="5"/>
  <c r="B270" i="5"/>
  <c r="C270" i="5"/>
  <c r="E270" i="5"/>
  <c r="A271" i="5"/>
  <c r="B271" i="5"/>
  <c r="C271" i="5"/>
  <c r="E271" i="5"/>
  <c r="A272" i="5"/>
  <c r="B272" i="5"/>
  <c r="C272" i="5"/>
  <c r="E272" i="5"/>
  <c r="A273" i="5"/>
  <c r="B273" i="5"/>
  <c r="C273" i="5"/>
  <c r="E273" i="5"/>
  <c r="A274" i="5"/>
  <c r="B274" i="5"/>
  <c r="C274" i="5"/>
  <c r="E274" i="5"/>
  <c r="A275" i="5"/>
  <c r="B275" i="5"/>
  <c r="C275" i="5"/>
  <c r="E275" i="5"/>
  <c r="A276" i="5"/>
  <c r="B276" i="5"/>
  <c r="C276" i="5"/>
  <c r="E276" i="5"/>
  <c r="A277" i="5"/>
  <c r="B277" i="5"/>
  <c r="C277" i="5"/>
  <c r="E277" i="5"/>
  <c r="A278" i="5"/>
  <c r="B278" i="5"/>
  <c r="C278" i="5"/>
  <c r="E278" i="5"/>
  <c r="A279" i="5"/>
  <c r="B279" i="5"/>
  <c r="C279" i="5"/>
  <c r="E279" i="5"/>
  <c r="A280" i="5"/>
  <c r="B280" i="5"/>
  <c r="C280" i="5"/>
  <c r="E280" i="5"/>
  <c r="A281" i="5"/>
  <c r="B281" i="5"/>
  <c r="C281" i="5"/>
  <c r="E281" i="5"/>
  <c r="A282" i="5"/>
  <c r="B282" i="5"/>
  <c r="C282" i="5"/>
  <c r="E282" i="5"/>
  <c r="A283" i="5"/>
  <c r="B283" i="5"/>
  <c r="C283" i="5"/>
  <c r="E283" i="5"/>
  <c r="A284" i="5"/>
  <c r="B284" i="5"/>
  <c r="C284" i="5"/>
  <c r="E284" i="5"/>
  <c r="A285" i="5"/>
  <c r="B285" i="5"/>
  <c r="C285" i="5"/>
  <c r="E285" i="5"/>
  <c r="A286" i="5"/>
  <c r="B286" i="5"/>
  <c r="C286" i="5"/>
  <c r="D286" i="5"/>
  <c r="E286" i="5"/>
  <c r="A287" i="5"/>
  <c r="B287" i="5"/>
  <c r="C287" i="5"/>
  <c r="E287" i="5"/>
  <c r="A288" i="5"/>
  <c r="B288" i="5"/>
  <c r="C288" i="5"/>
  <c r="E288" i="5"/>
  <c r="A289" i="5"/>
  <c r="B289" i="5"/>
  <c r="C289" i="5"/>
  <c r="D289" i="5"/>
  <c r="E289" i="5"/>
  <c r="A290" i="5"/>
  <c r="B290" i="5"/>
  <c r="C290" i="5"/>
  <c r="E290" i="5"/>
  <c r="A291" i="5"/>
  <c r="B291" i="5"/>
  <c r="C291" i="5"/>
  <c r="E291" i="5"/>
  <c r="A292" i="5"/>
  <c r="B292" i="5"/>
  <c r="C292" i="5"/>
  <c r="E292" i="5"/>
  <c r="A293" i="5"/>
  <c r="B293" i="5"/>
  <c r="C293" i="5"/>
  <c r="E293" i="5"/>
  <c r="A294" i="5"/>
  <c r="B294" i="5"/>
  <c r="C294" i="5"/>
  <c r="E294" i="5"/>
  <c r="A295" i="5"/>
  <c r="B295" i="5"/>
  <c r="C295" i="5"/>
  <c r="E295" i="5"/>
  <c r="A296" i="5"/>
  <c r="B296" i="5"/>
  <c r="C296" i="5"/>
  <c r="E296" i="5"/>
  <c r="A297" i="5"/>
  <c r="B297" i="5"/>
  <c r="C297" i="5"/>
  <c r="E297" i="5"/>
  <c r="A298" i="5"/>
  <c r="B298" i="5"/>
  <c r="C298" i="5"/>
  <c r="E298" i="5"/>
  <c r="A299" i="5"/>
  <c r="B299" i="5"/>
  <c r="C299" i="5"/>
  <c r="E299" i="5"/>
  <c r="A300" i="5"/>
  <c r="B300" i="5"/>
  <c r="C300" i="5"/>
  <c r="E300" i="5"/>
  <c r="A301" i="5"/>
  <c r="B301" i="5"/>
  <c r="C301" i="5"/>
  <c r="E301" i="5"/>
  <c r="A302" i="5"/>
  <c r="B302" i="5"/>
  <c r="C302" i="5"/>
  <c r="E302" i="5"/>
  <c r="A303" i="5"/>
  <c r="B303" i="5"/>
  <c r="C303" i="5"/>
  <c r="E303" i="5"/>
  <c r="A304" i="5"/>
  <c r="B304" i="5"/>
  <c r="C304" i="5"/>
  <c r="E304" i="5"/>
  <c r="A305" i="5"/>
  <c r="B305" i="5"/>
  <c r="C305" i="5"/>
  <c r="E305" i="5"/>
  <c r="A306" i="5"/>
  <c r="B306" i="5"/>
  <c r="C306" i="5"/>
  <c r="E306" i="5"/>
  <c r="A307" i="5"/>
  <c r="B307" i="5"/>
  <c r="C307" i="5"/>
  <c r="E307" i="5"/>
  <c r="A308" i="5"/>
  <c r="B308" i="5"/>
  <c r="C308" i="5"/>
  <c r="D308" i="5"/>
  <c r="E308" i="5"/>
  <c r="A309" i="5"/>
  <c r="B309" i="5"/>
  <c r="C309" i="5"/>
  <c r="D309" i="5"/>
  <c r="E309" i="5"/>
  <c r="A310" i="5"/>
  <c r="B310" i="5"/>
  <c r="C310" i="5"/>
  <c r="E310" i="5"/>
  <c r="A311" i="5"/>
  <c r="B311" i="5"/>
  <c r="C311" i="5"/>
  <c r="E311" i="5"/>
  <c r="A312" i="5"/>
  <c r="B312" i="5"/>
  <c r="C312" i="5"/>
  <c r="E312" i="5"/>
  <c r="A313" i="5"/>
  <c r="B313" i="5"/>
  <c r="C313" i="5"/>
  <c r="E313" i="5"/>
  <c r="A314" i="5"/>
  <c r="B314" i="5"/>
  <c r="C314" i="5"/>
  <c r="E314" i="5"/>
  <c r="A315" i="5"/>
  <c r="B315" i="5"/>
  <c r="C315" i="5"/>
  <c r="E315" i="5"/>
  <c r="A316" i="5"/>
  <c r="B316" i="5"/>
  <c r="C316" i="5"/>
  <c r="E316" i="5"/>
  <c r="A317" i="5"/>
  <c r="B317" i="5"/>
  <c r="C317" i="5"/>
  <c r="E317" i="5"/>
  <c r="A318" i="5"/>
  <c r="B318" i="5"/>
  <c r="C318" i="5"/>
  <c r="E318" i="5"/>
  <c r="A319" i="5"/>
  <c r="B319" i="5"/>
  <c r="C319" i="5"/>
  <c r="E319" i="5"/>
  <c r="A320" i="5"/>
  <c r="B320" i="5"/>
  <c r="C320" i="5"/>
  <c r="E320" i="5"/>
  <c r="A321" i="5"/>
  <c r="B321" i="5"/>
  <c r="C321" i="5"/>
  <c r="E321" i="5"/>
  <c r="A322" i="5"/>
  <c r="B322" i="5"/>
  <c r="C322" i="5"/>
  <c r="E322" i="5"/>
  <c r="A323" i="5"/>
  <c r="B323" i="5"/>
  <c r="C323" i="5"/>
  <c r="E323" i="5"/>
  <c r="A324" i="5"/>
  <c r="B324" i="5"/>
  <c r="C324" i="5"/>
  <c r="E324" i="5"/>
  <c r="A325" i="5"/>
  <c r="B325" i="5"/>
  <c r="C325" i="5"/>
  <c r="E325" i="5"/>
  <c r="A326" i="5"/>
  <c r="B326" i="5"/>
  <c r="C326" i="5"/>
  <c r="E326" i="5"/>
  <c r="A327" i="5"/>
  <c r="B327" i="5"/>
  <c r="C327" i="5"/>
  <c r="E327" i="5"/>
  <c r="A328" i="5"/>
  <c r="B328" i="5"/>
  <c r="C328" i="5"/>
  <c r="E328" i="5"/>
  <c r="A329" i="5"/>
  <c r="B329" i="5"/>
  <c r="C329" i="5"/>
  <c r="E329" i="5"/>
  <c r="A330" i="5"/>
  <c r="B330" i="5"/>
  <c r="C330" i="5"/>
  <c r="E330" i="5"/>
  <c r="A331" i="5"/>
  <c r="B331" i="5"/>
  <c r="C331" i="5"/>
  <c r="E331" i="5"/>
  <c r="A332" i="5"/>
  <c r="B332" i="5"/>
  <c r="C332" i="5"/>
  <c r="E332" i="5"/>
  <c r="A333" i="5"/>
  <c r="B333" i="5"/>
  <c r="C333" i="5"/>
  <c r="E333" i="5"/>
  <c r="A334" i="5"/>
  <c r="B334" i="5"/>
  <c r="C334" i="5"/>
  <c r="E334" i="5"/>
  <c r="A335" i="5"/>
  <c r="B335" i="5"/>
  <c r="C335" i="5"/>
  <c r="E335" i="5"/>
  <c r="A336" i="5"/>
  <c r="B336" i="5"/>
  <c r="C336" i="5"/>
  <c r="E336" i="5"/>
  <c r="A337" i="5"/>
  <c r="B337" i="5"/>
  <c r="C337" i="5"/>
  <c r="E337" i="5"/>
  <c r="A338" i="5"/>
  <c r="B338" i="5"/>
  <c r="C338" i="5"/>
  <c r="E338" i="5"/>
  <c r="A339" i="5"/>
  <c r="B339" i="5"/>
  <c r="C339" i="5"/>
  <c r="E339" i="5"/>
  <c r="A340" i="5"/>
  <c r="B340" i="5"/>
  <c r="C340" i="5"/>
  <c r="E340" i="5"/>
  <c r="A341" i="5"/>
  <c r="B341" i="5"/>
  <c r="C341" i="5"/>
  <c r="E341" i="5"/>
  <c r="A342" i="5"/>
  <c r="B342" i="5"/>
  <c r="C342" i="5"/>
  <c r="E342" i="5"/>
  <c r="A343" i="5"/>
  <c r="B343" i="5"/>
  <c r="C343" i="5"/>
  <c r="E343" i="5"/>
  <c r="A344" i="5"/>
  <c r="B344" i="5"/>
  <c r="C344" i="5"/>
  <c r="E344" i="5"/>
  <c r="A345" i="5"/>
  <c r="B345" i="5"/>
  <c r="C345" i="5"/>
  <c r="E345" i="5"/>
  <c r="A346" i="5"/>
  <c r="B346" i="5"/>
  <c r="C346" i="5"/>
  <c r="E346" i="5"/>
  <c r="A347" i="5"/>
  <c r="B347" i="5"/>
  <c r="C347" i="5"/>
  <c r="E347" i="5"/>
  <c r="A348" i="5"/>
  <c r="B348" i="5"/>
  <c r="C348" i="5"/>
  <c r="E348" i="5"/>
  <c r="A349" i="5"/>
  <c r="B349" i="5"/>
  <c r="C349" i="5"/>
  <c r="E349" i="5"/>
  <c r="A350" i="5"/>
  <c r="B350" i="5"/>
  <c r="C350" i="5"/>
  <c r="E350" i="5"/>
  <c r="A351" i="5"/>
  <c r="B351" i="5"/>
  <c r="C351" i="5"/>
  <c r="E351" i="5"/>
  <c r="A352" i="5"/>
  <c r="B352" i="5"/>
  <c r="C352" i="5"/>
  <c r="E352" i="5"/>
  <c r="A353" i="5"/>
  <c r="B353" i="5"/>
  <c r="C353" i="5"/>
  <c r="E353" i="5"/>
  <c r="A354" i="5"/>
  <c r="B354" i="5"/>
  <c r="C354" i="5"/>
  <c r="E354" i="5"/>
  <c r="A355" i="5"/>
  <c r="B355" i="5"/>
  <c r="C355" i="5"/>
  <c r="E355" i="5"/>
  <c r="A356" i="5"/>
  <c r="B356" i="5"/>
  <c r="C356" i="5"/>
  <c r="E356" i="5"/>
  <c r="A357" i="5"/>
  <c r="B357" i="5"/>
  <c r="C357" i="5"/>
  <c r="E357" i="5"/>
  <c r="A358" i="5"/>
  <c r="B358" i="5"/>
  <c r="C358" i="5"/>
  <c r="E358" i="5"/>
  <c r="A359" i="5"/>
  <c r="B359" i="5"/>
  <c r="C359" i="5"/>
  <c r="E359" i="5"/>
  <c r="A360" i="5"/>
  <c r="B360" i="5"/>
  <c r="C360" i="5"/>
  <c r="E360" i="5"/>
  <c r="A361" i="5"/>
  <c r="B361" i="5"/>
  <c r="C361" i="5"/>
  <c r="E361" i="5"/>
  <c r="A362" i="5"/>
  <c r="B362" i="5"/>
  <c r="C362" i="5"/>
  <c r="E362" i="5"/>
  <c r="A363" i="5"/>
  <c r="B363" i="5"/>
  <c r="C363" i="5"/>
  <c r="E363" i="5"/>
  <c r="A364" i="5"/>
  <c r="B364" i="5"/>
  <c r="C364" i="5"/>
  <c r="E364" i="5"/>
  <c r="A365" i="5"/>
  <c r="B365" i="5"/>
  <c r="C365" i="5"/>
  <c r="E365" i="5"/>
  <c r="A366" i="5"/>
  <c r="B366" i="5"/>
  <c r="C366" i="5"/>
  <c r="E366" i="5"/>
  <c r="A367" i="5"/>
  <c r="B367" i="5"/>
  <c r="C367" i="5"/>
  <c r="E367" i="5"/>
  <c r="A368" i="5"/>
  <c r="B368" i="5"/>
  <c r="C368" i="5"/>
  <c r="E368" i="5"/>
  <c r="A369" i="5"/>
  <c r="B369" i="5"/>
  <c r="C369" i="5"/>
  <c r="E369" i="5"/>
  <c r="A370" i="5"/>
  <c r="B370" i="5"/>
  <c r="C370" i="5"/>
  <c r="E370" i="5"/>
  <c r="A371" i="5"/>
  <c r="B371" i="5"/>
  <c r="C371" i="5"/>
  <c r="E371" i="5"/>
  <c r="A372" i="5"/>
  <c r="B372" i="5"/>
  <c r="C372" i="5"/>
  <c r="E372" i="5"/>
  <c r="A373" i="5"/>
  <c r="B373" i="5"/>
  <c r="C373" i="5"/>
  <c r="E373" i="5"/>
  <c r="A374" i="5"/>
  <c r="B374" i="5"/>
  <c r="C374" i="5"/>
  <c r="E374" i="5"/>
  <c r="A375" i="5"/>
  <c r="B375" i="5"/>
  <c r="C375" i="5"/>
  <c r="E375" i="5"/>
  <c r="A376" i="5"/>
  <c r="B376" i="5"/>
  <c r="C376" i="5"/>
  <c r="E376" i="5"/>
  <c r="A377" i="5"/>
  <c r="B377" i="5"/>
  <c r="C377" i="5"/>
  <c r="E377" i="5"/>
  <c r="A378" i="5"/>
  <c r="B378" i="5"/>
  <c r="C378" i="5"/>
  <c r="E378" i="5"/>
  <c r="A379" i="5"/>
  <c r="B379" i="5"/>
  <c r="C379" i="5"/>
  <c r="E379" i="5"/>
  <c r="A380" i="5"/>
  <c r="B380" i="5"/>
  <c r="C380" i="5"/>
  <c r="E380" i="5"/>
  <c r="A381" i="5"/>
  <c r="B381" i="5"/>
  <c r="C381" i="5"/>
  <c r="E381" i="5"/>
  <c r="A382" i="5"/>
  <c r="B382" i="5"/>
  <c r="C382" i="5"/>
  <c r="E382" i="5"/>
  <c r="A383" i="5"/>
  <c r="B383" i="5"/>
  <c r="C383" i="5"/>
  <c r="D383" i="5"/>
  <c r="E383" i="5"/>
  <c r="A384" i="5"/>
  <c r="B384" i="5"/>
  <c r="C384" i="5"/>
  <c r="E384" i="5"/>
  <c r="A385" i="5"/>
  <c r="B385" i="5"/>
  <c r="C385" i="5"/>
  <c r="E385" i="5"/>
  <c r="A386" i="5"/>
  <c r="B386" i="5"/>
  <c r="C386" i="5"/>
  <c r="E386" i="5"/>
  <c r="A387" i="5"/>
  <c r="B387" i="5"/>
  <c r="C387" i="5"/>
  <c r="E387" i="5"/>
  <c r="A388" i="5"/>
  <c r="B388" i="5"/>
  <c r="C388" i="5"/>
  <c r="E388" i="5"/>
  <c r="A389" i="5"/>
  <c r="B389" i="5"/>
  <c r="C389" i="5"/>
  <c r="E389" i="5"/>
  <c r="A390" i="5"/>
  <c r="B390" i="5"/>
  <c r="C390" i="5"/>
  <c r="E390" i="5"/>
  <c r="A391" i="5"/>
  <c r="B391" i="5"/>
  <c r="C391" i="5"/>
  <c r="E391" i="5"/>
  <c r="A392" i="5"/>
  <c r="B392" i="5"/>
  <c r="C392" i="5"/>
  <c r="E392" i="5"/>
  <c r="A393" i="5"/>
  <c r="B393" i="5"/>
  <c r="C393" i="5"/>
  <c r="E393" i="5"/>
  <c r="A394" i="5"/>
  <c r="B394" i="5"/>
  <c r="C394" i="5"/>
  <c r="E394" i="5"/>
  <c r="A395" i="5"/>
  <c r="B395" i="5"/>
  <c r="C395" i="5"/>
  <c r="E395" i="5"/>
  <c r="A396" i="5"/>
  <c r="B396" i="5"/>
  <c r="C396" i="5"/>
  <c r="E396" i="5"/>
  <c r="A397" i="5"/>
  <c r="B397" i="5"/>
  <c r="C397" i="5"/>
  <c r="E397" i="5"/>
  <c r="A398" i="5"/>
  <c r="B398" i="5"/>
  <c r="C398" i="5"/>
  <c r="E398" i="5"/>
  <c r="A399" i="5"/>
  <c r="B399" i="5"/>
  <c r="C399" i="5"/>
  <c r="E399" i="5"/>
  <c r="A400" i="5"/>
  <c r="B400" i="5"/>
  <c r="C400" i="5"/>
  <c r="E400" i="5"/>
  <c r="A401" i="5"/>
  <c r="B401" i="5"/>
  <c r="C401" i="5"/>
  <c r="E401" i="5"/>
  <c r="A402" i="5"/>
  <c r="B402" i="5"/>
  <c r="C402" i="5"/>
  <c r="E402" i="5"/>
  <c r="A403" i="5"/>
  <c r="B403" i="5"/>
  <c r="C403" i="5"/>
  <c r="E403" i="5"/>
  <c r="A404" i="5"/>
  <c r="B404" i="5"/>
  <c r="C404" i="5"/>
  <c r="E404" i="5"/>
  <c r="A405" i="5"/>
  <c r="B405" i="5"/>
  <c r="C405" i="5"/>
  <c r="E405" i="5"/>
  <c r="A406" i="5"/>
  <c r="B406" i="5"/>
  <c r="C406" i="5"/>
  <c r="D406" i="5"/>
  <c r="E406" i="5"/>
  <c r="A407" i="5"/>
  <c r="B407" i="5"/>
  <c r="C407" i="5"/>
  <c r="E407" i="5"/>
  <c r="A408" i="5"/>
  <c r="B408" i="5"/>
  <c r="C408" i="5"/>
  <c r="E408" i="5"/>
  <c r="A409" i="5"/>
  <c r="B409" i="5"/>
  <c r="C409" i="5"/>
  <c r="D409" i="5"/>
  <c r="E409" i="5"/>
  <c r="A410" i="5"/>
  <c r="B410" i="5"/>
  <c r="C410" i="5"/>
  <c r="E410" i="5"/>
  <c r="A411" i="5"/>
  <c r="B411" i="5"/>
  <c r="C411" i="5"/>
  <c r="D411" i="5"/>
  <c r="E411" i="5"/>
  <c r="A412" i="5"/>
  <c r="B412" i="5"/>
  <c r="C412" i="5"/>
  <c r="D412" i="5"/>
  <c r="E412" i="5"/>
  <c r="A413" i="5"/>
  <c r="B413" i="5"/>
  <c r="C413" i="5"/>
  <c r="D413" i="5"/>
  <c r="E413" i="5"/>
  <c r="A414" i="5"/>
  <c r="B414" i="5"/>
  <c r="C414" i="5"/>
  <c r="D414" i="5"/>
  <c r="E414" i="5"/>
  <c r="A415" i="5"/>
  <c r="B415" i="5"/>
  <c r="C415" i="5"/>
  <c r="D415" i="5"/>
  <c r="E415" i="5"/>
  <c r="A416" i="5"/>
  <c r="B416" i="5"/>
  <c r="C416" i="5"/>
  <c r="E416" i="5"/>
  <c r="A417" i="5"/>
  <c r="B417" i="5"/>
  <c r="C417" i="5"/>
  <c r="E417" i="5"/>
  <c r="A418" i="5"/>
  <c r="B418" i="5"/>
  <c r="C418" i="5"/>
  <c r="E418" i="5"/>
  <c r="A419" i="5"/>
  <c r="B419" i="5"/>
  <c r="C419" i="5"/>
  <c r="E419" i="5"/>
  <c r="A420" i="5"/>
  <c r="B420" i="5"/>
  <c r="C420" i="5"/>
  <c r="E420" i="5"/>
  <c r="A421" i="5"/>
  <c r="B421" i="5"/>
  <c r="C421" i="5"/>
  <c r="E421" i="5"/>
  <c r="A422" i="5"/>
  <c r="B422" i="5"/>
  <c r="C422" i="5"/>
  <c r="E422" i="5"/>
  <c r="A423" i="5"/>
  <c r="B423" i="5"/>
  <c r="C423" i="5"/>
  <c r="E423" i="5"/>
  <c r="A424" i="5"/>
  <c r="B424" i="5"/>
  <c r="C424" i="5"/>
  <c r="E424" i="5"/>
  <c r="A425" i="5"/>
  <c r="B425" i="5"/>
  <c r="C425" i="5"/>
  <c r="E425" i="5"/>
  <c r="A426" i="5"/>
  <c r="B426" i="5"/>
  <c r="C426" i="5"/>
  <c r="E426" i="5"/>
  <c r="A427" i="5"/>
  <c r="B427" i="5"/>
  <c r="C427" i="5"/>
  <c r="E427" i="5"/>
  <c r="A428" i="5"/>
  <c r="B428" i="5"/>
  <c r="C428" i="5"/>
  <c r="E428" i="5"/>
  <c r="A429" i="5"/>
  <c r="B429" i="5"/>
  <c r="C429" i="5"/>
  <c r="E429" i="5"/>
  <c r="A430" i="5"/>
  <c r="B430" i="5"/>
  <c r="C430" i="5"/>
  <c r="E430" i="5"/>
  <c r="A431" i="5"/>
  <c r="B431" i="5"/>
  <c r="C431" i="5"/>
  <c r="E431" i="5"/>
  <c r="A432" i="5"/>
  <c r="B432" i="5"/>
  <c r="C432" i="5"/>
  <c r="E432" i="5"/>
  <c r="A433" i="5"/>
  <c r="B433" i="5"/>
  <c r="C433" i="5"/>
  <c r="E433" i="5"/>
  <c r="A434" i="5"/>
  <c r="B434" i="5"/>
  <c r="C434" i="5"/>
  <c r="E434" i="5"/>
  <c r="A435" i="5"/>
  <c r="B435" i="5"/>
  <c r="C435" i="5"/>
  <c r="E435" i="5"/>
  <c r="A436" i="5"/>
  <c r="B436" i="5"/>
  <c r="C436" i="5"/>
  <c r="E436" i="5"/>
  <c r="A437" i="5"/>
  <c r="B437" i="5"/>
  <c r="C437" i="5"/>
  <c r="E437" i="5"/>
  <c r="A438" i="5"/>
  <c r="B438" i="5"/>
  <c r="C438" i="5"/>
  <c r="E438" i="5"/>
  <c r="A439" i="5"/>
  <c r="B439" i="5"/>
  <c r="C439" i="5"/>
  <c r="E439" i="5"/>
  <c r="A440" i="5"/>
  <c r="B440" i="5"/>
  <c r="C440" i="5"/>
  <c r="E440" i="5"/>
  <c r="A441" i="5"/>
  <c r="B441" i="5"/>
  <c r="C441" i="5"/>
  <c r="E441" i="5"/>
  <c r="A442" i="5"/>
  <c r="B442" i="5"/>
  <c r="C442" i="5"/>
  <c r="E442" i="5"/>
  <c r="A443" i="5"/>
  <c r="B443" i="5"/>
  <c r="C443" i="5"/>
  <c r="E443" i="5"/>
  <c r="A444" i="5"/>
  <c r="B444" i="5"/>
  <c r="C444" i="5"/>
  <c r="E444" i="5"/>
  <c r="A445" i="5"/>
  <c r="B445" i="5"/>
  <c r="C445" i="5"/>
  <c r="E445" i="5"/>
  <c r="A446" i="5"/>
  <c r="B446" i="5"/>
  <c r="C446" i="5"/>
  <c r="E446" i="5"/>
  <c r="A447" i="5"/>
  <c r="B447" i="5"/>
  <c r="C447" i="5"/>
  <c r="E447" i="5"/>
  <c r="A448" i="5"/>
  <c r="B448" i="5"/>
  <c r="C448" i="5"/>
  <c r="E448" i="5"/>
  <c r="A449" i="5"/>
  <c r="B449" i="5"/>
  <c r="C449" i="5"/>
  <c r="E449" i="5"/>
  <c r="A450" i="5"/>
  <c r="B450" i="5"/>
  <c r="C450" i="5"/>
  <c r="E450" i="5"/>
  <c r="A451" i="5"/>
  <c r="B451" i="5"/>
  <c r="C451" i="5"/>
  <c r="E451" i="5"/>
  <c r="A452" i="5"/>
  <c r="B452" i="5"/>
  <c r="C452" i="5"/>
  <c r="E452" i="5"/>
  <c r="A453" i="5"/>
  <c r="B453" i="5"/>
  <c r="C453" i="5"/>
  <c r="E453" i="5"/>
  <c r="A454" i="5"/>
  <c r="B454" i="5"/>
  <c r="C454" i="5"/>
  <c r="E454" i="5"/>
  <c r="A455" i="5"/>
  <c r="B455" i="5"/>
  <c r="C455" i="5"/>
  <c r="E455" i="5"/>
  <c r="A456" i="5"/>
  <c r="B456" i="5"/>
  <c r="C456" i="5"/>
  <c r="E456" i="5"/>
  <c r="A457" i="5"/>
  <c r="B457" i="5"/>
  <c r="C457" i="5"/>
  <c r="E457" i="5"/>
  <c r="A458" i="5"/>
  <c r="B458" i="5"/>
  <c r="C458" i="5"/>
  <c r="E458" i="5"/>
  <c r="A459" i="5"/>
  <c r="B459" i="5"/>
  <c r="C459" i="5"/>
  <c r="E459" i="5"/>
  <c r="A460" i="5"/>
  <c r="B460" i="5"/>
  <c r="C460" i="5"/>
  <c r="E460" i="5"/>
  <c r="A461" i="5"/>
  <c r="B461" i="5"/>
  <c r="C461" i="5"/>
  <c r="D461" i="5"/>
  <c r="E461" i="5"/>
  <c r="A462" i="5"/>
  <c r="B462" i="5"/>
  <c r="C462" i="5"/>
  <c r="E462" i="5"/>
  <c r="A463" i="5"/>
  <c r="B463" i="5"/>
  <c r="C463" i="5"/>
  <c r="E463" i="5"/>
  <c r="A464" i="5"/>
  <c r="B464" i="5"/>
  <c r="C464" i="5"/>
  <c r="E464" i="5"/>
  <c r="A465" i="5"/>
  <c r="B465" i="5"/>
  <c r="C465" i="5"/>
  <c r="E465" i="5"/>
  <c r="A466" i="5"/>
  <c r="B466" i="5"/>
  <c r="C466" i="5"/>
  <c r="E466" i="5"/>
  <c r="A467" i="5"/>
  <c r="B467" i="5"/>
  <c r="C467" i="5"/>
  <c r="E467" i="5"/>
  <c r="A468" i="5"/>
  <c r="B468" i="5"/>
  <c r="C468" i="5"/>
  <c r="E468" i="5"/>
  <c r="A469" i="5"/>
  <c r="B469" i="5"/>
  <c r="C469" i="5"/>
  <c r="D469" i="5"/>
  <c r="E469" i="5"/>
  <c r="A470" i="5"/>
  <c r="B470" i="5"/>
  <c r="C470" i="5"/>
  <c r="E470" i="5"/>
  <c r="A471" i="5"/>
  <c r="B471" i="5"/>
  <c r="C471" i="5"/>
  <c r="E471" i="5"/>
  <c r="A472" i="5"/>
  <c r="B472" i="5"/>
  <c r="C472" i="5"/>
  <c r="E472" i="5"/>
  <c r="A473" i="5"/>
  <c r="B473" i="5"/>
  <c r="C473" i="5"/>
  <c r="E473" i="5"/>
  <c r="A474" i="5"/>
  <c r="B474" i="5"/>
  <c r="C474" i="5"/>
  <c r="E474" i="5"/>
  <c r="A475" i="5"/>
  <c r="B475" i="5"/>
  <c r="C475" i="5"/>
  <c r="E475" i="5"/>
  <c r="A476" i="5"/>
  <c r="B476" i="5"/>
  <c r="C476" i="5"/>
  <c r="E476" i="5"/>
  <c r="A477" i="5"/>
  <c r="B477" i="5"/>
  <c r="C477" i="5"/>
  <c r="E477" i="5"/>
  <c r="A478" i="5"/>
  <c r="B478" i="5"/>
  <c r="C478" i="5"/>
  <c r="E478" i="5"/>
  <c r="A479" i="5"/>
  <c r="B479" i="5"/>
  <c r="C479" i="5"/>
  <c r="E479" i="5"/>
  <c r="A480" i="5"/>
  <c r="B480" i="5"/>
  <c r="C480" i="5"/>
  <c r="E480" i="5"/>
  <c r="A481" i="5"/>
  <c r="B481" i="5"/>
  <c r="C481" i="5"/>
  <c r="E481" i="5"/>
  <c r="A482" i="5"/>
  <c r="B482" i="5"/>
  <c r="C482" i="5"/>
  <c r="E482" i="5"/>
  <c r="A483" i="5"/>
  <c r="B483" i="5"/>
  <c r="C483" i="5"/>
  <c r="E483" i="5"/>
  <c r="A484" i="5"/>
  <c r="B484" i="5"/>
  <c r="C484" i="5"/>
  <c r="E484" i="5"/>
  <c r="A485" i="5"/>
  <c r="B485" i="5"/>
  <c r="C485" i="5"/>
  <c r="E485" i="5"/>
  <c r="A486" i="5"/>
  <c r="B486" i="5"/>
  <c r="C486" i="5"/>
  <c r="E486" i="5"/>
  <c r="A487" i="5"/>
  <c r="B487" i="5"/>
  <c r="C487" i="5"/>
  <c r="E487" i="5"/>
  <c r="A488" i="5"/>
  <c r="B488" i="5"/>
  <c r="C488" i="5"/>
  <c r="E488" i="5"/>
  <c r="A489" i="5"/>
  <c r="B489" i="5"/>
  <c r="C489" i="5"/>
  <c r="E489" i="5"/>
  <c r="A490" i="5"/>
  <c r="B490" i="5"/>
  <c r="C490" i="5"/>
  <c r="E490" i="5"/>
  <c r="A491" i="5"/>
  <c r="B491" i="5"/>
  <c r="C491" i="5"/>
  <c r="E491" i="5"/>
  <c r="A492" i="5"/>
  <c r="B492" i="5"/>
  <c r="C492" i="5"/>
  <c r="E492" i="5"/>
  <c r="A493" i="5"/>
  <c r="B493" i="5"/>
  <c r="C493" i="5"/>
  <c r="E493" i="5"/>
  <c r="A494" i="5"/>
  <c r="B494" i="5"/>
  <c r="C494" i="5"/>
  <c r="E494" i="5"/>
  <c r="A495" i="5"/>
  <c r="B495" i="5"/>
  <c r="C495" i="5"/>
  <c r="E495" i="5"/>
  <c r="A496" i="5"/>
  <c r="B496" i="5"/>
  <c r="C496" i="5"/>
  <c r="E496" i="5"/>
  <c r="A497" i="5"/>
  <c r="B497" i="5"/>
  <c r="C497" i="5"/>
  <c r="E497" i="5"/>
  <c r="A498" i="5"/>
  <c r="B498" i="5"/>
  <c r="C498" i="5"/>
  <c r="E498" i="5"/>
  <c r="A499" i="5"/>
  <c r="B499" i="5"/>
  <c r="C499" i="5"/>
  <c r="E499" i="5"/>
  <c r="A500" i="5"/>
  <c r="B500" i="5"/>
  <c r="C500" i="5"/>
  <c r="E500" i="5"/>
  <c r="A501" i="5"/>
  <c r="B501" i="5"/>
  <c r="C501" i="5"/>
  <c r="E501" i="5"/>
  <c r="A502" i="5"/>
  <c r="B502" i="5"/>
  <c r="C502" i="5"/>
  <c r="E502" i="5"/>
  <c r="A503" i="5"/>
  <c r="B503" i="5"/>
  <c r="C503" i="5"/>
  <c r="E503" i="5"/>
  <c r="A504" i="5"/>
  <c r="B504" i="5"/>
  <c r="C504" i="5"/>
  <c r="E504" i="5"/>
  <c r="A505" i="5"/>
  <c r="B505" i="5"/>
  <c r="C505" i="5"/>
  <c r="E505" i="5"/>
  <c r="A506" i="5"/>
  <c r="B506" i="5"/>
  <c r="C506" i="5"/>
  <c r="E506" i="5"/>
  <c r="A507" i="5"/>
  <c r="B507" i="5"/>
  <c r="C507" i="5"/>
  <c r="E507" i="5"/>
  <c r="A508" i="5"/>
  <c r="B508" i="5"/>
  <c r="C508" i="5"/>
  <c r="E508" i="5"/>
  <c r="A509" i="5"/>
  <c r="B509" i="5"/>
  <c r="C509" i="5"/>
  <c r="E509" i="5"/>
  <c r="A510" i="5"/>
  <c r="B510" i="5"/>
  <c r="C510" i="5"/>
  <c r="E510" i="5"/>
  <c r="A511" i="5"/>
  <c r="B511" i="5"/>
  <c r="C511" i="5"/>
  <c r="E511" i="5"/>
  <c r="A512" i="5"/>
  <c r="B512" i="5"/>
  <c r="C512" i="5"/>
  <c r="E512" i="5"/>
  <c r="A513" i="5"/>
  <c r="B513" i="5"/>
  <c r="C513" i="5"/>
  <c r="E513" i="5"/>
  <c r="A514" i="5"/>
  <c r="B514" i="5"/>
  <c r="C514" i="5"/>
  <c r="E514" i="5"/>
  <c r="A515" i="5"/>
  <c r="B515" i="5"/>
  <c r="C515" i="5"/>
  <c r="E515" i="5"/>
  <c r="A516" i="5"/>
  <c r="B516" i="5"/>
  <c r="C516" i="5"/>
  <c r="E516" i="5"/>
  <c r="A517" i="5"/>
  <c r="B517" i="5"/>
  <c r="C517" i="5"/>
  <c r="E517" i="5"/>
  <c r="A518" i="5"/>
  <c r="B518" i="5"/>
  <c r="C518" i="5"/>
  <c r="E518" i="5"/>
  <c r="A519" i="5"/>
  <c r="B519" i="5"/>
  <c r="C519" i="5"/>
  <c r="E519" i="5"/>
  <c r="A520" i="5"/>
  <c r="B520" i="5"/>
  <c r="C520" i="5"/>
  <c r="E520" i="5"/>
  <c r="A521" i="5"/>
  <c r="B521" i="5"/>
  <c r="C521" i="5"/>
  <c r="E521" i="5"/>
  <c r="A522" i="5"/>
  <c r="B522" i="5"/>
  <c r="C522" i="5"/>
  <c r="E522" i="5"/>
  <c r="A523" i="5"/>
  <c r="B523" i="5"/>
  <c r="C523" i="5"/>
  <c r="E523" i="5"/>
  <c r="A524" i="5"/>
  <c r="B524" i="5"/>
  <c r="C524" i="5"/>
  <c r="E524" i="5"/>
  <c r="A525" i="5"/>
  <c r="B525" i="5"/>
  <c r="C525" i="5"/>
  <c r="E525" i="5"/>
  <c r="A526" i="5"/>
  <c r="B526" i="5"/>
  <c r="C526" i="5"/>
  <c r="E526" i="5"/>
  <c r="A527" i="5"/>
  <c r="B527" i="5"/>
  <c r="C527" i="5"/>
  <c r="E527" i="5"/>
  <c r="A528" i="5"/>
  <c r="B528" i="5"/>
  <c r="C528" i="5"/>
  <c r="E528" i="5"/>
  <c r="A529" i="5"/>
  <c r="B529" i="5"/>
  <c r="C529" i="5"/>
  <c r="E529" i="5"/>
  <c r="A530" i="5"/>
  <c r="B530" i="5"/>
  <c r="C530" i="5"/>
  <c r="E530" i="5"/>
  <c r="A531" i="5"/>
  <c r="B531" i="5"/>
  <c r="C531" i="5"/>
  <c r="D531" i="5"/>
  <c r="E531" i="5"/>
  <c r="A532" i="5"/>
  <c r="B532" i="5"/>
  <c r="C532" i="5"/>
  <c r="E532" i="5"/>
  <c r="A533" i="5"/>
  <c r="B533" i="5"/>
  <c r="C533" i="5"/>
  <c r="E533" i="5"/>
  <c r="A534" i="5"/>
  <c r="B534" i="5"/>
  <c r="C534" i="5"/>
  <c r="E534" i="5"/>
  <c r="A535" i="5"/>
  <c r="B535" i="5"/>
  <c r="C535" i="5"/>
  <c r="E535" i="5"/>
  <c r="A536" i="5"/>
  <c r="B536" i="5"/>
  <c r="C536" i="5"/>
  <c r="E536" i="5"/>
  <c r="A537" i="5"/>
  <c r="B537" i="5"/>
  <c r="C537" i="5"/>
  <c r="E537" i="5"/>
  <c r="A538" i="5"/>
  <c r="B538" i="5"/>
  <c r="C538" i="5"/>
  <c r="E538" i="5"/>
  <c r="A539" i="5"/>
  <c r="B539" i="5"/>
  <c r="C539" i="5"/>
  <c r="E539" i="5"/>
  <c r="A540" i="5"/>
  <c r="B540" i="5"/>
  <c r="C540" i="5"/>
  <c r="E540" i="5"/>
  <c r="A541" i="5"/>
  <c r="B541" i="5"/>
  <c r="C541" i="5"/>
  <c r="E541" i="5"/>
  <c r="A542" i="5"/>
  <c r="B542" i="5"/>
  <c r="C542" i="5"/>
  <c r="E542" i="5"/>
  <c r="A543" i="5"/>
  <c r="B543" i="5"/>
  <c r="C543" i="5"/>
  <c r="E543" i="5"/>
  <c r="A544" i="5"/>
  <c r="B544" i="5"/>
  <c r="C544" i="5"/>
  <c r="E544" i="5"/>
  <c r="A545" i="5"/>
  <c r="B545" i="5"/>
  <c r="C545" i="5"/>
  <c r="E545" i="5"/>
  <c r="A546" i="5"/>
  <c r="B546" i="5"/>
  <c r="C546" i="5"/>
  <c r="E546" i="5"/>
  <c r="A547" i="5"/>
  <c r="B547" i="5"/>
  <c r="C547" i="5"/>
  <c r="E547" i="5"/>
  <c r="A548" i="5"/>
  <c r="B548" i="5"/>
  <c r="C548" i="5"/>
  <c r="E548" i="5"/>
  <c r="A549" i="5"/>
  <c r="B549" i="5"/>
  <c r="C549" i="5"/>
  <c r="E549" i="5"/>
  <c r="A550" i="5"/>
  <c r="B550" i="5"/>
  <c r="C550" i="5"/>
  <c r="E550" i="5"/>
  <c r="A551" i="5"/>
  <c r="B551" i="5"/>
  <c r="C551" i="5"/>
  <c r="E551" i="5"/>
  <c r="A552" i="5"/>
  <c r="B552" i="5"/>
  <c r="C552" i="5"/>
  <c r="E552" i="5"/>
  <c r="A553" i="5"/>
  <c r="B553" i="5"/>
  <c r="C553" i="5"/>
  <c r="E553" i="5"/>
  <c r="A554" i="5"/>
  <c r="B554" i="5"/>
  <c r="C554" i="5"/>
  <c r="E554" i="5"/>
  <c r="A555" i="5"/>
  <c r="B555" i="5"/>
  <c r="C555" i="5"/>
  <c r="E555" i="5"/>
  <c r="A556" i="5"/>
  <c r="B556" i="5"/>
  <c r="C556" i="5"/>
  <c r="E556" i="5"/>
  <c r="A557" i="5"/>
  <c r="B557" i="5"/>
  <c r="C557" i="5"/>
  <c r="E557" i="5"/>
  <c r="A558" i="5"/>
  <c r="B558" i="5"/>
  <c r="C558" i="5"/>
  <c r="E558" i="5"/>
  <c r="A559" i="5"/>
  <c r="B559" i="5"/>
  <c r="C559" i="5"/>
  <c r="E559" i="5"/>
  <c r="A560" i="5"/>
  <c r="B560" i="5"/>
  <c r="C560" i="5"/>
  <c r="E560" i="5"/>
  <c r="A561" i="5"/>
  <c r="B561" i="5"/>
  <c r="C561" i="5"/>
  <c r="E561" i="5"/>
  <c r="A562" i="5"/>
  <c r="B562" i="5"/>
  <c r="C562" i="5"/>
  <c r="E562" i="5"/>
  <c r="A563" i="5"/>
  <c r="B563" i="5"/>
  <c r="C563" i="5"/>
  <c r="E563" i="5"/>
  <c r="A564" i="5"/>
  <c r="B564" i="5"/>
  <c r="C564" i="5"/>
  <c r="E564" i="5"/>
  <c r="A565" i="5"/>
  <c r="B565" i="5"/>
  <c r="C565" i="5"/>
  <c r="E565" i="5"/>
  <c r="A566" i="5"/>
  <c r="B566" i="5"/>
  <c r="C566" i="5"/>
  <c r="E566" i="5"/>
  <c r="A567" i="5"/>
  <c r="B567" i="5"/>
  <c r="C567" i="5"/>
  <c r="E567" i="5"/>
  <c r="A568" i="5"/>
  <c r="B568" i="5"/>
  <c r="C568" i="5"/>
  <c r="E568" i="5"/>
  <c r="A569" i="5"/>
  <c r="B569" i="5"/>
  <c r="C569" i="5"/>
  <c r="E569" i="5"/>
  <c r="A570" i="5"/>
  <c r="B570" i="5"/>
  <c r="C570" i="5"/>
  <c r="E570" i="5"/>
  <c r="A571" i="5"/>
  <c r="B571" i="5"/>
  <c r="C571" i="5"/>
  <c r="E571" i="5"/>
  <c r="A572" i="5"/>
  <c r="B572" i="5"/>
  <c r="C572" i="5"/>
  <c r="E572" i="5"/>
  <c r="A573" i="5"/>
  <c r="B573" i="5"/>
  <c r="C573" i="5"/>
  <c r="E573" i="5"/>
  <c r="A574" i="5"/>
  <c r="B574" i="5"/>
  <c r="C574" i="5"/>
  <c r="E574" i="5"/>
  <c r="A575" i="5"/>
  <c r="B575" i="5"/>
  <c r="C575" i="5"/>
  <c r="E575" i="5"/>
  <c r="A576" i="5"/>
  <c r="B576" i="5"/>
  <c r="C576" i="5"/>
  <c r="E576" i="5"/>
  <c r="A577" i="5"/>
  <c r="B577" i="5"/>
  <c r="C577" i="5"/>
  <c r="E577" i="5"/>
  <c r="A578" i="5"/>
  <c r="B578" i="5"/>
  <c r="C578" i="5"/>
  <c r="E578" i="5"/>
  <c r="A579" i="5"/>
  <c r="B579" i="5"/>
  <c r="C579" i="5"/>
  <c r="E579" i="5"/>
  <c r="A580" i="5"/>
  <c r="B580" i="5"/>
  <c r="C580" i="5"/>
  <c r="E580" i="5"/>
  <c r="A581" i="5"/>
  <c r="B581" i="5"/>
  <c r="C581" i="5"/>
  <c r="E581" i="5"/>
  <c r="A582" i="5"/>
  <c r="B582" i="5"/>
  <c r="C582" i="5"/>
  <c r="E582" i="5"/>
  <c r="A583" i="5"/>
  <c r="B583" i="5"/>
  <c r="C583" i="5"/>
  <c r="E583" i="5"/>
  <c r="A584" i="5"/>
  <c r="B584" i="5"/>
  <c r="C584" i="5"/>
  <c r="E584" i="5"/>
  <c r="A585" i="5"/>
  <c r="B585" i="5"/>
  <c r="C585" i="5"/>
  <c r="E585" i="5"/>
  <c r="A586" i="5"/>
  <c r="B586" i="5"/>
  <c r="C586" i="5"/>
  <c r="E586" i="5"/>
  <c r="A587" i="5"/>
  <c r="B587" i="5"/>
  <c r="C587" i="5"/>
  <c r="E587" i="5"/>
  <c r="A588" i="5"/>
  <c r="B588" i="5"/>
  <c r="C588" i="5"/>
  <c r="E588" i="5"/>
  <c r="A589" i="5"/>
  <c r="B589" i="5"/>
  <c r="C589" i="5"/>
  <c r="E589" i="5"/>
  <c r="A590" i="5"/>
  <c r="B590" i="5"/>
  <c r="C590" i="5"/>
  <c r="E590" i="5"/>
  <c r="A591" i="5"/>
  <c r="B591" i="5"/>
  <c r="C591" i="5"/>
  <c r="E591" i="5"/>
  <c r="A592" i="5"/>
  <c r="B592" i="5"/>
  <c r="C592" i="5"/>
  <c r="E592" i="5"/>
  <c r="A593" i="5"/>
  <c r="B593" i="5"/>
  <c r="C593" i="5"/>
  <c r="E593" i="5"/>
  <c r="A594" i="5"/>
  <c r="B594" i="5"/>
  <c r="C594" i="5"/>
  <c r="E594" i="5"/>
  <c r="A595" i="5"/>
  <c r="B595" i="5"/>
  <c r="C595" i="5"/>
  <c r="E595" i="5"/>
  <c r="A596" i="5"/>
  <c r="B596" i="5"/>
  <c r="C596" i="5"/>
  <c r="E596" i="5"/>
  <c r="A597" i="5"/>
  <c r="B597" i="5"/>
  <c r="C597" i="5"/>
  <c r="E597" i="5"/>
  <c r="A598" i="5"/>
  <c r="B598" i="5"/>
  <c r="C598" i="5"/>
  <c r="E598" i="5"/>
  <c r="A599" i="5"/>
  <c r="B599" i="5"/>
  <c r="C599" i="5"/>
  <c r="E599" i="5"/>
  <c r="A600" i="5"/>
  <c r="B600" i="5"/>
  <c r="C600" i="5"/>
  <c r="E600" i="5"/>
  <c r="A601" i="5"/>
  <c r="B601" i="5"/>
  <c r="C601" i="5"/>
  <c r="E601" i="5"/>
  <c r="A602" i="5"/>
  <c r="B602" i="5"/>
  <c r="C602" i="5"/>
  <c r="E602" i="5"/>
  <c r="A603" i="5"/>
  <c r="B603" i="5"/>
  <c r="C603" i="5"/>
  <c r="E603" i="5"/>
  <c r="A604" i="5"/>
  <c r="B604" i="5"/>
  <c r="C604" i="5"/>
  <c r="E604" i="5"/>
  <c r="A605" i="5"/>
  <c r="B605" i="5"/>
  <c r="C605" i="5"/>
  <c r="E605" i="5"/>
  <c r="A606" i="5"/>
  <c r="B606" i="5"/>
  <c r="C606" i="5"/>
  <c r="E606" i="5"/>
  <c r="A607" i="5"/>
  <c r="B607" i="5"/>
  <c r="C607" i="5"/>
  <c r="E607" i="5"/>
  <c r="A608" i="5"/>
  <c r="B608" i="5"/>
  <c r="C608" i="5"/>
  <c r="E608" i="5"/>
  <c r="A609" i="5"/>
  <c r="B609" i="5"/>
  <c r="C609" i="5"/>
  <c r="E609" i="5"/>
  <c r="A610" i="5"/>
  <c r="B610" i="5"/>
  <c r="C610" i="5"/>
  <c r="E610" i="5"/>
  <c r="A611" i="5"/>
  <c r="B611" i="5"/>
  <c r="C611" i="5"/>
  <c r="E611" i="5"/>
  <c r="A612" i="5"/>
  <c r="B612" i="5"/>
  <c r="C612" i="5"/>
  <c r="E612" i="5"/>
  <c r="A613" i="5"/>
  <c r="B613" i="5"/>
  <c r="C613" i="5"/>
  <c r="E613" i="5"/>
  <c r="A614" i="5"/>
  <c r="B614" i="5"/>
  <c r="C614" i="5"/>
  <c r="E614" i="5"/>
  <c r="A615" i="5"/>
  <c r="B615" i="5"/>
  <c r="C615" i="5"/>
  <c r="E615" i="5"/>
  <c r="A616" i="5"/>
  <c r="B616" i="5"/>
  <c r="C616" i="5"/>
  <c r="E616" i="5"/>
  <c r="A617" i="5"/>
  <c r="B617" i="5"/>
  <c r="C617" i="5"/>
  <c r="E617" i="5"/>
  <c r="A618" i="5"/>
  <c r="B618" i="5"/>
  <c r="C618" i="5"/>
  <c r="E618" i="5"/>
  <c r="A619" i="5"/>
  <c r="B619" i="5"/>
  <c r="C619" i="5"/>
  <c r="E619" i="5"/>
  <c r="A620" i="5"/>
  <c r="B620" i="5"/>
  <c r="C620" i="5"/>
  <c r="E620" i="5"/>
  <c r="A621" i="5"/>
  <c r="B621" i="5"/>
  <c r="C621" i="5"/>
  <c r="E621" i="5"/>
  <c r="A622" i="5"/>
  <c r="B622" i="5"/>
  <c r="C622" i="5"/>
  <c r="E622" i="5"/>
  <c r="A623" i="5"/>
  <c r="B623" i="5"/>
  <c r="C623" i="5"/>
  <c r="E623" i="5"/>
  <c r="A624" i="5"/>
  <c r="B624" i="5"/>
  <c r="C624" i="5"/>
  <c r="E624" i="5"/>
  <c r="A625" i="5"/>
  <c r="B625" i="5"/>
  <c r="C625" i="5"/>
  <c r="E625" i="5"/>
  <c r="A626" i="5"/>
  <c r="B626" i="5"/>
  <c r="C626" i="5"/>
  <c r="E626" i="5"/>
  <c r="A627" i="5"/>
  <c r="B627" i="5"/>
  <c r="C627" i="5"/>
  <c r="E627" i="5"/>
  <c r="A628" i="5"/>
  <c r="B628" i="5"/>
  <c r="C628" i="5"/>
  <c r="E628" i="5"/>
  <c r="A629" i="5"/>
  <c r="B629" i="5"/>
  <c r="C629" i="5"/>
  <c r="E629" i="5"/>
  <c r="A630" i="5"/>
  <c r="B630" i="5"/>
  <c r="C630" i="5"/>
  <c r="E630" i="5"/>
  <c r="A631" i="5"/>
  <c r="B631" i="5"/>
  <c r="C631" i="5"/>
  <c r="E631" i="5"/>
  <c r="A632" i="5"/>
  <c r="B632" i="5"/>
  <c r="C632" i="5"/>
  <c r="E632" i="5"/>
  <c r="A633" i="5"/>
  <c r="B633" i="5"/>
  <c r="C633" i="5"/>
  <c r="E633" i="5"/>
  <c r="A634" i="5"/>
  <c r="B634" i="5"/>
  <c r="C634" i="5"/>
  <c r="E634" i="5"/>
  <c r="A635" i="5"/>
  <c r="B635" i="5"/>
  <c r="C635" i="5"/>
  <c r="E635" i="5"/>
  <c r="A636" i="5"/>
  <c r="B636" i="5"/>
  <c r="C636" i="5"/>
  <c r="E636" i="5"/>
  <c r="A637" i="5"/>
  <c r="B637" i="5"/>
  <c r="C637" i="5"/>
  <c r="E637" i="5"/>
  <c r="A638" i="5"/>
  <c r="B638" i="5"/>
  <c r="C638" i="5"/>
  <c r="E638" i="5"/>
  <c r="A639" i="5"/>
  <c r="B639" i="5"/>
  <c r="C639" i="5"/>
  <c r="E639" i="5"/>
  <c r="A640" i="5"/>
  <c r="B640" i="5"/>
  <c r="C640" i="5"/>
  <c r="E640" i="5"/>
  <c r="A641" i="5"/>
  <c r="B641" i="5"/>
  <c r="C641" i="5"/>
  <c r="E641" i="5"/>
  <c r="A642" i="5"/>
  <c r="B642" i="5"/>
  <c r="C642" i="5"/>
  <c r="E642" i="5"/>
  <c r="A643" i="5"/>
  <c r="B643" i="5"/>
  <c r="C643" i="5"/>
  <c r="E643" i="5"/>
  <c r="A644" i="5"/>
  <c r="B644" i="5"/>
  <c r="C644" i="5"/>
  <c r="E644" i="5"/>
  <c r="A645" i="5"/>
  <c r="B645" i="5"/>
  <c r="C645" i="5"/>
  <c r="E645" i="5"/>
  <c r="A646" i="5"/>
  <c r="B646" i="5"/>
  <c r="C646" i="5"/>
  <c r="E646" i="5"/>
  <c r="A647" i="5"/>
  <c r="B647" i="5"/>
  <c r="C647" i="5"/>
  <c r="E647" i="5"/>
  <c r="A648" i="5"/>
  <c r="B648" i="5"/>
  <c r="C648" i="5"/>
  <c r="E648" i="5"/>
  <c r="A649" i="5"/>
  <c r="B649" i="5"/>
  <c r="C649" i="5"/>
  <c r="E649" i="5"/>
  <c r="A650" i="5"/>
  <c r="B650" i="5"/>
  <c r="C650" i="5"/>
  <c r="E650" i="5"/>
  <c r="A651" i="5"/>
  <c r="B651" i="5"/>
  <c r="C651" i="5"/>
  <c r="E651" i="5"/>
  <c r="A652" i="5"/>
  <c r="B652" i="5"/>
  <c r="C652" i="5"/>
  <c r="E652" i="5"/>
  <c r="A653" i="5"/>
  <c r="B653" i="5"/>
  <c r="C653" i="5"/>
  <c r="E653" i="5"/>
  <c r="A654" i="5"/>
  <c r="B654" i="5"/>
  <c r="C654" i="5"/>
  <c r="E654" i="5"/>
  <c r="A655" i="5"/>
  <c r="B655" i="5"/>
  <c r="C655" i="5"/>
  <c r="E655" i="5"/>
  <c r="A657" i="5"/>
  <c r="B657" i="5"/>
  <c r="C657" i="5"/>
  <c r="E657" i="5"/>
  <c r="A658" i="5"/>
  <c r="B658" i="5"/>
  <c r="C658" i="5"/>
  <c r="E658" i="5"/>
  <c r="A659" i="5"/>
  <c r="B659" i="5"/>
  <c r="C659" i="5"/>
  <c r="E659" i="5"/>
  <c r="A660" i="5"/>
  <c r="B660" i="5"/>
  <c r="C660" i="5"/>
  <c r="E660" i="5"/>
  <c r="A661" i="5"/>
  <c r="B661" i="5"/>
  <c r="C661" i="5"/>
  <c r="E661" i="5"/>
  <c r="A662" i="5"/>
  <c r="B662" i="5"/>
  <c r="C662" i="5"/>
  <c r="E662" i="5"/>
  <c r="A663" i="5"/>
  <c r="B663" i="5"/>
  <c r="C663" i="5"/>
  <c r="E663" i="5"/>
  <c r="A664" i="5"/>
  <c r="B664" i="5"/>
  <c r="C664" i="5"/>
  <c r="E664" i="5"/>
  <c r="A665" i="5"/>
  <c r="B665" i="5"/>
  <c r="C665" i="5"/>
  <c r="E665" i="5"/>
  <c r="A666" i="5"/>
  <c r="B666" i="5"/>
  <c r="C666" i="5"/>
  <c r="E666" i="5"/>
  <c r="A667" i="5"/>
  <c r="B667" i="5"/>
  <c r="C667" i="5"/>
  <c r="E667" i="5"/>
  <c r="A668" i="5"/>
  <c r="B668" i="5"/>
  <c r="C668" i="5"/>
  <c r="E668" i="5"/>
  <c r="A669" i="5"/>
  <c r="B669" i="5"/>
  <c r="C669" i="5"/>
  <c r="E669" i="5"/>
  <c r="A670" i="5"/>
  <c r="B670" i="5"/>
  <c r="C670" i="5"/>
  <c r="E670" i="5"/>
  <c r="A671" i="5"/>
  <c r="B671" i="5"/>
  <c r="C671" i="5"/>
  <c r="E671" i="5"/>
  <c r="A672" i="5"/>
  <c r="B672" i="5"/>
  <c r="C672" i="5"/>
  <c r="E672" i="5"/>
  <c r="A673" i="5"/>
  <c r="B673" i="5"/>
  <c r="C673" i="5"/>
  <c r="E673" i="5"/>
  <c r="A674" i="5"/>
  <c r="B674" i="5"/>
  <c r="C674" i="5"/>
  <c r="E674" i="5"/>
  <c r="A675" i="5"/>
  <c r="B675" i="5"/>
  <c r="C675" i="5"/>
  <c r="E675" i="5"/>
  <c r="A676" i="5"/>
  <c r="B676" i="5"/>
  <c r="C676" i="5"/>
  <c r="E676" i="5"/>
  <c r="A677" i="5"/>
  <c r="B677" i="5"/>
  <c r="C677" i="5"/>
  <c r="E677" i="5"/>
  <c r="A678" i="5"/>
  <c r="B678" i="5"/>
  <c r="C678" i="5"/>
  <c r="E678" i="5"/>
  <c r="A679" i="5"/>
  <c r="B679" i="5"/>
  <c r="C679" i="5"/>
  <c r="E679" i="5"/>
  <c r="A680" i="5"/>
  <c r="B680" i="5"/>
  <c r="C680" i="5"/>
  <c r="E680" i="5"/>
  <c r="A681" i="5"/>
  <c r="B681" i="5"/>
  <c r="C681" i="5"/>
  <c r="E681" i="5"/>
  <c r="A682" i="5"/>
  <c r="B682" i="5"/>
  <c r="C682" i="5"/>
  <c r="E682" i="5"/>
  <c r="A683" i="5"/>
  <c r="B683" i="5"/>
  <c r="C683" i="5"/>
  <c r="E683" i="5"/>
  <c r="A684" i="5"/>
  <c r="B684" i="5"/>
  <c r="C684" i="5"/>
  <c r="E684" i="5"/>
  <c r="A685" i="5"/>
  <c r="B685" i="5"/>
  <c r="C685" i="5"/>
  <c r="E685" i="5"/>
  <c r="A686" i="5"/>
  <c r="B686" i="5"/>
  <c r="C686" i="5"/>
  <c r="E686" i="5"/>
  <c r="A687" i="5"/>
  <c r="B687" i="5"/>
  <c r="C687" i="5"/>
  <c r="E687" i="5"/>
  <c r="A688" i="5"/>
  <c r="B688" i="5"/>
  <c r="C688" i="5"/>
  <c r="E688" i="5"/>
  <c r="A689" i="5"/>
  <c r="B689" i="5"/>
  <c r="C689" i="5"/>
  <c r="E689" i="5"/>
  <c r="A690" i="5"/>
  <c r="B690" i="5"/>
  <c r="C690" i="5"/>
  <c r="E690" i="5"/>
  <c r="A691" i="5"/>
  <c r="B691" i="5"/>
  <c r="C691" i="5"/>
  <c r="E691" i="5"/>
  <c r="A692" i="5"/>
  <c r="B692" i="5"/>
  <c r="C692" i="5"/>
  <c r="E692" i="5"/>
  <c r="A693" i="5"/>
  <c r="B693" i="5"/>
  <c r="C693" i="5"/>
  <c r="E693" i="5"/>
  <c r="A694" i="5"/>
  <c r="B694" i="5"/>
  <c r="C694" i="5"/>
  <c r="E694" i="5"/>
  <c r="A695" i="5"/>
  <c r="B695" i="5"/>
  <c r="C695" i="5"/>
  <c r="E695" i="5"/>
  <c r="A696" i="5"/>
  <c r="B696" i="5"/>
  <c r="C696" i="5"/>
  <c r="E696" i="5"/>
  <c r="A697" i="5"/>
  <c r="B697" i="5"/>
  <c r="C697" i="5"/>
  <c r="E697" i="5"/>
  <c r="A698" i="5"/>
  <c r="B698" i="5"/>
  <c r="C698" i="5"/>
  <c r="E698" i="5"/>
  <c r="A699" i="5"/>
  <c r="B699" i="5"/>
  <c r="C699" i="5"/>
  <c r="E699" i="5"/>
  <c r="A700" i="5"/>
  <c r="B700" i="5"/>
  <c r="C700" i="5"/>
  <c r="A702" i="5"/>
  <c r="B702" i="5"/>
  <c r="C702" i="5"/>
  <c r="E702" i="5"/>
  <c r="A703" i="5"/>
  <c r="B703" i="5"/>
  <c r="C703" i="5"/>
  <c r="E703" i="5"/>
  <c r="A704" i="5"/>
  <c r="B704" i="5"/>
  <c r="C704" i="5"/>
  <c r="E704" i="5"/>
  <c r="A705" i="5"/>
  <c r="B705" i="5"/>
  <c r="C705" i="5"/>
  <c r="E705" i="5"/>
  <c r="A706" i="5"/>
  <c r="B706" i="5"/>
  <c r="C706" i="5"/>
  <c r="E706" i="5"/>
  <c r="A707" i="5"/>
  <c r="B707" i="5"/>
  <c r="C707" i="5"/>
  <c r="E707" i="5"/>
  <c r="A708" i="5"/>
  <c r="B708" i="5"/>
  <c r="C708" i="5"/>
  <c r="E708" i="5"/>
  <c r="A709" i="5"/>
  <c r="B709" i="5"/>
  <c r="C709" i="5"/>
  <c r="E709" i="5"/>
  <c r="A710" i="5"/>
  <c r="B710" i="5"/>
  <c r="C710" i="5"/>
  <c r="E710" i="5"/>
  <c r="A711" i="5"/>
  <c r="B711" i="5"/>
  <c r="C711" i="5"/>
  <c r="E711" i="5"/>
  <c r="A712" i="5"/>
  <c r="B712" i="5"/>
  <c r="C712" i="5"/>
  <c r="E712" i="5"/>
  <c r="A713" i="5"/>
  <c r="B713" i="5"/>
  <c r="C713" i="5"/>
  <c r="E713" i="5"/>
  <c r="A714" i="5"/>
  <c r="B714" i="5"/>
  <c r="C714" i="5"/>
  <c r="E714" i="5"/>
  <c r="A715" i="5"/>
  <c r="B715" i="5"/>
  <c r="C715" i="5"/>
  <c r="E715" i="5"/>
  <c r="A716" i="5"/>
  <c r="B716" i="5"/>
  <c r="C716" i="5"/>
  <c r="E716" i="5"/>
  <c r="A717" i="5"/>
  <c r="B717" i="5"/>
  <c r="C717" i="5"/>
  <c r="E717" i="5"/>
  <c r="A718" i="5"/>
  <c r="B718" i="5"/>
  <c r="C718" i="5"/>
  <c r="E718" i="5"/>
  <c r="A719" i="5"/>
  <c r="B719" i="5"/>
  <c r="C719" i="5"/>
  <c r="E719" i="5"/>
  <c r="A720" i="5"/>
  <c r="B720" i="5"/>
  <c r="C720" i="5"/>
  <c r="E720" i="5"/>
  <c r="A721" i="5"/>
  <c r="B721" i="5"/>
  <c r="C721" i="5"/>
  <c r="E721" i="5"/>
  <c r="A722" i="5"/>
  <c r="B722" i="5"/>
  <c r="C722" i="5"/>
  <c r="E722" i="5"/>
  <c r="A723" i="5"/>
  <c r="B723" i="5"/>
  <c r="C723" i="5"/>
  <c r="E723" i="5"/>
  <c r="A724" i="5"/>
  <c r="B724" i="5"/>
  <c r="C724" i="5"/>
  <c r="E724" i="5"/>
  <c r="A725" i="5"/>
  <c r="B725" i="5"/>
  <c r="C725" i="5"/>
  <c r="E725" i="5"/>
  <c r="A726" i="5"/>
  <c r="B726" i="5"/>
  <c r="C726" i="5"/>
  <c r="E726" i="5"/>
  <c r="A727" i="5"/>
  <c r="B727" i="5"/>
  <c r="C727" i="5"/>
  <c r="E727" i="5"/>
  <c r="A728" i="5"/>
  <c r="B728" i="5"/>
  <c r="C728" i="5"/>
  <c r="E728" i="5"/>
  <c r="A729" i="5"/>
  <c r="B729" i="5"/>
  <c r="C729" i="5"/>
  <c r="E729" i="5"/>
  <c r="A730" i="5"/>
  <c r="B730" i="5"/>
  <c r="C730" i="5"/>
  <c r="E730" i="5"/>
  <c r="A731" i="5"/>
  <c r="B731" i="5"/>
  <c r="C731" i="5"/>
  <c r="E731" i="5"/>
  <c r="A732" i="5"/>
  <c r="B732" i="5"/>
  <c r="C732" i="5"/>
  <c r="E732" i="5"/>
  <c r="A733" i="5"/>
  <c r="B733" i="5"/>
  <c r="C733" i="5"/>
  <c r="E733" i="5"/>
  <c r="A734" i="5"/>
  <c r="B734" i="5"/>
  <c r="C734" i="5"/>
  <c r="E734" i="5"/>
  <c r="A735" i="5"/>
  <c r="B735" i="5"/>
  <c r="C735" i="5"/>
  <c r="E735" i="5"/>
  <c r="A736" i="5"/>
  <c r="B736" i="5"/>
  <c r="C736" i="5"/>
  <c r="E736" i="5"/>
  <c r="A737" i="5"/>
  <c r="B737" i="5"/>
  <c r="C737" i="5"/>
  <c r="D737" i="5"/>
  <c r="E737" i="5"/>
  <c r="B2" i="5"/>
  <c r="C2" i="5"/>
  <c r="E2" i="5"/>
  <c r="A2" i="5"/>
  <c r="I49" i="4"/>
  <c r="K49" i="4"/>
  <c r="W49" i="4"/>
  <c r="Y49" i="4"/>
  <c r="Z49" i="4"/>
  <c r="I50" i="4"/>
  <c r="K50" i="4"/>
  <c r="W50" i="4"/>
  <c r="Y50" i="4"/>
  <c r="Z50" i="4"/>
  <c r="I51" i="4"/>
  <c r="K51" i="4"/>
  <c r="W51" i="4"/>
  <c r="Y51" i="4"/>
  <c r="Z51" i="4"/>
  <c r="I52" i="4"/>
  <c r="K52" i="4"/>
  <c r="W52" i="4"/>
  <c r="Y52" i="4"/>
  <c r="Z52" i="4"/>
  <c r="I53" i="4"/>
  <c r="K53" i="4"/>
  <c r="W53" i="4"/>
  <c r="Y53" i="4"/>
  <c r="Z53" i="4"/>
  <c r="I54" i="4"/>
  <c r="K54" i="4"/>
  <c r="W54" i="4"/>
  <c r="Y54" i="4"/>
  <c r="Z54" i="4"/>
  <c r="I55" i="4"/>
  <c r="K55" i="4"/>
  <c r="W55" i="4"/>
  <c r="Y55" i="4"/>
  <c r="Z55" i="4"/>
  <c r="I56" i="4"/>
  <c r="K56" i="4"/>
  <c r="W56" i="4"/>
  <c r="Y56" i="4"/>
  <c r="Z56" i="4"/>
  <c r="I57" i="4"/>
  <c r="K57" i="4"/>
  <c r="W57" i="4"/>
  <c r="Y57" i="4"/>
  <c r="Z57" i="4"/>
  <c r="I58" i="4"/>
  <c r="K58" i="4"/>
  <c r="W58" i="4"/>
  <c r="Y58" i="4"/>
  <c r="Z58" i="4"/>
  <c r="I59" i="4"/>
  <c r="K59" i="4"/>
  <c r="W59" i="4"/>
  <c r="Y59" i="4"/>
  <c r="Z59" i="4"/>
  <c r="I60" i="4"/>
  <c r="K60" i="4"/>
  <c r="W60" i="4"/>
  <c r="Y60" i="4"/>
  <c r="Z60" i="4"/>
  <c r="I61" i="4"/>
  <c r="K61" i="4"/>
  <c r="W61" i="4"/>
  <c r="Y61" i="4"/>
  <c r="Z61" i="4"/>
  <c r="I62" i="4"/>
  <c r="K62" i="4"/>
  <c r="W62" i="4"/>
  <c r="Y62" i="4"/>
  <c r="Z62" i="4"/>
  <c r="I63" i="4"/>
  <c r="K63" i="4"/>
  <c r="W63" i="4"/>
  <c r="Y63" i="4"/>
  <c r="Z63" i="4"/>
  <c r="I64" i="4"/>
  <c r="K64" i="4"/>
  <c r="W64" i="4"/>
  <c r="Y64" i="4"/>
  <c r="Z64" i="4"/>
  <c r="I65" i="4"/>
  <c r="K65" i="4"/>
  <c r="W65" i="4"/>
  <c r="Y65" i="4"/>
  <c r="Z65" i="4"/>
  <c r="I66" i="4"/>
  <c r="K66" i="4"/>
  <c r="W66" i="4"/>
  <c r="Y66" i="4"/>
  <c r="Z66" i="4"/>
  <c r="I67" i="4"/>
  <c r="K67" i="4"/>
  <c r="W67" i="4"/>
  <c r="Y67" i="4"/>
  <c r="Z67" i="4"/>
  <c r="I68" i="4"/>
  <c r="K68" i="4"/>
  <c r="W68" i="4"/>
  <c r="Y68" i="4"/>
  <c r="Z68" i="4"/>
  <c r="I69" i="4"/>
  <c r="K69" i="4"/>
  <c r="W69" i="4"/>
  <c r="Y69" i="4"/>
  <c r="Z69" i="4"/>
  <c r="I70" i="4"/>
  <c r="K70" i="4"/>
  <c r="W70" i="4"/>
  <c r="Y70" i="4"/>
  <c r="Z70" i="4"/>
  <c r="I71" i="4"/>
  <c r="K71" i="4"/>
  <c r="W71" i="4"/>
  <c r="Y71" i="4"/>
  <c r="Z71" i="4"/>
  <c r="I72" i="4"/>
  <c r="K72" i="4"/>
  <c r="W72" i="4"/>
  <c r="Y72" i="4"/>
  <c r="Z72" i="4"/>
  <c r="I73" i="4"/>
  <c r="K73" i="4"/>
  <c r="W73" i="4"/>
  <c r="Y73" i="4"/>
  <c r="Z73" i="4"/>
  <c r="I74" i="4"/>
  <c r="K74" i="4"/>
  <c r="W74" i="4"/>
  <c r="Y74" i="4"/>
  <c r="Z74" i="4"/>
  <c r="I75" i="4"/>
  <c r="K75" i="4"/>
  <c r="W75" i="4"/>
  <c r="Y75" i="4"/>
  <c r="Z75" i="4"/>
  <c r="I76" i="4"/>
  <c r="K76" i="4"/>
  <c r="W76" i="4"/>
  <c r="Y76" i="4"/>
  <c r="Z76" i="4"/>
  <c r="I77" i="4"/>
  <c r="K77" i="4"/>
  <c r="W77" i="4"/>
  <c r="Y77" i="4"/>
  <c r="Z77" i="4"/>
  <c r="I78" i="4"/>
  <c r="K78" i="4"/>
  <c r="W78" i="4"/>
  <c r="Y78" i="4"/>
  <c r="Z78" i="4"/>
  <c r="I79" i="4"/>
  <c r="K79" i="4"/>
  <c r="W79" i="4"/>
  <c r="Y79" i="4"/>
  <c r="Z79" i="4"/>
  <c r="I80" i="4"/>
  <c r="K80" i="4"/>
  <c r="W80" i="4"/>
  <c r="Y80" i="4"/>
  <c r="Z80" i="4"/>
  <c r="I81" i="4"/>
  <c r="K81" i="4"/>
  <c r="W81" i="4"/>
  <c r="Y81" i="4"/>
  <c r="Z81" i="4"/>
  <c r="I82" i="4"/>
  <c r="K82" i="4"/>
  <c r="W82" i="4"/>
  <c r="Y82" i="4"/>
  <c r="Z82" i="4"/>
  <c r="I83" i="4"/>
  <c r="K83" i="4"/>
  <c r="W83" i="4"/>
  <c r="Y83" i="4"/>
  <c r="Z83" i="4"/>
  <c r="I84" i="4"/>
  <c r="K84" i="4"/>
  <c r="W84" i="4"/>
  <c r="Y84" i="4"/>
  <c r="Z84" i="4"/>
  <c r="I85" i="4"/>
  <c r="K85" i="4"/>
  <c r="W85" i="4"/>
  <c r="Y85" i="4"/>
  <c r="Z85" i="4"/>
  <c r="I86" i="4"/>
  <c r="K86" i="4"/>
  <c r="W86" i="4"/>
  <c r="Y86" i="4"/>
  <c r="Z86" i="4"/>
  <c r="I87" i="4"/>
  <c r="K87" i="4"/>
  <c r="W87" i="4"/>
  <c r="Y87" i="4"/>
  <c r="Z87" i="4"/>
  <c r="I88" i="4"/>
  <c r="K88" i="4"/>
  <c r="W88" i="4"/>
  <c r="Y88" i="4"/>
  <c r="Z88" i="4"/>
  <c r="I89" i="4"/>
  <c r="K89" i="4"/>
  <c r="W89" i="4"/>
  <c r="Y89" i="4"/>
  <c r="Z89" i="4"/>
  <c r="I90" i="4"/>
  <c r="K90" i="4"/>
  <c r="W90" i="4"/>
  <c r="Y90" i="4"/>
  <c r="Z90" i="4"/>
  <c r="I91" i="4"/>
  <c r="K91" i="4"/>
  <c r="W91" i="4"/>
  <c r="Y91" i="4"/>
  <c r="Z91" i="4"/>
  <c r="I92" i="4"/>
  <c r="K92" i="4"/>
  <c r="W92" i="4"/>
  <c r="Y92" i="4"/>
  <c r="Z92" i="4"/>
  <c r="I93" i="4"/>
  <c r="K93" i="4"/>
  <c r="W93" i="4"/>
  <c r="Y93" i="4"/>
  <c r="Z93" i="4"/>
  <c r="I94" i="4"/>
  <c r="K94" i="4"/>
  <c r="W94" i="4"/>
  <c r="Y94" i="4"/>
  <c r="Z94" i="4"/>
  <c r="I95" i="4"/>
  <c r="K95" i="4"/>
  <c r="W95" i="4"/>
  <c r="Y95" i="4"/>
  <c r="Z95" i="4"/>
  <c r="I96" i="4"/>
  <c r="K96" i="4"/>
  <c r="W96" i="4"/>
  <c r="Y96" i="4"/>
  <c r="Z96" i="4"/>
  <c r="I97" i="4"/>
  <c r="K97" i="4"/>
  <c r="W97" i="4"/>
  <c r="Y97" i="4"/>
  <c r="Z97" i="4"/>
  <c r="I98" i="4"/>
  <c r="K98" i="4"/>
  <c r="W98" i="4"/>
  <c r="Y98" i="4"/>
  <c r="Z98" i="4"/>
  <c r="I99" i="4"/>
  <c r="K99" i="4"/>
  <c r="W99" i="4"/>
  <c r="Y99" i="4"/>
  <c r="Z99" i="4"/>
  <c r="I100" i="4"/>
  <c r="K100" i="4"/>
  <c r="W100" i="4"/>
  <c r="Y100" i="4"/>
  <c r="Z100" i="4"/>
  <c r="I101" i="4"/>
  <c r="K101" i="4"/>
  <c r="W101" i="4"/>
  <c r="Y101" i="4"/>
  <c r="Z101" i="4"/>
  <c r="I102" i="4"/>
  <c r="K102" i="4"/>
  <c r="W102" i="4"/>
  <c r="Y102" i="4"/>
  <c r="Z102" i="4"/>
  <c r="I103" i="4"/>
  <c r="K103" i="4"/>
  <c r="W103" i="4"/>
  <c r="Y103" i="4"/>
  <c r="Z103" i="4"/>
  <c r="I104" i="4"/>
  <c r="K104" i="4"/>
  <c r="W104" i="4"/>
  <c r="Y104" i="4"/>
  <c r="Z104" i="4"/>
  <c r="I105" i="4"/>
  <c r="K105" i="4"/>
  <c r="W105" i="4"/>
  <c r="Y105" i="4"/>
  <c r="Z105" i="4"/>
  <c r="I106" i="4"/>
  <c r="K106" i="4"/>
  <c r="W106" i="4"/>
  <c r="Y106" i="4"/>
  <c r="Z106" i="4"/>
  <c r="I107" i="4"/>
  <c r="K107" i="4"/>
  <c r="W107" i="4"/>
  <c r="Y107" i="4"/>
  <c r="Z107" i="4"/>
  <c r="I108" i="4"/>
  <c r="K108" i="4"/>
  <c r="W108" i="4"/>
  <c r="Y108" i="4"/>
  <c r="Z108" i="4"/>
  <c r="I109" i="4"/>
  <c r="K109" i="4"/>
  <c r="W109" i="4"/>
  <c r="Y109" i="4"/>
  <c r="Z109" i="4"/>
  <c r="I110" i="4"/>
  <c r="K110" i="4"/>
  <c r="W110" i="4"/>
  <c r="Y110" i="4"/>
  <c r="Z110" i="4"/>
  <c r="I111" i="4"/>
  <c r="K111" i="4"/>
  <c r="W111" i="4"/>
  <c r="Y111" i="4"/>
  <c r="Z111" i="4"/>
  <c r="I112" i="4"/>
  <c r="K112" i="4"/>
  <c r="W112" i="4"/>
  <c r="Y112" i="4"/>
  <c r="Z112" i="4"/>
  <c r="I113" i="4"/>
  <c r="K113" i="4"/>
  <c r="W113" i="4"/>
  <c r="Y113" i="4"/>
  <c r="Z113" i="4"/>
  <c r="I114" i="4"/>
  <c r="K114" i="4"/>
  <c r="W114" i="4"/>
  <c r="Y114" i="4"/>
  <c r="Z114" i="4"/>
  <c r="I115" i="4"/>
  <c r="K115" i="4"/>
  <c r="W115" i="4"/>
  <c r="Y115" i="4"/>
  <c r="Z115" i="4"/>
  <c r="I116" i="4"/>
  <c r="K116" i="4"/>
  <c r="W116" i="4"/>
  <c r="Y116" i="4"/>
  <c r="Z116" i="4"/>
  <c r="I117" i="4"/>
  <c r="K117" i="4"/>
  <c r="W117" i="4"/>
  <c r="Y117" i="4"/>
  <c r="Z117" i="4"/>
  <c r="I118" i="4"/>
  <c r="K118" i="4"/>
  <c r="W118" i="4"/>
  <c r="Y118" i="4"/>
  <c r="Z118" i="4"/>
  <c r="I119" i="4"/>
  <c r="K119" i="4"/>
  <c r="W119" i="4"/>
  <c r="Y119" i="4"/>
  <c r="Z119" i="4"/>
  <c r="I120" i="4"/>
  <c r="K120" i="4"/>
  <c r="W120" i="4"/>
  <c r="Y120" i="4"/>
  <c r="Z120" i="4"/>
  <c r="I121" i="4"/>
  <c r="K121" i="4"/>
  <c r="W121" i="4"/>
  <c r="Y121" i="4"/>
  <c r="Z121" i="4"/>
  <c r="I122" i="4"/>
  <c r="K122" i="4"/>
  <c r="W122" i="4"/>
  <c r="Y122" i="4"/>
  <c r="Z122" i="4"/>
  <c r="I123" i="4"/>
  <c r="K123" i="4"/>
  <c r="W123" i="4"/>
  <c r="Y123" i="4"/>
  <c r="Z123" i="4"/>
  <c r="I124" i="4"/>
  <c r="K124" i="4"/>
  <c r="W124" i="4"/>
  <c r="Y124" i="4"/>
  <c r="Z124" i="4"/>
  <c r="I125" i="4"/>
  <c r="K125" i="4"/>
  <c r="W125" i="4"/>
  <c r="Y125" i="4"/>
  <c r="Z125" i="4"/>
  <c r="I126" i="4"/>
  <c r="K126" i="4"/>
  <c r="W126" i="4"/>
  <c r="Y126" i="4"/>
  <c r="Z126" i="4"/>
  <c r="I127" i="4"/>
  <c r="K127" i="4"/>
  <c r="W127" i="4"/>
  <c r="Y127" i="4"/>
  <c r="Z127" i="4"/>
  <c r="I128" i="4"/>
  <c r="K128" i="4"/>
  <c r="W128" i="4"/>
  <c r="Y128" i="4"/>
  <c r="Z128" i="4"/>
  <c r="I129" i="4"/>
  <c r="K129" i="4"/>
  <c r="W129" i="4"/>
  <c r="Y129" i="4"/>
  <c r="Z129" i="4"/>
  <c r="I130" i="4"/>
  <c r="K130" i="4"/>
  <c r="W130" i="4"/>
  <c r="Y130" i="4"/>
  <c r="Z130" i="4"/>
  <c r="I131" i="4"/>
  <c r="K131" i="4"/>
  <c r="W131" i="4"/>
  <c r="Y131" i="4"/>
  <c r="Z131" i="4"/>
  <c r="I132" i="4"/>
  <c r="K132" i="4"/>
  <c r="W132" i="4"/>
  <c r="Y132" i="4"/>
  <c r="Z132" i="4"/>
  <c r="I133" i="4"/>
  <c r="K133" i="4"/>
  <c r="W133" i="4"/>
  <c r="Y133" i="4"/>
  <c r="Z133" i="4"/>
  <c r="I134" i="4"/>
  <c r="K134" i="4"/>
  <c r="W134" i="4"/>
  <c r="Y134" i="4"/>
  <c r="Z134" i="4"/>
  <c r="I135" i="4"/>
  <c r="K135" i="4"/>
  <c r="W135" i="4"/>
  <c r="Y135" i="4"/>
  <c r="Z135" i="4"/>
  <c r="I136" i="4"/>
  <c r="K136" i="4"/>
  <c r="W136" i="4"/>
  <c r="Y136" i="4"/>
  <c r="Z136" i="4"/>
  <c r="I137" i="4"/>
  <c r="K137" i="4"/>
  <c r="W137" i="4"/>
  <c r="Y137" i="4"/>
  <c r="Z137" i="4"/>
  <c r="I138" i="4"/>
  <c r="K138" i="4"/>
  <c r="W138" i="4"/>
  <c r="Y138" i="4"/>
  <c r="Z138" i="4"/>
  <c r="I139" i="4"/>
  <c r="K139" i="4"/>
  <c r="W139" i="4"/>
  <c r="Y139" i="4"/>
  <c r="Z139" i="4"/>
  <c r="I140" i="4"/>
  <c r="K140" i="4"/>
  <c r="W140" i="4"/>
  <c r="Y140" i="4"/>
  <c r="Z140" i="4"/>
  <c r="I141" i="4"/>
  <c r="K141" i="4"/>
  <c r="W141" i="4"/>
  <c r="Y141" i="4"/>
  <c r="Z141" i="4"/>
  <c r="I142" i="4"/>
  <c r="K142" i="4"/>
  <c r="W142" i="4"/>
  <c r="Y142" i="4"/>
  <c r="Z142" i="4"/>
  <c r="I143" i="4"/>
  <c r="K143" i="4"/>
  <c r="W143" i="4"/>
  <c r="Y143" i="4"/>
  <c r="Z143" i="4"/>
  <c r="I144" i="4"/>
  <c r="K144" i="4"/>
  <c r="W144" i="4"/>
  <c r="Y144" i="4"/>
  <c r="Z144" i="4"/>
  <c r="I145" i="4"/>
  <c r="K145" i="4"/>
  <c r="W145" i="4"/>
  <c r="Y145" i="4"/>
  <c r="Z145" i="4"/>
  <c r="I146" i="4"/>
  <c r="K146" i="4"/>
  <c r="W146" i="4"/>
  <c r="Y146" i="4"/>
  <c r="Z146" i="4"/>
  <c r="I147" i="4"/>
  <c r="K147" i="4"/>
  <c r="W147" i="4"/>
  <c r="Y147" i="4"/>
  <c r="Z147" i="4"/>
  <c r="I148" i="4"/>
  <c r="K148" i="4"/>
  <c r="W148" i="4"/>
  <c r="Y148" i="4"/>
  <c r="Z148" i="4"/>
  <c r="I149" i="4"/>
  <c r="K149" i="4"/>
  <c r="W149" i="4"/>
  <c r="Y149" i="4"/>
  <c r="Z149" i="4"/>
  <c r="I150" i="4"/>
  <c r="K150" i="4"/>
  <c r="W150" i="4"/>
  <c r="Y150" i="4"/>
  <c r="Z150" i="4"/>
  <c r="I151" i="4"/>
  <c r="K151" i="4"/>
  <c r="W151" i="4"/>
  <c r="Y151" i="4"/>
  <c r="Z151" i="4"/>
  <c r="I152" i="4"/>
  <c r="K152" i="4"/>
  <c r="W152" i="4"/>
  <c r="Y152" i="4"/>
  <c r="Z152" i="4"/>
  <c r="I153" i="4"/>
  <c r="K153" i="4"/>
  <c r="W153" i="4"/>
  <c r="Y153" i="4"/>
  <c r="Z153" i="4"/>
  <c r="I154" i="4"/>
  <c r="K154" i="4"/>
  <c r="W154" i="4"/>
  <c r="Y154" i="4"/>
  <c r="Z154" i="4"/>
  <c r="I155" i="4"/>
  <c r="K155" i="4"/>
  <c r="W155" i="4"/>
  <c r="Y155" i="4"/>
  <c r="Z155" i="4"/>
  <c r="I156" i="4"/>
  <c r="K156" i="4"/>
  <c r="W156" i="4"/>
  <c r="Y156" i="4"/>
  <c r="Z156" i="4"/>
  <c r="I157" i="4"/>
  <c r="K157" i="4"/>
  <c r="W157" i="4"/>
  <c r="Y157" i="4"/>
  <c r="Z157" i="4"/>
  <c r="I158" i="4"/>
  <c r="K158" i="4"/>
  <c r="W158" i="4"/>
  <c r="Y158" i="4"/>
  <c r="Z158" i="4"/>
  <c r="I159" i="4"/>
  <c r="K159" i="4"/>
  <c r="W159" i="4"/>
  <c r="Y159" i="4"/>
  <c r="Z159" i="4"/>
  <c r="I160" i="4"/>
  <c r="K160" i="4"/>
  <c r="W160" i="4"/>
  <c r="Y160" i="4"/>
  <c r="Z160" i="4"/>
  <c r="I161" i="4"/>
  <c r="K161" i="4"/>
  <c r="W161" i="4"/>
  <c r="Y161" i="4"/>
  <c r="Z161" i="4"/>
  <c r="I162" i="4"/>
  <c r="K162" i="4"/>
  <c r="W162" i="4"/>
  <c r="Y162" i="4"/>
  <c r="Z162" i="4"/>
  <c r="I163" i="4"/>
  <c r="K163" i="4"/>
  <c r="W163" i="4"/>
  <c r="Y163" i="4"/>
  <c r="Z163" i="4"/>
  <c r="I164" i="4"/>
  <c r="K164" i="4"/>
  <c r="W164" i="4"/>
  <c r="Y164" i="4"/>
  <c r="Z164" i="4"/>
  <c r="I165" i="4"/>
  <c r="K165" i="4"/>
  <c r="W165" i="4"/>
  <c r="Y165" i="4"/>
  <c r="Z165" i="4"/>
  <c r="I166" i="4"/>
  <c r="K166" i="4"/>
  <c r="W166" i="4"/>
  <c r="Y166" i="4"/>
  <c r="Z166" i="4"/>
  <c r="I167" i="4"/>
  <c r="K167" i="4"/>
  <c r="W167" i="4"/>
  <c r="Y167" i="4"/>
  <c r="Z167" i="4"/>
  <c r="I168" i="4"/>
  <c r="K168" i="4"/>
  <c r="W168" i="4"/>
  <c r="Y168" i="4"/>
  <c r="Z168" i="4"/>
  <c r="I169" i="4"/>
  <c r="K169" i="4"/>
  <c r="W169" i="4"/>
  <c r="Y169" i="4"/>
  <c r="Z169" i="4"/>
  <c r="I170" i="4"/>
  <c r="K170" i="4"/>
  <c r="W170" i="4"/>
  <c r="Y170" i="4"/>
  <c r="Z170" i="4"/>
  <c r="I171" i="4"/>
  <c r="K171" i="4"/>
  <c r="W171" i="4"/>
  <c r="Y171" i="4"/>
  <c r="Z171" i="4"/>
  <c r="I172" i="4"/>
  <c r="K172" i="4"/>
  <c r="W172" i="4"/>
  <c r="Y172" i="4"/>
  <c r="Z172" i="4"/>
  <c r="I173" i="4"/>
  <c r="K173" i="4"/>
  <c r="W173" i="4"/>
  <c r="Y173" i="4"/>
  <c r="Z173" i="4"/>
  <c r="I174" i="4"/>
  <c r="K174" i="4"/>
  <c r="W174" i="4"/>
  <c r="Y174" i="4"/>
  <c r="Z174" i="4"/>
  <c r="I175" i="4"/>
  <c r="K175" i="4"/>
  <c r="W175" i="4"/>
  <c r="Y175" i="4"/>
  <c r="Z175" i="4"/>
  <c r="I176" i="4"/>
  <c r="K176" i="4"/>
  <c r="W176" i="4"/>
  <c r="Y176" i="4"/>
  <c r="Z176" i="4"/>
  <c r="I177" i="4"/>
  <c r="K177" i="4"/>
  <c r="W177" i="4"/>
  <c r="Y177" i="4"/>
  <c r="Z177" i="4"/>
  <c r="I178" i="4"/>
  <c r="K178" i="4"/>
  <c r="W178" i="4"/>
  <c r="Y178" i="4"/>
  <c r="Z178" i="4"/>
  <c r="I179" i="4"/>
  <c r="K179" i="4"/>
  <c r="W179" i="4"/>
  <c r="Y179" i="4"/>
  <c r="Z179" i="4"/>
  <c r="I180" i="4"/>
  <c r="K180" i="4"/>
  <c r="W180" i="4"/>
  <c r="Y180" i="4"/>
  <c r="Z180" i="4"/>
  <c r="I181" i="4"/>
  <c r="K181" i="4"/>
  <c r="W181" i="4"/>
  <c r="Y181" i="4"/>
  <c r="Z181" i="4"/>
  <c r="I182" i="4"/>
  <c r="K182" i="4"/>
  <c r="W182" i="4"/>
  <c r="Y182" i="4"/>
  <c r="Z182" i="4"/>
  <c r="I183" i="4"/>
  <c r="K183" i="4"/>
  <c r="W183" i="4"/>
  <c r="Y183" i="4"/>
  <c r="Z183" i="4"/>
  <c r="I184" i="4"/>
  <c r="K184" i="4"/>
  <c r="W184" i="4"/>
  <c r="Y184" i="4"/>
  <c r="Z184" i="4"/>
  <c r="I185" i="4"/>
  <c r="K185" i="4"/>
  <c r="W185" i="4"/>
  <c r="Y185" i="4"/>
  <c r="Z185" i="4"/>
  <c r="I186" i="4"/>
  <c r="K186" i="4"/>
  <c r="W186" i="4"/>
  <c r="Y186" i="4"/>
  <c r="Z186" i="4"/>
  <c r="I187" i="4"/>
  <c r="K187" i="4"/>
  <c r="W187" i="4"/>
  <c r="Y187" i="4"/>
  <c r="Z187" i="4"/>
  <c r="I188" i="4"/>
  <c r="K188" i="4"/>
  <c r="W188" i="4"/>
  <c r="Y188" i="4"/>
  <c r="Z188" i="4"/>
  <c r="I189" i="4"/>
  <c r="K189" i="4"/>
  <c r="W189" i="4"/>
  <c r="Y189" i="4"/>
  <c r="Z189" i="4"/>
  <c r="I190" i="4"/>
  <c r="K190" i="4"/>
  <c r="W190" i="4"/>
  <c r="Y190" i="4"/>
  <c r="Z190" i="4"/>
  <c r="I191" i="4"/>
  <c r="K191" i="4"/>
  <c r="W191" i="4"/>
  <c r="Y191" i="4"/>
  <c r="Z191" i="4"/>
  <c r="I192" i="4"/>
  <c r="K192" i="4"/>
  <c r="W192" i="4"/>
  <c r="Y192" i="4"/>
  <c r="Z192" i="4"/>
  <c r="I193" i="4"/>
  <c r="K193" i="4"/>
  <c r="W193" i="4"/>
  <c r="Y193" i="4"/>
  <c r="Z193" i="4"/>
  <c r="I194" i="4"/>
  <c r="K194" i="4"/>
  <c r="W194" i="4"/>
  <c r="Y194" i="4"/>
  <c r="Z194" i="4"/>
  <c r="I195" i="4"/>
  <c r="K195" i="4"/>
  <c r="W195" i="4"/>
  <c r="Y195" i="4"/>
  <c r="Z195" i="4"/>
  <c r="I196" i="4"/>
  <c r="K196" i="4"/>
  <c r="W196" i="4"/>
  <c r="Y196" i="4"/>
  <c r="Z196" i="4"/>
  <c r="I197" i="4"/>
  <c r="K197" i="4"/>
  <c r="W197" i="4"/>
  <c r="Y197" i="4"/>
  <c r="Z197" i="4"/>
  <c r="I198" i="4"/>
  <c r="K198" i="4"/>
  <c r="W198" i="4"/>
  <c r="Y198" i="4"/>
  <c r="Z198" i="4"/>
  <c r="I199" i="4"/>
  <c r="K199" i="4"/>
  <c r="W199" i="4"/>
  <c r="Y199" i="4"/>
  <c r="Z199" i="4"/>
  <c r="I200" i="4"/>
  <c r="K200" i="4"/>
  <c r="W200" i="4"/>
  <c r="Y200" i="4"/>
  <c r="Z200" i="4"/>
  <c r="I201" i="4"/>
  <c r="K201" i="4"/>
  <c r="W201" i="4"/>
  <c r="Y201" i="4"/>
  <c r="Z201" i="4"/>
  <c r="I202" i="4"/>
  <c r="K202" i="4"/>
  <c r="W202" i="4"/>
  <c r="Y202" i="4"/>
  <c r="Z202" i="4"/>
  <c r="I203" i="4"/>
  <c r="K203" i="4"/>
  <c r="W203" i="4"/>
  <c r="Y203" i="4"/>
  <c r="Z203" i="4"/>
  <c r="I204" i="4"/>
  <c r="K204" i="4"/>
  <c r="W204" i="4"/>
  <c r="Y204" i="4"/>
  <c r="Z204" i="4"/>
  <c r="I205" i="4"/>
  <c r="K205" i="4"/>
  <c r="W205" i="4"/>
  <c r="Y205" i="4"/>
  <c r="Z205" i="4"/>
  <c r="I206" i="4"/>
  <c r="K206" i="4"/>
  <c r="W206" i="4"/>
  <c r="Y206" i="4"/>
  <c r="Z206" i="4"/>
  <c r="I207" i="4"/>
  <c r="K207" i="4"/>
  <c r="W207" i="4"/>
  <c r="Y207" i="4"/>
  <c r="Z207" i="4"/>
  <c r="I208" i="4"/>
  <c r="K208" i="4"/>
  <c r="W208" i="4"/>
  <c r="Y208" i="4"/>
  <c r="Z208" i="4"/>
  <c r="I209" i="4"/>
  <c r="K209" i="4"/>
  <c r="W209" i="4"/>
  <c r="Y209" i="4"/>
  <c r="Z209" i="4"/>
  <c r="I210" i="4"/>
  <c r="K210" i="4"/>
  <c r="W210" i="4"/>
  <c r="Y210" i="4"/>
  <c r="Z210" i="4"/>
  <c r="I211" i="4"/>
  <c r="K211" i="4"/>
  <c r="W211" i="4"/>
  <c r="Y211" i="4"/>
  <c r="Z211" i="4"/>
  <c r="I212" i="4"/>
  <c r="K212" i="4"/>
  <c r="W212" i="4"/>
  <c r="Y212" i="4"/>
  <c r="Z212" i="4"/>
  <c r="I213" i="4"/>
  <c r="K213" i="4"/>
  <c r="W213" i="4"/>
  <c r="Y213" i="4"/>
  <c r="Z213" i="4"/>
  <c r="I214" i="4"/>
  <c r="K214" i="4"/>
  <c r="W214" i="4"/>
  <c r="Y214" i="4"/>
  <c r="Z214" i="4"/>
  <c r="I215" i="4"/>
  <c r="K215" i="4"/>
  <c r="W215" i="4"/>
  <c r="Y215" i="4"/>
  <c r="Z215" i="4"/>
  <c r="I216" i="4"/>
  <c r="K216" i="4"/>
  <c r="W216" i="4"/>
  <c r="Y216" i="4"/>
  <c r="Z216" i="4"/>
  <c r="I217" i="4"/>
  <c r="K217" i="4"/>
  <c r="W217" i="4"/>
  <c r="Y217" i="4"/>
  <c r="Z217" i="4"/>
  <c r="I218" i="4"/>
  <c r="K218" i="4"/>
  <c r="W218" i="4"/>
  <c r="Y218" i="4"/>
  <c r="Z218" i="4"/>
  <c r="I219" i="4"/>
  <c r="K219" i="4"/>
  <c r="W219" i="4"/>
  <c r="Y219" i="4"/>
  <c r="Z219" i="4"/>
  <c r="I220" i="4"/>
  <c r="K220" i="4"/>
  <c r="W220" i="4"/>
  <c r="Y220" i="4"/>
  <c r="Z220" i="4"/>
  <c r="I221" i="4"/>
  <c r="K221" i="4"/>
  <c r="W221" i="4"/>
  <c r="Y221" i="4"/>
  <c r="Z221" i="4"/>
  <c r="I222" i="4"/>
  <c r="K222" i="4"/>
  <c r="W222" i="4"/>
  <c r="Y222" i="4"/>
  <c r="Z222" i="4"/>
  <c r="I223" i="4"/>
  <c r="K223" i="4"/>
  <c r="W223" i="4"/>
  <c r="Y223" i="4"/>
  <c r="Z223" i="4"/>
  <c r="I224" i="4"/>
  <c r="K224" i="4"/>
  <c r="W224" i="4"/>
  <c r="Y224" i="4"/>
  <c r="Z224" i="4"/>
  <c r="I225" i="4"/>
  <c r="K225" i="4"/>
  <c r="W225" i="4"/>
  <c r="Y225" i="4"/>
  <c r="Z225" i="4"/>
  <c r="I226" i="4"/>
  <c r="K226" i="4"/>
  <c r="W226" i="4"/>
  <c r="Y226" i="4"/>
  <c r="Z226" i="4"/>
  <c r="I227" i="4"/>
  <c r="K227" i="4"/>
  <c r="W227" i="4"/>
  <c r="Y227" i="4"/>
  <c r="Z227" i="4"/>
  <c r="I228" i="4"/>
  <c r="K228" i="4"/>
  <c r="W228" i="4"/>
  <c r="Y228" i="4"/>
  <c r="Z228" i="4"/>
  <c r="I229" i="4"/>
  <c r="K229" i="4"/>
  <c r="W229" i="4"/>
  <c r="Y229" i="4"/>
  <c r="Z229" i="4"/>
  <c r="I230" i="4"/>
  <c r="K230" i="4"/>
  <c r="W230" i="4"/>
  <c r="Y230" i="4"/>
  <c r="Z230" i="4"/>
  <c r="I231" i="4"/>
  <c r="K231" i="4"/>
  <c r="W231" i="4"/>
  <c r="Y231" i="4"/>
  <c r="Z231" i="4"/>
  <c r="I232" i="4"/>
  <c r="K232" i="4"/>
  <c r="W232" i="4"/>
  <c r="Y232" i="4"/>
  <c r="Z232" i="4"/>
  <c r="I233" i="4"/>
  <c r="K233" i="4"/>
  <c r="W233" i="4"/>
  <c r="Y233" i="4"/>
  <c r="Z233" i="4"/>
  <c r="I234" i="4"/>
  <c r="K234" i="4"/>
  <c r="W234" i="4"/>
  <c r="Y234" i="4"/>
  <c r="Z234" i="4"/>
  <c r="I235" i="4"/>
  <c r="K235" i="4"/>
  <c r="W235" i="4"/>
  <c r="Y235" i="4"/>
  <c r="Z235" i="4"/>
  <c r="I236" i="4"/>
  <c r="K236" i="4"/>
  <c r="W236" i="4"/>
  <c r="Y236" i="4"/>
  <c r="Z236" i="4"/>
  <c r="I237" i="4"/>
  <c r="K237" i="4"/>
  <c r="W237" i="4"/>
  <c r="Y237" i="4"/>
  <c r="Z237" i="4"/>
  <c r="I238" i="4"/>
  <c r="K238" i="4"/>
  <c r="W238" i="4"/>
  <c r="Y238" i="4"/>
  <c r="Z238" i="4"/>
  <c r="I239" i="4"/>
  <c r="K239" i="4"/>
  <c r="W239" i="4"/>
  <c r="Y239" i="4"/>
  <c r="Z239" i="4"/>
  <c r="I240" i="4"/>
  <c r="K240" i="4"/>
  <c r="W240" i="4"/>
  <c r="Y240" i="4"/>
  <c r="Z240" i="4"/>
  <c r="I241" i="4"/>
  <c r="K241" i="4"/>
  <c r="W241" i="4"/>
  <c r="Y241" i="4"/>
  <c r="Z241" i="4"/>
  <c r="I242" i="4"/>
  <c r="K242" i="4"/>
  <c r="W242" i="4"/>
  <c r="Y242" i="4"/>
  <c r="Z242" i="4"/>
  <c r="I243" i="4"/>
  <c r="K243" i="4"/>
  <c r="W243" i="4"/>
  <c r="Y243" i="4"/>
  <c r="Z243" i="4"/>
  <c r="I244" i="4"/>
  <c r="K244" i="4"/>
  <c r="W244" i="4"/>
  <c r="Y244" i="4"/>
  <c r="Z244" i="4"/>
  <c r="I245" i="4"/>
  <c r="K245" i="4"/>
  <c r="W245" i="4"/>
  <c r="Y245" i="4"/>
  <c r="Z245" i="4"/>
  <c r="I246" i="4"/>
  <c r="K246" i="4"/>
  <c r="W246" i="4"/>
  <c r="Y246" i="4"/>
  <c r="Z246" i="4"/>
  <c r="I247" i="4"/>
  <c r="K247" i="4"/>
  <c r="W247" i="4"/>
  <c r="Y247" i="4"/>
  <c r="Z247" i="4"/>
  <c r="I248" i="4"/>
  <c r="K248" i="4"/>
  <c r="W248" i="4"/>
  <c r="Y248" i="4"/>
  <c r="Z248" i="4"/>
  <c r="I249" i="4"/>
  <c r="K249" i="4"/>
  <c r="W249" i="4"/>
  <c r="Y249" i="4"/>
  <c r="Z249" i="4"/>
  <c r="I250" i="4"/>
  <c r="K250" i="4"/>
  <c r="W250" i="4"/>
  <c r="Y250" i="4"/>
  <c r="Z250" i="4"/>
  <c r="I251" i="4"/>
  <c r="K251" i="4"/>
  <c r="W251" i="4"/>
  <c r="Y251" i="4"/>
  <c r="Z251" i="4"/>
  <c r="I252" i="4"/>
  <c r="K252" i="4"/>
  <c r="W252" i="4"/>
  <c r="Y252" i="4"/>
  <c r="Z252" i="4"/>
  <c r="I253" i="4"/>
  <c r="K253" i="4"/>
  <c r="W253" i="4"/>
  <c r="Y253" i="4"/>
  <c r="Z253" i="4"/>
  <c r="I254" i="4"/>
  <c r="K254" i="4"/>
  <c r="W254" i="4"/>
  <c r="Y254" i="4"/>
  <c r="Z254" i="4"/>
  <c r="I255" i="4"/>
  <c r="K255" i="4"/>
  <c r="W255" i="4"/>
  <c r="Y255" i="4"/>
  <c r="Z255" i="4"/>
  <c r="I256" i="4"/>
  <c r="K256" i="4"/>
  <c r="W256" i="4"/>
  <c r="Y256" i="4"/>
  <c r="Z256" i="4"/>
  <c r="I257" i="4"/>
  <c r="K257" i="4"/>
  <c r="W257" i="4"/>
  <c r="Y257" i="4"/>
  <c r="Z257" i="4"/>
  <c r="I258" i="4"/>
  <c r="K258" i="4"/>
  <c r="W258" i="4"/>
  <c r="Y258" i="4"/>
  <c r="Z258" i="4"/>
  <c r="I259" i="4"/>
  <c r="K259" i="4"/>
  <c r="W259" i="4"/>
  <c r="Y259" i="4"/>
  <c r="Z259" i="4"/>
  <c r="I260" i="4"/>
  <c r="K260" i="4"/>
  <c r="W260" i="4"/>
  <c r="Y260" i="4"/>
  <c r="Z260" i="4"/>
  <c r="I261" i="4"/>
  <c r="K261" i="4"/>
  <c r="W261" i="4"/>
  <c r="Y261" i="4"/>
  <c r="Z261" i="4"/>
  <c r="I262" i="4"/>
  <c r="K262" i="4"/>
  <c r="W262" i="4"/>
  <c r="Y262" i="4"/>
  <c r="Z262" i="4"/>
  <c r="I263" i="4"/>
  <c r="K263" i="4"/>
  <c r="W263" i="4"/>
  <c r="Y263" i="4"/>
  <c r="Z263" i="4"/>
  <c r="I264" i="4"/>
  <c r="K264" i="4"/>
  <c r="W264" i="4"/>
  <c r="Y264" i="4"/>
  <c r="Z264" i="4"/>
  <c r="I265" i="4"/>
  <c r="K265" i="4"/>
  <c r="W265" i="4"/>
  <c r="Y265" i="4"/>
  <c r="Z265" i="4"/>
  <c r="I266" i="4"/>
  <c r="K266" i="4"/>
  <c r="W266" i="4"/>
  <c r="Y266" i="4"/>
  <c r="Z266" i="4"/>
  <c r="I267" i="4"/>
  <c r="K267" i="4"/>
  <c r="W267" i="4"/>
  <c r="Y267" i="4"/>
  <c r="Z267" i="4"/>
  <c r="I268" i="4"/>
  <c r="K268" i="4"/>
  <c r="W268" i="4"/>
  <c r="Y268" i="4"/>
  <c r="Z268" i="4"/>
  <c r="I269" i="4"/>
  <c r="K269" i="4"/>
  <c r="W269" i="4"/>
  <c r="Y269" i="4"/>
  <c r="Z269" i="4"/>
  <c r="I270" i="4"/>
  <c r="K270" i="4"/>
  <c r="W270" i="4"/>
  <c r="Y270" i="4"/>
  <c r="Z270" i="4"/>
  <c r="I271" i="4"/>
  <c r="K271" i="4"/>
  <c r="W271" i="4"/>
  <c r="Y271" i="4"/>
  <c r="Z271" i="4"/>
  <c r="I272" i="4"/>
  <c r="K272" i="4"/>
  <c r="W272" i="4"/>
  <c r="Y272" i="4"/>
  <c r="Z272" i="4"/>
  <c r="I273" i="4"/>
  <c r="K273" i="4"/>
  <c r="W273" i="4"/>
  <c r="Y273" i="4"/>
  <c r="Z273" i="4"/>
  <c r="I274" i="4"/>
  <c r="K274" i="4"/>
  <c r="W274" i="4"/>
  <c r="Y274" i="4"/>
  <c r="Z274" i="4"/>
  <c r="I275" i="4"/>
  <c r="K275" i="4"/>
  <c r="W275" i="4"/>
  <c r="Y275" i="4"/>
  <c r="Z275" i="4"/>
  <c r="I276" i="4"/>
  <c r="K276" i="4"/>
  <c r="W276" i="4"/>
  <c r="Y276" i="4"/>
  <c r="Z276" i="4"/>
  <c r="I277" i="4"/>
  <c r="K277" i="4"/>
  <c r="W277" i="4"/>
  <c r="Y277" i="4"/>
  <c r="Z277" i="4"/>
  <c r="I278" i="4"/>
  <c r="K278" i="4"/>
  <c r="W278" i="4"/>
  <c r="Y278" i="4"/>
  <c r="Z278" i="4"/>
  <c r="I279" i="4"/>
  <c r="K279" i="4"/>
  <c r="W279" i="4"/>
  <c r="Y279" i="4"/>
  <c r="Z279" i="4"/>
  <c r="I280" i="4"/>
  <c r="K280" i="4"/>
  <c r="W280" i="4"/>
  <c r="Y280" i="4"/>
  <c r="Z280" i="4"/>
  <c r="I281" i="4"/>
  <c r="K281" i="4"/>
  <c r="W281" i="4"/>
  <c r="Y281" i="4"/>
  <c r="Z281" i="4"/>
  <c r="I282" i="4"/>
  <c r="K282" i="4"/>
  <c r="W282" i="4"/>
  <c r="Y282" i="4"/>
  <c r="Z282" i="4"/>
  <c r="I283" i="4"/>
  <c r="K283" i="4"/>
  <c r="W283" i="4"/>
  <c r="Y283" i="4"/>
  <c r="Z283" i="4"/>
  <c r="I284" i="4"/>
  <c r="K284" i="4"/>
  <c r="W284" i="4"/>
  <c r="Y284" i="4"/>
  <c r="Z284" i="4"/>
  <c r="I285" i="4"/>
  <c r="K285" i="4"/>
  <c r="W285" i="4"/>
  <c r="Y285" i="4"/>
  <c r="Z285" i="4"/>
  <c r="I286" i="4"/>
  <c r="K286" i="4"/>
  <c r="W286" i="4"/>
  <c r="Y286" i="4"/>
  <c r="Z286" i="4"/>
  <c r="I287" i="4"/>
  <c r="K287" i="4"/>
  <c r="W287" i="4"/>
  <c r="Y287" i="4"/>
  <c r="Z287" i="4"/>
  <c r="I288" i="4"/>
  <c r="K288" i="4"/>
  <c r="W288" i="4"/>
  <c r="Y288" i="4"/>
  <c r="Z288" i="4"/>
  <c r="I289" i="4"/>
  <c r="K289" i="4"/>
  <c r="W289" i="4"/>
  <c r="Y289" i="4"/>
  <c r="Z289" i="4"/>
  <c r="I290" i="4"/>
  <c r="K290" i="4"/>
  <c r="W290" i="4"/>
  <c r="Y290" i="4"/>
  <c r="Z290" i="4"/>
  <c r="I291" i="4"/>
  <c r="K291" i="4"/>
  <c r="W291" i="4"/>
  <c r="Y291" i="4"/>
  <c r="Z291" i="4"/>
  <c r="I292" i="4"/>
  <c r="K292" i="4"/>
  <c r="W292" i="4"/>
  <c r="Y292" i="4"/>
  <c r="Z292" i="4"/>
  <c r="I293" i="4"/>
  <c r="K293" i="4"/>
  <c r="W293" i="4"/>
  <c r="Y293" i="4"/>
  <c r="Z293" i="4"/>
  <c r="I294" i="4"/>
  <c r="K294" i="4"/>
  <c r="W294" i="4"/>
  <c r="Y294" i="4"/>
  <c r="Z294" i="4"/>
  <c r="I295" i="4"/>
  <c r="K295" i="4"/>
  <c r="W295" i="4"/>
  <c r="Y295" i="4"/>
  <c r="Z295" i="4"/>
  <c r="I296" i="4"/>
  <c r="K296" i="4"/>
  <c r="W296" i="4"/>
  <c r="Y296" i="4"/>
  <c r="Z296" i="4"/>
  <c r="I297" i="4"/>
  <c r="K297" i="4"/>
  <c r="W297" i="4"/>
  <c r="Y297" i="4"/>
  <c r="Z297" i="4"/>
  <c r="I298" i="4"/>
  <c r="K298" i="4"/>
  <c r="W298" i="4"/>
  <c r="Y298" i="4"/>
  <c r="Z298" i="4"/>
  <c r="I299" i="4"/>
  <c r="K299" i="4"/>
  <c r="W299" i="4"/>
  <c r="Y299" i="4"/>
  <c r="Z299" i="4"/>
  <c r="I300" i="4"/>
  <c r="K300" i="4"/>
  <c r="W300" i="4"/>
  <c r="Y300" i="4"/>
  <c r="Z300" i="4"/>
  <c r="I301" i="4"/>
  <c r="K301" i="4"/>
  <c r="W301" i="4"/>
  <c r="Y301" i="4"/>
  <c r="Z301" i="4"/>
  <c r="I302" i="4"/>
  <c r="K302" i="4"/>
  <c r="W302" i="4"/>
  <c r="Y302" i="4"/>
  <c r="Z302" i="4"/>
  <c r="I303" i="4"/>
  <c r="K303" i="4"/>
  <c r="W303" i="4"/>
  <c r="Y303" i="4"/>
  <c r="Z303" i="4"/>
  <c r="I304" i="4"/>
  <c r="K304" i="4"/>
  <c r="W304" i="4"/>
  <c r="Y304" i="4"/>
  <c r="Z304" i="4"/>
  <c r="I305" i="4"/>
  <c r="K305" i="4"/>
  <c r="W305" i="4"/>
  <c r="Y305" i="4"/>
  <c r="Z305" i="4"/>
  <c r="I306" i="4"/>
  <c r="K306" i="4"/>
  <c r="W306" i="4"/>
  <c r="Y306" i="4"/>
  <c r="Z306" i="4"/>
  <c r="I307" i="4"/>
  <c r="K307" i="4"/>
  <c r="W307" i="4"/>
  <c r="Y307" i="4"/>
  <c r="Z307" i="4"/>
  <c r="I308" i="4"/>
  <c r="K308" i="4"/>
  <c r="W308" i="4"/>
  <c r="Y308" i="4"/>
  <c r="Z308" i="4"/>
  <c r="I309" i="4"/>
  <c r="K309" i="4"/>
  <c r="W309" i="4"/>
  <c r="Y309" i="4"/>
  <c r="Z309" i="4"/>
  <c r="I310" i="4"/>
  <c r="K310" i="4"/>
  <c r="W310" i="4"/>
  <c r="Y310" i="4"/>
  <c r="Z310" i="4"/>
  <c r="I311" i="4"/>
  <c r="K311" i="4"/>
  <c r="W311" i="4"/>
  <c r="Y311" i="4"/>
  <c r="Z311" i="4"/>
  <c r="I312" i="4"/>
  <c r="K312" i="4"/>
  <c r="W312" i="4"/>
  <c r="Y312" i="4"/>
  <c r="Z312" i="4"/>
  <c r="I313" i="4"/>
  <c r="K313" i="4"/>
  <c r="W313" i="4"/>
  <c r="Y313" i="4"/>
  <c r="Z313" i="4"/>
  <c r="I314" i="4"/>
  <c r="K314" i="4"/>
  <c r="W314" i="4"/>
  <c r="Y314" i="4"/>
  <c r="Z314" i="4"/>
  <c r="I315" i="4"/>
  <c r="K315" i="4"/>
  <c r="W315" i="4"/>
  <c r="Y315" i="4"/>
  <c r="Z315" i="4"/>
  <c r="I316" i="4"/>
  <c r="K316" i="4"/>
  <c r="W316" i="4"/>
  <c r="Y316" i="4"/>
  <c r="Z316" i="4"/>
  <c r="I317" i="4"/>
  <c r="K317" i="4"/>
  <c r="W317" i="4"/>
  <c r="Y317" i="4"/>
  <c r="Z317" i="4"/>
  <c r="I318" i="4"/>
  <c r="K318" i="4"/>
  <c r="W318" i="4"/>
  <c r="Y318" i="4"/>
  <c r="Z318" i="4"/>
  <c r="I319" i="4"/>
  <c r="K319" i="4"/>
  <c r="W319" i="4"/>
  <c r="Y319" i="4"/>
  <c r="Z319" i="4"/>
  <c r="I320" i="4"/>
  <c r="K320" i="4"/>
  <c r="W320" i="4"/>
  <c r="Y320" i="4"/>
  <c r="Z320" i="4"/>
  <c r="I321" i="4"/>
  <c r="K321" i="4"/>
  <c r="W321" i="4"/>
  <c r="Y321" i="4"/>
  <c r="Z321" i="4"/>
  <c r="I322" i="4"/>
  <c r="K322" i="4"/>
  <c r="W322" i="4"/>
  <c r="Y322" i="4"/>
  <c r="Z322" i="4"/>
  <c r="I323" i="4"/>
  <c r="K323" i="4"/>
  <c r="W323" i="4"/>
  <c r="Y323" i="4"/>
  <c r="Z323" i="4"/>
  <c r="I324" i="4"/>
  <c r="K324" i="4"/>
  <c r="W324" i="4"/>
  <c r="Y324" i="4"/>
  <c r="Z324" i="4"/>
  <c r="I325" i="4"/>
  <c r="K325" i="4"/>
  <c r="W325" i="4"/>
  <c r="Y325" i="4"/>
  <c r="Z325" i="4"/>
  <c r="I326" i="4"/>
  <c r="K326" i="4"/>
  <c r="W326" i="4"/>
  <c r="Y326" i="4"/>
  <c r="Z326" i="4"/>
  <c r="I327" i="4"/>
  <c r="K327" i="4"/>
  <c r="W327" i="4"/>
  <c r="Y327" i="4"/>
  <c r="Z327" i="4"/>
  <c r="I328" i="4"/>
  <c r="K328" i="4"/>
  <c r="W328" i="4"/>
  <c r="Y328" i="4"/>
  <c r="Z328" i="4"/>
  <c r="I329" i="4"/>
  <c r="K329" i="4"/>
  <c r="W329" i="4"/>
  <c r="Y329" i="4"/>
  <c r="Z329" i="4"/>
  <c r="I330" i="4"/>
  <c r="K330" i="4"/>
  <c r="W330" i="4"/>
  <c r="Y330" i="4"/>
  <c r="Z330" i="4"/>
  <c r="I331" i="4"/>
  <c r="K331" i="4"/>
  <c r="W331" i="4"/>
  <c r="Y331" i="4"/>
  <c r="Z331" i="4"/>
  <c r="I332" i="4"/>
  <c r="K332" i="4"/>
  <c r="W332" i="4"/>
  <c r="Y332" i="4"/>
  <c r="Z332" i="4"/>
  <c r="I333" i="4"/>
  <c r="K333" i="4"/>
  <c r="W333" i="4"/>
  <c r="Y333" i="4"/>
  <c r="Z333" i="4"/>
  <c r="I334" i="4"/>
  <c r="K334" i="4"/>
  <c r="W334" i="4"/>
  <c r="Y334" i="4"/>
  <c r="Z334" i="4"/>
  <c r="I335" i="4"/>
  <c r="K335" i="4"/>
  <c r="W335" i="4"/>
  <c r="Y335" i="4"/>
  <c r="Z335" i="4"/>
  <c r="I336" i="4"/>
  <c r="K336" i="4"/>
  <c r="W336" i="4"/>
  <c r="Y336" i="4"/>
  <c r="Z336" i="4"/>
  <c r="I337" i="4"/>
  <c r="K337" i="4"/>
  <c r="W337" i="4"/>
  <c r="Y337" i="4"/>
  <c r="Z337" i="4"/>
  <c r="I338" i="4"/>
  <c r="K338" i="4"/>
  <c r="W338" i="4"/>
  <c r="Y338" i="4"/>
  <c r="Z338" i="4"/>
  <c r="I339" i="4"/>
  <c r="K339" i="4"/>
  <c r="W339" i="4"/>
  <c r="Y339" i="4"/>
  <c r="Z339" i="4"/>
  <c r="I340" i="4"/>
  <c r="K340" i="4"/>
  <c r="W340" i="4"/>
  <c r="Y340" i="4"/>
  <c r="Z340" i="4"/>
  <c r="I341" i="4"/>
  <c r="K341" i="4"/>
  <c r="W341" i="4"/>
  <c r="Y341" i="4"/>
  <c r="Z341" i="4"/>
  <c r="I342" i="4"/>
  <c r="K342" i="4"/>
  <c r="W342" i="4"/>
  <c r="Y342" i="4"/>
  <c r="Z342" i="4"/>
  <c r="I343" i="4"/>
  <c r="K343" i="4"/>
  <c r="W343" i="4"/>
  <c r="Y343" i="4"/>
  <c r="Z343" i="4"/>
  <c r="I344" i="4"/>
  <c r="K344" i="4"/>
  <c r="W344" i="4"/>
  <c r="Y344" i="4"/>
  <c r="Z344" i="4"/>
  <c r="I345" i="4"/>
  <c r="K345" i="4"/>
  <c r="W345" i="4"/>
  <c r="Y345" i="4"/>
  <c r="Z345" i="4"/>
  <c r="I346" i="4"/>
  <c r="K346" i="4"/>
  <c r="W346" i="4"/>
  <c r="Y346" i="4"/>
  <c r="Z346" i="4"/>
  <c r="I347" i="4"/>
  <c r="K347" i="4"/>
  <c r="W347" i="4"/>
  <c r="Y347" i="4"/>
  <c r="Z347" i="4"/>
  <c r="I348" i="4"/>
  <c r="K348" i="4"/>
  <c r="W348" i="4"/>
  <c r="Y348" i="4"/>
  <c r="Z348" i="4"/>
  <c r="I349" i="4"/>
  <c r="K349" i="4"/>
  <c r="W349" i="4"/>
  <c r="Y349" i="4"/>
  <c r="Z349" i="4"/>
  <c r="I350" i="4"/>
  <c r="K350" i="4"/>
  <c r="W350" i="4"/>
  <c r="Y350" i="4"/>
  <c r="Z350" i="4"/>
  <c r="I351" i="4"/>
  <c r="K351" i="4"/>
  <c r="W351" i="4"/>
  <c r="Y351" i="4"/>
  <c r="Z351" i="4"/>
  <c r="I352" i="4"/>
  <c r="K352" i="4"/>
  <c r="W352" i="4"/>
  <c r="Y352" i="4"/>
  <c r="Z352" i="4"/>
  <c r="I353" i="4"/>
  <c r="K353" i="4"/>
  <c r="W353" i="4"/>
  <c r="Y353" i="4"/>
  <c r="Z353" i="4"/>
  <c r="I354" i="4"/>
  <c r="K354" i="4"/>
  <c r="W354" i="4"/>
  <c r="Y354" i="4"/>
  <c r="Z354" i="4"/>
  <c r="I355" i="4"/>
  <c r="K355" i="4"/>
  <c r="W355" i="4"/>
  <c r="Y355" i="4"/>
  <c r="Z355" i="4"/>
  <c r="I356" i="4"/>
  <c r="K356" i="4"/>
  <c r="W356" i="4"/>
  <c r="Y356" i="4"/>
  <c r="Z356" i="4"/>
  <c r="I357" i="4"/>
  <c r="K357" i="4"/>
  <c r="W357" i="4"/>
  <c r="Y357" i="4"/>
  <c r="Z357" i="4"/>
  <c r="I358" i="4"/>
  <c r="K358" i="4"/>
  <c r="W358" i="4"/>
  <c r="Y358" i="4"/>
  <c r="Z358" i="4"/>
  <c r="I359" i="4"/>
  <c r="K359" i="4"/>
  <c r="W359" i="4"/>
  <c r="Y359" i="4"/>
  <c r="Z359" i="4"/>
  <c r="I360" i="4"/>
  <c r="K360" i="4"/>
  <c r="W360" i="4"/>
  <c r="Y360" i="4"/>
  <c r="Z360" i="4"/>
  <c r="I361" i="4"/>
  <c r="K361" i="4"/>
  <c r="W361" i="4"/>
  <c r="Y361" i="4"/>
  <c r="Z361" i="4"/>
  <c r="I362" i="4"/>
  <c r="K362" i="4"/>
  <c r="W362" i="4"/>
  <c r="Y362" i="4"/>
  <c r="Z362" i="4"/>
  <c r="I363" i="4"/>
  <c r="K363" i="4"/>
  <c r="W363" i="4"/>
  <c r="Y363" i="4"/>
  <c r="Z363" i="4"/>
  <c r="I364" i="4"/>
  <c r="K364" i="4"/>
  <c r="W364" i="4"/>
  <c r="Y364" i="4"/>
  <c r="Z364" i="4"/>
  <c r="I365" i="4"/>
  <c r="K365" i="4"/>
  <c r="W365" i="4"/>
  <c r="Y365" i="4"/>
  <c r="Z365" i="4"/>
  <c r="I366" i="4"/>
  <c r="K366" i="4"/>
  <c r="W366" i="4"/>
  <c r="Y366" i="4"/>
  <c r="Z366" i="4"/>
  <c r="I367" i="4"/>
  <c r="K367" i="4"/>
  <c r="W367" i="4"/>
  <c r="Y367" i="4"/>
  <c r="Z367" i="4"/>
  <c r="I368" i="4"/>
  <c r="K368" i="4"/>
  <c r="W368" i="4"/>
  <c r="Y368" i="4"/>
  <c r="Z368" i="4"/>
  <c r="I369" i="4"/>
  <c r="K369" i="4"/>
  <c r="W369" i="4"/>
  <c r="Y369" i="4"/>
  <c r="Z369" i="4"/>
  <c r="I370" i="4"/>
  <c r="K370" i="4"/>
  <c r="W370" i="4"/>
  <c r="Y370" i="4"/>
  <c r="Z370" i="4"/>
  <c r="I371" i="4"/>
  <c r="K371" i="4"/>
  <c r="W371" i="4"/>
  <c r="Y371" i="4"/>
  <c r="Z371" i="4"/>
  <c r="I372" i="4"/>
  <c r="K372" i="4"/>
  <c r="W372" i="4"/>
  <c r="Y372" i="4"/>
  <c r="Z372" i="4"/>
  <c r="I373" i="4"/>
  <c r="K373" i="4"/>
  <c r="W373" i="4"/>
  <c r="Y373" i="4"/>
  <c r="Z373" i="4"/>
  <c r="I374" i="4"/>
  <c r="K374" i="4"/>
  <c r="W374" i="4"/>
  <c r="Y374" i="4"/>
  <c r="Z374" i="4"/>
  <c r="I375" i="4"/>
  <c r="K375" i="4"/>
  <c r="W375" i="4"/>
  <c r="Y375" i="4"/>
  <c r="Z375" i="4"/>
  <c r="I376" i="4"/>
  <c r="K376" i="4"/>
  <c r="W376" i="4"/>
  <c r="Y376" i="4"/>
  <c r="Z376" i="4"/>
  <c r="I377" i="4"/>
  <c r="K377" i="4"/>
  <c r="W377" i="4"/>
  <c r="Y377" i="4"/>
  <c r="Z377" i="4"/>
  <c r="I378" i="4"/>
  <c r="K378" i="4"/>
  <c r="W378" i="4"/>
  <c r="Y378" i="4"/>
  <c r="Z378" i="4"/>
  <c r="I379" i="4"/>
  <c r="K379" i="4"/>
  <c r="W379" i="4"/>
  <c r="Y379" i="4"/>
  <c r="Z379" i="4"/>
  <c r="I380" i="4"/>
  <c r="K380" i="4"/>
  <c r="W380" i="4"/>
  <c r="Y380" i="4"/>
  <c r="Z380" i="4"/>
  <c r="I381" i="4"/>
  <c r="K381" i="4"/>
  <c r="W381" i="4"/>
  <c r="Y381" i="4"/>
  <c r="Z381" i="4"/>
  <c r="I382" i="4"/>
  <c r="K382" i="4"/>
  <c r="W382" i="4"/>
  <c r="Y382" i="4"/>
  <c r="Z382" i="4"/>
  <c r="I383" i="4"/>
  <c r="K383" i="4"/>
  <c r="W383" i="4"/>
  <c r="Y383" i="4"/>
  <c r="Z383" i="4"/>
  <c r="I384" i="4"/>
  <c r="K384" i="4"/>
  <c r="W384" i="4"/>
  <c r="Y384" i="4"/>
  <c r="Z384" i="4"/>
  <c r="I385" i="4"/>
  <c r="K385" i="4"/>
  <c r="W385" i="4"/>
  <c r="Y385" i="4"/>
  <c r="Z385" i="4"/>
  <c r="I386" i="4"/>
  <c r="K386" i="4"/>
  <c r="W386" i="4"/>
  <c r="Y386" i="4"/>
  <c r="Z386" i="4"/>
  <c r="I387" i="4"/>
  <c r="K387" i="4"/>
  <c r="W387" i="4"/>
  <c r="Y387" i="4"/>
  <c r="Z387" i="4"/>
  <c r="I388" i="4"/>
  <c r="K388" i="4"/>
  <c r="W388" i="4"/>
  <c r="Y388" i="4"/>
  <c r="Z388" i="4"/>
  <c r="I389" i="4"/>
  <c r="K389" i="4"/>
  <c r="W389" i="4"/>
  <c r="Y389" i="4"/>
  <c r="Z389" i="4"/>
  <c r="I390" i="4"/>
  <c r="K390" i="4"/>
  <c r="W390" i="4"/>
  <c r="Y390" i="4"/>
  <c r="Z390" i="4"/>
  <c r="I391" i="4"/>
  <c r="K391" i="4"/>
  <c r="W391" i="4"/>
  <c r="Y391" i="4"/>
  <c r="Z391" i="4"/>
  <c r="I392" i="4"/>
  <c r="K392" i="4"/>
  <c r="W392" i="4"/>
  <c r="Y392" i="4"/>
  <c r="Z392" i="4"/>
  <c r="I393" i="4"/>
  <c r="K393" i="4"/>
  <c r="W393" i="4"/>
  <c r="Y393" i="4"/>
  <c r="Z393" i="4"/>
  <c r="I394" i="4"/>
  <c r="K394" i="4"/>
  <c r="W394" i="4"/>
  <c r="Y394" i="4"/>
  <c r="Z394" i="4"/>
  <c r="I395" i="4"/>
  <c r="K395" i="4"/>
  <c r="W395" i="4"/>
  <c r="Y395" i="4"/>
  <c r="Z395" i="4"/>
  <c r="I396" i="4"/>
  <c r="K396" i="4"/>
  <c r="W396" i="4"/>
  <c r="Y396" i="4"/>
  <c r="Z396" i="4"/>
  <c r="I397" i="4"/>
  <c r="K397" i="4"/>
  <c r="W397" i="4"/>
  <c r="Y397" i="4"/>
  <c r="Z397" i="4"/>
  <c r="I398" i="4"/>
  <c r="K398" i="4"/>
  <c r="W398" i="4"/>
  <c r="Y398" i="4"/>
  <c r="Z398" i="4"/>
  <c r="I399" i="4"/>
  <c r="K399" i="4"/>
  <c r="W399" i="4"/>
  <c r="Y399" i="4"/>
  <c r="Z399" i="4"/>
  <c r="I400" i="4"/>
  <c r="K400" i="4"/>
  <c r="W400" i="4"/>
  <c r="Y400" i="4"/>
  <c r="Z400" i="4"/>
  <c r="I401" i="4"/>
  <c r="K401" i="4"/>
  <c r="W401" i="4"/>
  <c r="Y401" i="4"/>
  <c r="Z401" i="4"/>
  <c r="I402" i="4"/>
  <c r="K402" i="4"/>
  <c r="W402" i="4"/>
  <c r="Y402" i="4"/>
  <c r="Z402" i="4"/>
  <c r="I403" i="4"/>
  <c r="K403" i="4"/>
  <c r="W403" i="4"/>
  <c r="Y403" i="4"/>
  <c r="Z403" i="4"/>
  <c r="I404" i="4"/>
  <c r="K404" i="4"/>
  <c r="W404" i="4"/>
  <c r="Y404" i="4"/>
  <c r="Z404" i="4"/>
  <c r="I405" i="4"/>
  <c r="K405" i="4"/>
  <c r="W405" i="4"/>
  <c r="Y405" i="4"/>
  <c r="Z405" i="4"/>
  <c r="I406" i="4"/>
  <c r="K406" i="4"/>
  <c r="W406" i="4"/>
  <c r="Y406" i="4"/>
  <c r="Z406" i="4"/>
  <c r="I407" i="4"/>
  <c r="K407" i="4"/>
  <c r="W407" i="4"/>
  <c r="Y407" i="4"/>
  <c r="Z407" i="4"/>
  <c r="I408" i="4"/>
  <c r="K408" i="4"/>
  <c r="W408" i="4"/>
  <c r="Y408" i="4"/>
  <c r="Z408" i="4"/>
  <c r="I409" i="4"/>
  <c r="K409" i="4"/>
  <c r="W409" i="4"/>
  <c r="Y409" i="4"/>
  <c r="Z409" i="4"/>
  <c r="I410" i="4"/>
  <c r="K410" i="4"/>
  <c r="W410" i="4"/>
  <c r="Y410" i="4"/>
  <c r="Z410" i="4"/>
  <c r="I411" i="4"/>
  <c r="K411" i="4"/>
  <c r="W411" i="4"/>
  <c r="Y411" i="4"/>
  <c r="Z411" i="4"/>
  <c r="I412" i="4"/>
  <c r="K412" i="4"/>
  <c r="W412" i="4"/>
  <c r="Y412" i="4"/>
  <c r="Z412" i="4"/>
  <c r="I413" i="4"/>
  <c r="K413" i="4"/>
  <c r="W413" i="4"/>
  <c r="Y413" i="4"/>
  <c r="Z413" i="4"/>
  <c r="I414" i="4"/>
  <c r="K414" i="4"/>
  <c r="W414" i="4"/>
  <c r="Y414" i="4"/>
  <c r="Z414" i="4"/>
  <c r="I415" i="4"/>
  <c r="K415" i="4"/>
  <c r="W415" i="4"/>
  <c r="Y415" i="4"/>
  <c r="Z415" i="4"/>
  <c r="I416" i="4"/>
  <c r="K416" i="4"/>
  <c r="W416" i="4"/>
  <c r="Y416" i="4"/>
  <c r="Z416" i="4"/>
  <c r="I417" i="4"/>
  <c r="K417" i="4"/>
  <c r="W417" i="4"/>
  <c r="Y417" i="4"/>
  <c r="Z417" i="4"/>
  <c r="I418" i="4"/>
  <c r="K418" i="4"/>
  <c r="W418" i="4"/>
  <c r="Y418" i="4"/>
  <c r="Z418" i="4"/>
  <c r="I419" i="4"/>
  <c r="K419" i="4"/>
  <c r="W419" i="4"/>
  <c r="Y419" i="4"/>
  <c r="Z419" i="4"/>
  <c r="I420" i="4"/>
  <c r="K420" i="4"/>
  <c r="W420" i="4"/>
  <c r="Y420" i="4"/>
  <c r="Z420" i="4"/>
  <c r="I421" i="4"/>
  <c r="K421" i="4"/>
  <c r="W421" i="4"/>
  <c r="Y421" i="4"/>
  <c r="Z421" i="4"/>
  <c r="I422" i="4"/>
  <c r="K422" i="4"/>
  <c r="W422" i="4"/>
  <c r="Y422" i="4"/>
  <c r="Z422" i="4"/>
  <c r="I423" i="4"/>
  <c r="K423" i="4"/>
  <c r="W423" i="4"/>
  <c r="Y423" i="4"/>
  <c r="Z423" i="4"/>
  <c r="I424" i="4"/>
  <c r="K424" i="4"/>
  <c r="W424" i="4"/>
  <c r="Y424" i="4"/>
  <c r="Z424" i="4"/>
  <c r="I425" i="4"/>
  <c r="K425" i="4"/>
  <c r="W425" i="4"/>
  <c r="Y425" i="4"/>
  <c r="Z425" i="4"/>
  <c r="I426" i="4"/>
  <c r="K426" i="4"/>
  <c r="W426" i="4"/>
  <c r="Y426" i="4"/>
  <c r="Z426" i="4"/>
  <c r="I427" i="4"/>
  <c r="K427" i="4"/>
  <c r="W427" i="4"/>
  <c r="Y427" i="4"/>
  <c r="Z427" i="4"/>
  <c r="I428" i="4"/>
  <c r="K428" i="4"/>
  <c r="W428" i="4"/>
  <c r="Y428" i="4"/>
  <c r="Z428" i="4"/>
  <c r="I429" i="4"/>
  <c r="K429" i="4"/>
  <c r="W429" i="4"/>
  <c r="Y429" i="4"/>
  <c r="Z429" i="4"/>
  <c r="I430" i="4"/>
  <c r="K430" i="4"/>
  <c r="W430" i="4"/>
  <c r="Y430" i="4"/>
  <c r="Z430" i="4"/>
  <c r="I431" i="4"/>
  <c r="K431" i="4"/>
  <c r="W431" i="4"/>
  <c r="Y431" i="4"/>
  <c r="Z431" i="4"/>
  <c r="I432" i="4"/>
  <c r="K432" i="4"/>
  <c r="W432" i="4"/>
  <c r="Y432" i="4"/>
  <c r="Z432" i="4"/>
  <c r="I433" i="4"/>
  <c r="K433" i="4"/>
  <c r="W433" i="4"/>
  <c r="Y433" i="4"/>
  <c r="Z433" i="4"/>
  <c r="I434" i="4"/>
  <c r="K434" i="4"/>
  <c r="W434" i="4"/>
  <c r="Y434" i="4"/>
  <c r="Z434" i="4"/>
  <c r="I435" i="4"/>
  <c r="K435" i="4"/>
  <c r="W435" i="4"/>
  <c r="Y435" i="4"/>
  <c r="Z435" i="4"/>
  <c r="I436" i="4"/>
  <c r="K436" i="4"/>
  <c r="W436" i="4"/>
  <c r="Y436" i="4"/>
  <c r="Z436" i="4"/>
  <c r="I437" i="4"/>
  <c r="K437" i="4"/>
  <c r="W437" i="4"/>
  <c r="Y437" i="4"/>
  <c r="Z437" i="4"/>
  <c r="I438" i="4"/>
  <c r="K438" i="4"/>
  <c r="W438" i="4"/>
  <c r="Y438" i="4"/>
  <c r="Z438" i="4"/>
  <c r="I439" i="4"/>
  <c r="K439" i="4"/>
  <c r="W439" i="4"/>
  <c r="Y439" i="4"/>
  <c r="Z439" i="4"/>
  <c r="I440" i="4"/>
  <c r="K440" i="4"/>
  <c r="W440" i="4"/>
  <c r="Y440" i="4"/>
  <c r="Z440" i="4"/>
  <c r="I441" i="4"/>
  <c r="K441" i="4"/>
  <c r="W441" i="4"/>
  <c r="Y441" i="4"/>
  <c r="Z441" i="4"/>
  <c r="I442" i="4"/>
  <c r="K442" i="4"/>
  <c r="W442" i="4"/>
  <c r="Y442" i="4"/>
  <c r="Z442" i="4"/>
  <c r="I443" i="4"/>
  <c r="K443" i="4"/>
  <c r="W443" i="4"/>
  <c r="Y443" i="4"/>
  <c r="Z443" i="4"/>
  <c r="I444" i="4"/>
  <c r="K444" i="4"/>
  <c r="W444" i="4"/>
  <c r="Y444" i="4"/>
  <c r="Z444" i="4"/>
  <c r="I445" i="4"/>
  <c r="K445" i="4"/>
  <c r="W445" i="4"/>
  <c r="Y445" i="4"/>
  <c r="Z445" i="4"/>
  <c r="I446" i="4"/>
  <c r="K446" i="4"/>
  <c r="W446" i="4"/>
  <c r="Y446" i="4"/>
  <c r="Z446" i="4"/>
  <c r="I447" i="4"/>
  <c r="K447" i="4"/>
  <c r="W447" i="4"/>
  <c r="Y447" i="4"/>
  <c r="Z447" i="4"/>
  <c r="I448" i="4"/>
  <c r="K448" i="4"/>
  <c r="W448" i="4"/>
  <c r="Y448" i="4"/>
  <c r="Z448" i="4"/>
  <c r="I449" i="4"/>
  <c r="K449" i="4"/>
  <c r="W449" i="4"/>
  <c r="Y449" i="4"/>
  <c r="Z449" i="4"/>
  <c r="I450" i="4"/>
  <c r="K450" i="4"/>
  <c r="W450" i="4"/>
  <c r="Y450" i="4"/>
  <c r="Z450" i="4"/>
  <c r="I451" i="4"/>
  <c r="K451" i="4"/>
  <c r="W451" i="4"/>
  <c r="Y451" i="4"/>
  <c r="Z451" i="4"/>
  <c r="I452" i="4"/>
  <c r="K452" i="4"/>
  <c r="W452" i="4"/>
  <c r="Y452" i="4"/>
  <c r="Z452" i="4"/>
  <c r="I453" i="4"/>
  <c r="K453" i="4"/>
  <c r="W453" i="4"/>
  <c r="Y453" i="4"/>
  <c r="Z453" i="4"/>
  <c r="I454" i="4"/>
  <c r="K454" i="4"/>
  <c r="W454" i="4"/>
  <c r="Y454" i="4"/>
  <c r="Z454" i="4"/>
  <c r="I455" i="4"/>
  <c r="K455" i="4"/>
  <c r="W455" i="4"/>
  <c r="Y455" i="4"/>
  <c r="Z455" i="4"/>
  <c r="I456" i="4"/>
  <c r="K456" i="4"/>
  <c r="W456" i="4"/>
  <c r="Y456" i="4"/>
  <c r="Z456" i="4"/>
  <c r="I457" i="4"/>
  <c r="K457" i="4"/>
  <c r="W457" i="4"/>
  <c r="Y457" i="4"/>
  <c r="Z457" i="4"/>
  <c r="I458" i="4"/>
  <c r="K458" i="4"/>
  <c r="W458" i="4"/>
  <c r="Y458" i="4"/>
  <c r="Z458" i="4"/>
  <c r="I459" i="4"/>
  <c r="K459" i="4"/>
  <c r="W459" i="4"/>
  <c r="Y459" i="4"/>
  <c r="Z459" i="4"/>
  <c r="I460" i="4"/>
  <c r="K460" i="4"/>
  <c r="W460" i="4"/>
  <c r="Y460" i="4"/>
  <c r="Z460" i="4"/>
  <c r="I461" i="4"/>
  <c r="K461" i="4"/>
  <c r="W461" i="4"/>
  <c r="Y461" i="4"/>
  <c r="Z461" i="4"/>
  <c r="I462" i="4"/>
  <c r="K462" i="4"/>
  <c r="W462" i="4"/>
  <c r="Y462" i="4"/>
  <c r="Z462" i="4"/>
  <c r="I463" i="4"/>
  <c r="K463" i="4"/>
  <c r="W463" i="4"/>
  <c r="Y463" i="4"/>
  <c r="Z463" i="4"/>
  <c r="I464" i="4"/>
  <c r="K464" i="4"/>
  <c r="W464" i="4"/>
  <c r="Y464" i="4"/>
  <c r="Z464" i="4"/>
  <c r="I465" i="4"/>
  <c r="K465" i="4"/>
  <c r="W465" i="4"/>
  <c r="Y465" i="4"/>
  <c r="Z465" i="4"/>
  <c r="I466" i="4"/>
  <c r="K466" i="4"/>
  <c r="W466" i="4"/>
  <c r="Y466" i="4"/>
  <c r="Z466" i="4"/>
  <c r="I467" i="4"/>
  <c r="K467" i="4"/>
  <c r="W467" i="4"/>
  <c r="Y467" i="4"/>
  <c r="Z467" i="4"/>
  <c r="I468" i="4"/>
  <c r="K468" i="4"/>
  <c r="W468" i="4"/>
  <c r="Y468" i="4"/>
  <c r="Z468" i="4"/>
  <c r="I469" i="4"/>
  <c r="K469" i="4"/>
  <c r="W469" i="4"/>
  <c r="Y469" i="4"/>
  <c r="Z469" i="4"/>
  <c r="I470" i="4"/>
  <c r="K470" i="4"/>
  <c r="W470" i="4"/>
  <c r="Y470" i="4"/>
  <c r="Z470" i="4"/>
  <c r="I471" i="4"/>
  <c r="K471" i="4"/>
  <c r="W471" i="4"/>
  <c r="Y471" i="4"/>
  <c r="Z471" i="4"/>
  <c r="I472" i="4"/>
  <c r="K472" i="4"/>
  <c r="W472" i="4"/>
  <c r="Y472" i="4"/>
  <c r="Z472" i="4"/>
  <c r="I473" i="4"/>
  <c r="K473" i="4"/>
  <c r="W473" i="4"/>
  <c r="Y473" i="4"/>
  <c r="Z473" i="4"/>
  <c r="I474" i="4"/>
  <c r="K474" i="4"/>
  <c r="W474" i="4"/>
  <c r="Y474" i="4"/>
  <c r="Z474" i="4"/>
  <c r="I475" i="4"/>
  <c r="K475" i="4"/>
  <c r="W475" i="4"/>
  <c r="Y475" i="4"/>
  <c r="Z475" i="4"/>
  <c r="I476" i="4"/>
  <c r="K476" i="4"/>
  <c r="W476" i="4"/>
  <c r="Y476" i="4"/>
  <c r="Z476" i="4"/>
  <c r="I477" i="4"/>
  <c r="K477" i="4"/>
  <c r="W477" i="4"/>
  <c r="Y477" i="4"/>
  <c r="Z477" i="4"/>
  <c r="I478" i="4"/>
  <c r="K478" i="4"/>
  <c r="W478" i="4"/>
  <c r="Y478" i="4"/>
  <c r="Z478" i="4"/>
  <c r="I479" i="4"/>
  <c r="K479" i="4"/>
  <c r="W479" i="4"/>
  <c r="Y479" i="4"/>
  <c r="Z479" i="4"/>
  <c r="I480" i="4"/>
  <c r="K480" i="4"/>
  <c r="W480" i="4"/>
  <c r="Y480" i="4"/>
  <c r="Z480" i="4"/>
  <c r="I481" i="4"/>
  <c r="K481" i="4"/>
  <c r="W481" i="4"/>
  <c r="Y481" i="4"/>
  <c r="Z481" i="4"/>
  <c r="I482" i="4"/>
  <c r="K482" i="4"/>
  <c r="W482" i="4"/>
  <c r="Y482" i="4"/>
  <c r="Z482" i="4"/>
  <c r="I483" i="4"/>
  <c r="K483" i="4"/>
  <c r="W483" i="4"/>
  <c r="Y483" i="4"/>
  <c r="Z483" i="4"/>
  <c r="I484" i="4"/>
  <c r="K484" i="4"/>
  <c r="W484" i="4"/>
  <c r="Y484" i="4"/>
  <c r="Z484" i="4"/>
  <c r="I485" i="4"/>
  <c r="K485" i="4"/>
  <c r="W485" i="4"/>
  <c r="Y485" i="4"/>
  <c r="Z485" i="4"/>
  <c r="I486" i="4"/>
  <c r="K486" i="4"/>
  <c r="W486" i="4"/>
  <c r="Y486" i="4"/>
  <c r="Z486" i="4"/>
  <c r="I487" i="4"/>
  <c r="K487" i="4"/>
  <c r="W487" i="4"/>
  <c r="Y487" i="4"/>
  <c r="Z487" i="4"/>
  <c r="I488" i="4"/>
  <c r="K488" i="4"/>
  <c r="W488" i="4"/>
  <c r="Y488" i="4"/>
  <c r="Z488" i="4"/>
  <c r="I489" i="4"/>
  <c r="K489" i="4"/>
  <c r="W489" i="4"/>
  <c r="Y489" i="4"/>
  <c r="Z489" i="4"/>
  <c r="I490" i="4"/>
  <c r="K490" i="4"/>
  <c r="W490" i="4"/>
  <c r="Y490" i="4"/>
  <c r="Z490" i="4"/>
  <c r="I491" i="4"/>
  <c r="K491" i="4"/>
  <c r="W491" i="4"/>
  <c r="Y491" i="4"/>
  <c r="Z491" i="4"/>
  <c r="I492" i="4"/>
  <c r="K492" i="4"/>
  <c r="W492" i="4"/>
  <c r="Y492" i="4"/>
  <c r="Z492" i="4"/>
  <c r="I493" i="4"/>
  <c r="K493" i="4"/>
  <c r="W493" i="4"/>
  <c r="Y493" i="4"/>
  <c r="Z493" i="4"/>
  <c r="I494" i="4"/>
  <c r="K494" i="4"/>
  <c r="W494" i="4"/>
  <c r="Y494" i="4"/>
  <c r="Z494" i="4"/>
  <c r="I495" i="4"/>
  <c r="K495" i="4"/>
  <c r="W495" i="4"/>
  <c r="Y495" i="4"/>
  <c r="Z495" i="4"/>
  <c r="I496" i="4"/>
  <c r="K496" i="4"/>
  <c r="W496" i="4"/>
  <c r="Y496" i="4"/>
  <c r="Z496" i="4"/>
  <c r="I497" i="4"/>
  <c r="K497" i="4"/>
  <c r="W497" i="4"/>
  <c r="Y497" i="4"/>
  <c r="Z497" i="4"/>
  <c r="I498" i="4"/>
  <c r="K498" i="4"/>
  <c r="W498" i="4"/>
  <c r="Y498" i="4"/>
  <c r="Z498" i="4"/>
  <c r="I499" i="4"/>
  <c r="K499" i="4"/>
  <c r="W499" i="4"/>
  <c r="Y499" i="4"/>
  <c r="Z499" i="4"/>
  <c r="I500" i="4"/>
  <c r="K500" i="4"/>
  <c r="W500" i="4"/>
  <c r="Y500" i="4"/>
  <c r="Z500" i="4"/>
  <c r="I501" i="4"/>
  <c r="K501" i="4"/>
  <c r="W501" i="4"/>
  <c r="Y501" i="4"/>
  <c r="Z501" i="4"/>
  <c r="I502" i="4"/>
  <c r="K502" i="4"/>
  <c r="W502" i="4"/>
  <c r="Y502" i="4"/>
  <c r="Z502" i="4"/>
  <c r="I503" i="4"/>
  <c r="K503" i="4"/>
  <c r="W503" i="4"/>
  <c r="Y503" i="4"/>
  <c r="Z503" i="4"/>
  <c r="I504" i="4"/>
  <c r="K504" i="4"/>
  <c r="W504" i="4"/>
  <c r="Y504" i="4"/>
  <c r="Z504" i="4"/>
  <c r="I505" i="4"/>
  <c r="K505" i="4"/>
  <c r="W505" i="4"/>
  <c r="Y505" i="4"/>
  <c r="Z505" i="4"/>
  <c r="I506" i="4"/>
  <c r="K506" i="4"/>
  <c r="W506" i="4"/>
  <c r="Y506" i="4"/>
  <c r="Z506" i="4"/>
  <c r="I507" i="4"/>
  <c r="K507" i="4"/>
  <c r="W507" i="4"/>
  <c r="Y507" i="4"/>
  <c r="Z507" i="4"/>
  <c r="I508" i="4"/>
  <c r="K508" i="4"/>
  <c r="W508" i="4"/>
  <c r="Y508" i="4"/>
  <c r="Z508" i="4"/>
  <c r="I509" i="4"/>
  <c r="K509" i="4"/>
  <c r="W509" i="4"/>
  <c r="Y509" i="4"/>
  <c r="Z509" i="4"/>
  <c r="I510" i="4"/>
  <c r="K510" i="4"/>
  <c r="W510" i="4"/>
  <c r="Y510" i="4"/>
  <c r="Z510" i="4"/>
  <c r="I511" i="4"/>
  <c r="K511" i="4"/>
  <c r="W511" i="4"/>
  <c r="Y511" i="4"/>
  <c r="Z511" i="4"/>
  <c r="I512" i="4"/>
  <c r="K512" i="4"/>
  <c r="W512" i="4"/>
  <c r="Y512" i="4"/>
  <c r="Z512" i="4"/>
  <c r="I513" i="4"/>
  <c r="K513" i="4"/>
  <c r="W513" i="4"/>
  <c r="Y513" i="4"/>
  <c r="Z513" i="4"/>
  <c r="I514" i="4"/>
  <c r="K514" i="4"/>
  <c r="W514" i="4"/>
  <c r="Y514" i="4"/>
  <c r="Z514" i="4"/>
  <c r="I515" i="4"/>
  <c r="K515" i="4"/>
  <c r="W515" i="4"/>
  <c r="Y515" i="4"/>
  <c r="Z515" i="4"/>
  <c r="I516" i="4"/>
  <c r="K516" i="4"/>
  <c r="W516" i="4"/>
  <c r="Y516" i="4"/>
  <c r="Z516" i="4"/>
  <c r="I517" i="4"/>
  <c r="K517" i="4"/>
  <c r="W517" i="4"/>
  <c r="Y517" i="4"/>
  <c r="Z517" i="4"/>
  <c r="I518" i="4"/>
  <c r="K518" i="4"/>
  <c r="W518" i="4"/>
  <c r="Y518" i="4"/>
  <c r="Z518" i="4"/>
  <c r="I519" i="4"/>
  <c r="K519" i="4"/>
  <c r="W519" i="4"/>
  <c r="Y519" i="4"/>
  <c r="Z519" i="4"/>
  <c r="I520" i="4"/>
  <c r="K520" i="4"/>
  <c r="W520" i="4"/>
  <c r="Y520" i="4"/>
  <c r="Z520" i="4"/>
  <c r="I521" i="4"/>
  <c r="K521" i="4"/>
  <c r="W521" i="4"/>
  <c r="Y521" i="4"/>
  <c r="Z521" i="4"/>
  <c r="I522" i="4"/>
  <c r="K522" i="4"/>
  <c r="W522" i="4"/>
  <c r="Y522" i="4"/>
  <c r="Z522" i="4"/>
  <c r="I523" i="4"/>
  <c r="K523" i="4"/>
  <c r="W523" i="4"/>
  <c r="Y523" i="4"/>
  <c r="Z523" i="4"/>
  <c r="I524" i="4"/>
  <c r="K524" i="4"/>
  <c r="W524" i="4"/>
  <c r="Y524" i="4"/>
  <c r="Z524" i="4"/>
  <c r="I525" i="4"/>
  <c r="K525" i="4"/>
  <c r="W525" i="4"/>
  <c r="Y525" i="4"/>
  <c r="Z525" i="4"/>
  <c r="I526" i="4"/>
  <c r="K526" i="4"/>
  <c r="W526" i="4"/>
  <c r="Y526" i="4"/>
  <c r="Z526" i="4"/>
  <c r="I527" i="4"/>
  <c r="K527" i="4"/>
  <c r="W527" i="4"/>
  <c r="Y527" i="4"/>
  <c r="Z527" i="4"/>
  <c r="I528" i="4"/>
  <c r="K528" i="4"/>
  <c r="W528" i="4"/>
  <c r="Y528" i="4"/>
  <c r="Z528" i="4"/>
  <c r="I529" i="4"/>
  <c r="K529" i="4"/>
  <c r="W529" i="4"/>
  <c r="Y529" i="4"/>
  <c r="Z529" i="4"/>
  <c r="I530" i="4"/>
  <c r="K530" i="4"/>
  <c r="W530" i="4"/>
  <c r="Y530" i="4"/>
  <c r="Z530" i="4"/>
  <c r="I531" i="4"/>
  <c r="K531" i="4"/>
  <c r="W531" i="4"/>
  <c r="Y531" i="4"/>
  <c r="Z531" i="4"/>
  <c r="I532" i="4"/>
  <c r="K532" i="4"/>
  <c r="W532" i="4"/>
  <c r="Y532" i="4"/>
  <c r="Z532" i="4"/>
  <c r="I533" i="4"/>
  <c r="K533" i="4"/>
  <c r="W533" i="4"/>
  <c r="Y533" i="4"/>
  <c r="Z533" i="4"/>
  <c r="I534" i="4"/>
  <c r="K534" i="4"/>
  <c r="W534" i="4"/>
  <c r="Y534" i="4"/>
  <c r="Z534" i="4"/>
  <c r="I535" i="4"/>
  <c r="K535" i="4"/>
  <c r="W535" i="4"/>
  <c r="Y535" i="4"/>
  <c r="Z535" i="4"/>
  <c r="I536" i="4"/>
  <c r="K536" i="4"/>
  <c r="W536" i="4"/>
  <c r="Y536" i="4"/>
  <c r="Z536" i="4"/>
  <c r="I537" i="4"/>
  <c r="K537" i="4"/>
  <c r="W537" i="4"/>
  <c r="Y537" i="4"/>
  <c r="Z537" i="4"/>
  <c r="I538" i="4"/>
  <c r="K538" i="4"/>
  <c r="W538" i="4"/>
  <c r="Y538" i="4"/>
  <c r="Z538" i="4"/>
  <c r="I539" i="4"/>
  <c r="K539" i="4"/>
  <c r="W539" i="4"/>
  <c r="Y539" i="4"/>
  <c r="Z539" i="4"/>
  <c r="I540" i="4"/>
  <c r="K540" i="4"/>
  <c r="W540" i="4"/>
  <c r="Y540" i="4"/>
  <c r="Z540" i="4"/>
  <c r="I541" i="4"/>
  <c r="K541" i="4"/>
  <c r="W541" i="4"/>
  <c r="Y541" i="4"/>
  <c r="Z541" i="4"/>
  <c r="I542" i="4"/>
  <c r="K542" i="4"/>
  <c r="W542" i="4"/>
  <c r="Y542" i="4"/>
  <c r="Z542" i="4"/>
  <c r="I543" i="4"/>
  <c r="K543" i="4"/>
  <c r="W543" i="4"/>
  <c r="Y543" i="4"/>
  <c r="Z543" i="4"/>
  <c r="I544" i="4"/>
  <c r="K544" i="4"/>
  <c r="W544" i="4"/>
  <c r="Y544" i="4"/>
  <c r="Z544" i="4"/>
  <c r="I545" i="4"/>
  <c r="K545" i="4"/>
  <c r="W545" i="4"/>
  <c r="Y545" i="4"/>
  <c r="Z545" i="4"/>
  <c r="I546" i="4"/>
  <c r="K546" i="4"/>
  <c r="W546" i="4"/>
  <c r="Y546" i="4"/>
  <c r="Z546" i="4"/>
  <c r="I547" i="4"/>
  <c r="K547" i="4"/>
  <c r="W547" i="4"/>
  <c r="Y547" i="4"/>
  <c r="Z547" i="4"/>
  <c r="I548" i="4"/>
  <c r="K548" i="4"/>
  <c r="W548" i="4"/>
  <c r="Y548" i="4"/>
  <c r="Z548" i="4"/>
  <c r="I549" i="4"/>
  <c r="K549" i="4"/>
  <c r="W549" i="4"/>
  <c r="Y549" i="4"/>
  <c r="Z549" i="4"/>
  <c r="I550" i="4"/>
  <c r="K550" i="4"/>
  <c r="W550" i="4"/>
  <c r="Y550" i="4"/>
  <c r="Z550" i="4"/>
  <c r="I551" i="4"/>
  <c r="K551" i="4"/>
  <c r="W551" i="4"/>
  <c r="Y551" i="4"/>
  <c r="Z551" i="4"/>
  <c r="I552" i="4"/>
  <c r="K552" i="4"/>
  <c r="W552" i="4"/>
  <c r="Y552" i="4"/>
  <c r="Z552" i="4"/>
  <c r="I553" i="4"/>
  <c r="K553" i="4"/>
  <c r="W553" i="4"/>
  <c r="Y553" i="4"/>
  <c r="Z553" i="4"/>
  <c r="I554" i="4"/>
  <c r="K554" i="4"/>
  <c r="W554" i="4"/>
  <c r="Y554" i="4"/>
  <c r="Z554" i="4"/>
  <c r="I555" i="4"/>
  <c r="K555" i="4"/>
  <c r="W555" i="4"/>
  <c r="Y555" i="4"/>
  <c r="Z555" i="4"/>
  <c r="I556" i="4"/>
  <c r="K556" i="4"/>
  <c r="W556" i="4"/>
  <c r="Y556" i="4"/>
  <c r="Z556" i="4"/>
  <c r="I557" i="4"/>
  <c r="K557" i="4"/>
  <c r="W557" i="4"/>
  <c r="Y557" i="4"/>
  <c r="Z557" i="4"/>
  <c r="I558" i="4"/>
  <c r="K558" i="4"/>
  <c r="W558" i="4"/>
  <c r="Y558" i="4"/>
  <c r="Z558" i="4"/>
  <c r="I559" i="4"/>
  <c r="K559" i="4"/>
  <c r="W559" i="4"/>
  <c r="Y559" i="4"/>
  <c r="Z559" i="4"/>
  <c r="I560" i="4"/>
  <c r="K560" i="4"/>
  <c r="W560" i="4"/>
  <c r="Y560" i="4"/>
  <c r="Z560" i="4"/>
  <c r="I561" i="4"/>
  <c r="K561" i="4"/>
  <c r="W561" i="4"/>
  <c r="Y561" i="4"/>
  <c r="Z561" i="4"/>
  <c r="I562" i="4"/>
  <c r="K562" i="4"/>
  <c r="W562" i="4"/>
  <c r="Y562" i="4"/>
  <c r="Z562" i="4"/>
  <c r="I563" i="4"/>
  <c r="K563" i="4"/>
  <c r="W563" i="4"/>
  <c r="Y563" i="4"/>
  <c r="Z563" i="4"/>
  <c r="I564" i="4"/>
  <c r="K564" i="4"/>
  <c r="W564" i="4"/>
  <c r="Y564" i="4"/>
  <c r="Z564" i="4"/>
  <c r="I565" i="4"/>
  <c r="K565" i="4"/>
  <c r="W565" i="4"/>
  <c r="Y565" i="4"/>
  <c r="Z565" i="4"/>
  <c r="I566" i="4"/>
  <c r="K566" i="4"/>
  <c r="W566" i="4"/>
  <c r="Y566" i="4"/>
  <c r="Z566" i="4"/>
  <c r="I567" i="4"/>
  <c r="K567" i="4"/>
  <c r="W567" i="4"/>
  <c r="Y567" i="4"/>
  <c r="Z567" i="4"/>
  <c r="I568" i="4"/>
  <c r="K568" i="4"/>
  <c r="W568" i="4"/>
  <c r="Y568" i="4"/>
  <c r="Z568" i="4"/>
  <c r="I569" i="4"/>
  <c r="K569" i="4"/>
  <c r="W569" i="4"/>
  <c r="Y569" i="4"/>
  <c r="Z569" i="4"/>
  <c r="I570" i="4"/>
  <c r="K570" i="4"/>
  <c r="W570" i="4"/>
  <c r="Y570" i="4"/>
  <c r="Z570" i="4"/>
  <c r="I571" i="4"/>
  <c r="K571" i="4"/>
  <c r="W571" i="4"/>
  <c r="Y571" i="4"/>
  <c r="Z571" i="4"/>
  <c r="I572" i="4"/>
  <c r="K572" i="4"/>
  <c r="W572" i="4"/>
  <c r="Y572" i="4"/>
  <c r="Z572" i="4"/>
  <c r="I573" i="4"/>
  <c r="K573" i="4"/>
  <c r="W573" i="4"/>
  <c r="Y573" i="4"/>
  <c r="Z573" i="4"/>
  <c r="I574" i="4"/>
  <c r="K574" i="4"/>
  <c r="W574" i="4"/>
  <c r="Y574" i="4"/>
  <c r="Z574" i="4"/>
  <c r="I575" i="4"/>
  <c r="K575" i="4"/>
  <c r="W575" i="4"/>
  <c r="Y575" i="4"/>
  <c r="Z575" i="4"/>
  <c r="I576" i="4"/>
  <c r="K576" i="4"/>
  <c r="W576" i="4"/>
  <c r="Y576" i="4"/>
  <c r="Z576" i="4"/>
  <c r="I577" i="4"/>
  <c r="K577" i="4"/>
  <c r="W577" i="4"/>
  <c r="Y577" i="4"/>
  <c r="Z577" i="4"/>
  <c r="I578" i="4"/>
  <c r="K578" i="4"/>
  <c r="W578" i="4"/>
  <c r="Y578" i="4"/>
  <c r="Z578" i="4"/>
  <c r="I579" i="4"/>
  <c r="K579" i="4"/>
  <c r="W579" i="4"/>
  <c r="Y579" i="4"/>
  <c r="Z579" i="4"/>
  <c r="I580" i="4"/>
  <c r="K580" i="4"/>
  <c r="W580" i="4"/>
  <c r="Y580" i="4"/>
  <c r="Z580" i="4"/>
  <c r="I581" i="4"/>
  <c r="K581" i="4"/>
  <c r="W581" i="4"/>
  <c r="Y581" i="4"/>
  <c r="Z581" i="4"/>
  <c r="I582" i="4"/>
  <c r="K582" i="4"/>
  <c r="W582" i="4"/>
  <c r="Y582" i="4"/>
  <c r="Z582" i="4"/>
  <c r="I583" i="4"/>
  <c r="K583" i="4"/>
  <c r="W583" i="4"/>
  <c r="Y583" i="4"/>
  <c r="Z583" i="4"/>
  <c r="I584" i="4"/>
  <c r="K584" i="4"/>
  <c r="W584" i="4"/>
  <c r="Y584" i="4"/>
  <c r="Z584" i="4"/>
  <c r="I585" i="4"/>
  <c r="K585" i="4"/>
  <c r="W585" i="4"/>
  <c r="Y585" i="4"/>
  <c r="Z585" i="4"/>
  <c r="I586" i="4"/>
  <c r="K586" i="4"/>
  <c r="W586" i="4"/>
  <c r="Y586" i="4"/>
  <c r="Z586" i="4"/>
  <c r="I587" i="4"/>
  <c r="K587" i="4"/>
  <c r="W587" i="4"/>
  <c r="Y587" i="4"/>
  <c r="Z587" i="4"/>
  <c r="I588" i="4"/>
  <c r="K588" i="4"/>
  <c r="W588" i="4"/>
  <c r="Y588" i="4"/>
  <c r="Z588" i="4"/>
  <c r="I589" i="4"/>
  <c r="K589" i="4"/>
  <c r="W589" i="4"/>
  <c r="Y589" i="4"/>
  <c r="Z589" i="4"/>
  <c r="I590" i="4"/>
  <c r="K590" i="4"/>
  <c r="W590" i="4"/>
  <c r="Y590" i="4"/>
  <c r="Z590" i="4"/>
  <c r="I591" i="4"/>
  <c r="K591" i="4"/>
  <c r="W591" i="4"/>
  <c r="Y591" i="4"/>
  <c r="Z591" i="4"/>
  <c r="I592" i="4"/>
  <c r="K592" i="4"/>
  <c r="W592" i="4"/>
  <c r="Y592" i="4"/>
  <c r="Z592" i="4"/>
  <c r="I593" i="4"/>
  <c r="K593" i="4"/>
  <c r="W593" i="4"/>
  <c r="Y593" i="4"/>
  <c r="Z593" i="4"/>
  <c r="I594" i="4"/>
  <c r="K594" i="4"/>
  <c r="W594" i="4"/>
  <c r="Y594" i="4"/>
  <c r="Z594" i="4"/>
  <c r="I595" i="4"/>
  <c r="K595" i="4"/>
  <c r="W595" i="4"/>
  <c r="Y595" i="4"/>
  <c r="Z595" i="4"/>
  <c r="I596" i="4"/>
  <c r="K596" i="4"/>
  <c r="W596" i="4"/>
  <c r="Y596" i="4"/>
  <c r="Z596" i="4"/>
  <c r="I597" i="4"/>
  <c r="K597" i="4"/>
  <c r="W597" i="4"/>
  <c r="Y597" i="4"/>
  <c r="Z597" i="4"/>
  <c r="I598" i="4"/>
  <c r="K598" i="4"/>
  <c r="W598" i="4"/>
  <c r="Y598" i="4"/>
  <c r="Z598" i="4"/>
  <c r="I599" i="4"/>
  <c r="K599" i="4"/>
  <c r="W599" i="4"/>
  <c r="Y599" i="4"/>
  <c r="Z599" i="4"/>
  <c r="I600" i="4"/>
  <c r="K600" i="4"/>
  <c r="W600" i="4"/>
  <c r="Y600" i="4"/>
  <c r="Z600" i="4"/>
  <c r="I601" i="4"/>
  <c r="K601" i="4"/>
  <c r="W601" i="4"/>
  <c r="Y601" i="4"/>
  <c r="Z601" i="4"/>
  <c r="I602" i="4"/>
  <c r="K602" i="4"/>
  <c r="W602" i="4"/>
  <c r="Y602" i="4"/>
  <c r="Z602" i="4"/>
  <c r="I603" i="4"/>
  <c r="K603" i="4"/>
  <c r="W603" i="4"/>
  <c r="Y603" i="4"/>
  <c r="Z603" i="4"/>
  <c r="I604" i="4"/>
  <c r="K604" i="4"/>
  <c r="W604" i="4"/>
  <c r="Y604" i="4"/>
  <c r="Z604" i="4"/>
  <c r="I605" i="4"/>
  <c r="K605" i="4"/>
  <c r="W605" i="4"/>
  <c r="Y605" i="4"/>
  <c r="Z605" i="4"/>
  <c r="I606" i="4"/>
  <c r="K606" i="4"/>
  <c r="W606" i="4"/>
  <c r="Y606" i="4"/>
  <c r="Z606" i="4"/>
  <c r="I607" i="4"/>
  <c r="K607" i="4"/>
  <c r="W607" i="4"/>
  <c r="Y607" i="4"/>
  <c r="Z607" i="4"/>
  <c r="I608" i="4"/>
  <c r="K608" i="4"/>
  <c r="W608" i="4"/>
  <c r="Y608" i="4"/>
  <c r="Z608" i="4"/>
  <c r="I609" i="4"/>
  <c r="K609" i="4"/>
  <c r="W609" i="4"/>
  <c r="Y609" i="4"/>
  <c r="Z609" i="4"/>
  <c r="I610" i="4"/>
  <c r="K610" i="4"/>
  <c r="W610" i="4"/>
  <c r="Y610" i="4"/>
  <c r="Z610" i="4"/>
  <c r="I611" i="4"/>
  <c r="K611" i="4"/>
  <c r="W611" i="4"/>
  <c r="Y611" i="4"/>
  <c r="Z611" i="4"/>
  <c r="I612" i="4"/>
  <c r="K612" i="4"/>
  <c r="W612" i="4"/>
  <c r="Y612" i="4"/>
  <c r="Z612" i="4"/>
  <c r="I613" i="4"/>
  <c r="K613" i="4"/>
  <c r="W613" i="4"/>
  <c r="Y613" i="4"/>
  <c r="Z613" i="4"/>
  <c r="I614" i="4"/>
  <c r="K614" i="4"/>
  <c r="W614" i="4"/>
  <c r="Y614" i="4"/>
  <c r="Z614" i="4"/>
  <c r="I615" i="4"/>
  <c r="K615" i="4"/>
  <c r="W615" i="4"/>
  <c r="Y615" i="4"/>
  <c r="Z615" i="4"/>
  <c r="I616" i="4"/>
  <c r="K616" i="4"/>
  <c r="W616" i="4"/>
  <c r="Y616" i="4"/>
  <c r="Z616" i="4"/>
  <c r="I617" i="4"/>
  <c r="K617" i="4"/>
  <c r="W617" i="4"/>
  <c r="Y617" i="4"/>
  <c r="Z617" i="4"/>
  <c r="I618" i="4"/>
  <c r="K618" i="4"/>
  <c r="W618" i="4"/>
  <c r="Y618" i="4"/>
  <c r="Z618" i="4"/>
  <c r="I619" i="4"/>
  <c r="K619" i="4"/>
  <c r="W619" i="4"/>
  <c r="Y619" i="4"/>
  <c r="Z619" i="4"/>
  <c r="I620" i="4"/>
  <c r="K620" i="4"/>
  <c r="W620" i="4"/>
  <c r="Y620" i="4"/>
  <c r="Z620" i="4"/>
  <c r="I621" i="4"/>
  <c r="K621" i="4"/>
  <c r="W621" i="4"/>
  <c r="Y621" i="4"/>
  <c r="Z621" i="4"/>
  <c r="I622" i="4"/>
  <c r="K622" i="4"/>
  <c r="W622" i="4"/>
  <c r="Y622" i="4"/>
  <c r="Z622" i="4"/>
  <c r="I623" i="4"/>
  <c r="K623" i="4"/>
  <c r="W623" i="4"/>
  <c r="Y623" i="4"/>
  <c r="Z623" i="4"/>
  <c r="I624" i="4"/>
  <c r="K624" i="4"/>
  <c r="W624" i="4"/>
  <c r="Y624" i="4"/>
  <c r="Z624" i="4"/>
  <c r="I625" i="4"/>
  <c r="K625" i="4"/>
  <c r="W625" i="4"/>
  <c r="Y625" i="4"/>
  <c r="Z625" i="4"/>
  <c r="I626" i="4"/>
  <c r="K626" i="4"/>
  <c r="W626" i="4"/>
  <c r="Y626" i="4"/>
  <c r="Z626" i="4"/>
  <c r="I627" i="4"/>
  <c r="K627" i="4"/>
  <c r="W627" i="4"/>
  <c r="Y627" i="4"/>
  <c r="Z627" i="4"/>
  <c r="I628" i="4"/>
  <c r="K628" i="4"/>
  <c r="W628" i="4"/>
  <c r="Y628" i="4"/>
  <c r="Z628" i="4"/>
  <c r="I629" i="4"/>
  <c r="K629" i="4"/>
  <c r="W629" i="4"/>
  <c r="Y629" i="4"/>
  <c r="Z629" i="4"/>
  <c r="I630" i="4"/>
  <c r="K630" i="4"/>
  <c r="W630" i="4"/>
  <c r="Y630" i="4"/>
  <c r="Z630" i="4"/>
  <c r="I631" i="4"/>
  <c r="K631" i="4"/>
  <c r="W631" i="4"/>
  <c r="Y631" i="4"/>
  <c r="Z631" i="4"/>
  <c r="I632" i="4"/>
  <c r="K632" i="4"/>
  <c r="W632" i="4"/>
  <c r="Y632" i="4"/>
  <c r="Z632" i="4"/>
  <c r="I633" i="4"/>
  <c r="K633" i="4"/>
  <c r="W633" i="4"/>
  <c r="Y633" i="4"/>
  <c r="Z633" i="4"/>
  <c r="I634" i="4"/>
  <c r="K634" i="4"/>
  <c r="W634" i="4"/>
  <c r="Y634" i="4"/>
  <c r="Z634" i="4"/>
  <c r="I635" i="4"/>
  <c r="K635" i="4"/>
  <c r="W635" i="4"/>
  <c r="Y635" i="4"/>
  <c r="Z635" i="4"/>
  <c r="I636" i="4"/>
  <c r="K636" i="4"/>
  <c r="W636" i="4"/>
  <c r="Y636" i="4"/>
  <c r="Z636" i="4"/>
  <c r="I637" i="4"/>
  <c r="K637" i="4"/>
  <c r="W637" i="4"/>
  <c r="Y637" i="4"/>
  <c r="Z637" i="4"/>
  <c r="I638" i="4"/>
  <c r="K638" i="4"/>
  <c r="W638" i="4"/>
  <c r="Y638" i="4"/>
  <c r="Z638" i="4"/>
  <c r="I639" i="4"/>
  <c r="K639" i="4"/>
  <c r="W639" i="4"/>
  <c r="Y639" i="4"/>
  <c r="Z639" i="4"/>
  <c r="I640" i="4"/>
  <c r="K640" i="4"/>
  <c r="W640" i="4"/>
  <c r="Y640" i="4"/>
  <c r="Z640" i="4"/>
  <c r="I641" i="4"/>
  <c r="K641" i="4"/>
  <c r="W641" i="4"/>
  <c r="Y641" i="4"/>
  <c r="Z641" i="4"/>
  <c r="I642" i="4"/>
  <c r="K642" i="4"/>
  <c r="W642" i="4"/>
  <c r="Y642" i="4"/>
  <c r="Z642" i="4"/>
  <c r="I643" i="4"/>
  <c r="K643" i="4"/>
  <c r="W643" i="4"/>
  <c r="Y643" i="4"/>
  <c r="Z643" i="4"/>
  <c r="I644" i="4"/>
  <c r="K644" i="4"/>
  <c r="W644" i="4"/>
  <c r="Y644" i="4"/>
  <c r="Z644" i="4"/>
  <c r="I645" i="4"/>
  <c r="K645" i="4"/>
  <c r="W645" i="4"/>
  <c r="Y645" i="4"/>
  <c r="Z645" i="4"/>
  <c r="I646" i="4"/>
  <c r="K646" i="4"/>
  <c r="W646" i="4"/>
  <c r="Y646" i="4"/>
  <c r="Z646" i="4"/>
  <c r="I647" i="4"/>
  <c r="K647" i="4"/>
  <c r="W647" i="4"/>
  <c r="Y647" i="4"/>
  <c r="Z647" i="4"/>
  <c r="I648" i="4"/>
  <c r="K648" i="4"/>
  <c r="W648" i="4"/>
  <c r="Y648" i="4"/>
  <c r="Z648" i="4"/>
  <c r="I649" i="4"/>
  <c r="K649" i="4"/>
  <c r="W649" i="4"/>
  <c r="Y649" i="4"/>
  <c r="Z649" i="4"/>
  <c r="I650" i="4"/>
  <c r="K650" i="4"/>
  <c r="W650" i="4"/>
  <c r="Y650" i="4"/>
  <c r="Z650" i="4"/>
  <c r="I651" i="4"/>
  <c r="K651" i="4"/>
  <c r="W651" i="4"/>
  <c r="Y651" i="4"/>
  <c r="Z651" i="4"/>
  <c r="I652" i="4"/>
  <c r="K652" i="4"/>
  <c r="W652" i="4"/>
  <c r="Y652" i="4"/>
  <c r="Z652" i="4"/>
  <c r="I653" i="4"/>
  <c r="K653" i="4"/>
  <c r="W653" i="4"/>
  <c r="Y653" i="4"/>
  <c r="Z653" i="4"/>
  <c r="I654" i="4"/>
  <c r="K654" i="4"/>
  <c r="W654" i="4"/>
  <c r="Y654" i="4"/>
  <c r="Z654" i="4"/>
  <c r="I655" i="4"/>
  <c r="K655" i="4"/>
  <c r="W655" i="4"/>
  <c r="Y655" i="4"/>
  <c r="Z655" i="4"/>
  <c r="I657" i="4"/>
  <c r="K657" i="4"/>
  <c r="W657" i="4"/>
  <c r="Y657" i="4"/>
  <c r="Z657" i="4"/>
  <c r="I658" i="4"/>
  <c r="K658" i="4"/>
  <c r="W658" i="4"/>
  <c r="Y658" i="4"/>
  <c r="Z658" i="4"/>
  <c r="I659" i="4"/>
  <c r="K659" i="4"/>
  <c r="W659" i="4"/>
  <c r="Y659" i="4"/>
  <c r="Z659" i="4"/>
  <c r="I660" i="4"/>
  <c r="K660" i="4"/>
  <c r="W660" i="4"/>
  <c r="Y660" i="4"/>
  <c r="Z660" i="4"/>
  <c r="I661" i="4"/>
  <c r="K661" i="4"/>
  <c r="W661" i="4"/>
  <c r="Y661" i="4"/>
  <c r="Z661" i="4"/>
  <c r="I662" i="4"/>
  <c r="K662" i="4"/>
  <c r="W662" i="4"/>
  <c r="Y662" i="4"/>
  <c r="Z662" i="4"/>
  <c r="I663" i="4"/>
  <c r="K663" i="4"/>
  <c r="W663" i="4"/>
  <c r="Y663" i="4"/>
  <c r="Z663" i="4"/>
  <c r="I664" i="4"/>
  <c r="K664" i="4"/>
  <c r="W664" i="4"/>
  <c r="Y664" i="4"/>
  <c r="Z664" i="4"/>
  <c r="I665" i="4"/>
  <c r="K665" i="4"/>
  <c r="W665" i="4"/>
  <c r="Y665" i="4"/>
  <c r="Z665" i="4"/>
  <c r="I666" i="4"/>
  <c r="K666" i="4"/>
  <c r="W666" i="4"/>
  <c r="Y666" i="4"/>
  <c r="Z666" i="4"/>
  <c r="I667" i="4"/>
  <c r="K667" i="4"/>
  <c r="W667" i="4"/>
  <c r="Y667" i="4"/>
  <c r="Z667" i="4"/>
  <c r="I668" i="4"/>
  <c r="K668" i="4"/>
  <c r="W668" i="4"/>
  <c r="Y668" i="4"/>
  <c r="Z668" i="4"/>
  <c r="I669" i="4"/>
  <c r="K669" i="4"/>
  <c r="W669" i="4"/>
  <c r="Y669" i="4"/>
  <c r="Z669" i="4"/>
  <c r="I670" i="4"/>
  <c r="K670" i="4"/>
  <c r="W670" i="4"/>
  <c r="Y670" i="4"/>
  <c r="Z670" i="4"/>
  <c r="I671" i="4"/>
  <c r="K671" i="4"/>
  <c r="W671" i="4"/>
  <c r="Y671" i="4"/>
  <c r="Z671" i="4"/>
  <c r="I672" i="4"/>
  <c r="K672" i="4"/>
  <c r="W672" i="4"/>
  <c r="Y672" i="4"/>
  <c r="Z672" i="4"/>
  <c r="I673" i="4"/>
  <c r="K673" i="4"/>
  <c r="W673" i="4"/>
  <c r="Y673" i="4"/>
  <c r="Z673" i="4"/>
  <c r="I674" i="4"/>
  <c r="K674" i="4"/>
  <c r="W674" i="4"/>
  <c r="Y674" i="4"/>
  <c r="Z674" i="4"/>
  <c r="I675" i="4"/>
  <c r="K675" i="4"/>
  <c r="W675" i="4"/>
  <c r="Y675" i="4"/>
  <c r="Z675" i="4"/>
  <c r="I676" i="4"/>
  <c r="K676" i="4"/>
  <c r="W676" i="4"/>
  <c r="Y676" i="4"/>
  <c r="Z676" i="4"/>
  <c r="I677" i="4"/>
  <c r="K677" i="4"/>
  <c r="W677" i="4"/>
  <c r="Y677" i="4"/>
  <c r="Z677" i="4"/>
  <c r="I678" i="4"/>
  <c r="K678" i="4"/>
  <c r="W678" i="4"/>
  <c r="Y678" i="4"/>
  <c r="Z678" i="4"/>
  <c r="I679" i="4"/>
  <c r="K679" i="4"/>
  <c r="W679" i="4"/>
  <c r="Y679" i="4"/>
  <c r="Z679" i="4"/>
  <c r="I680" i="4"/>
  <c r="K680" i="4"/>
  <c r="W680" i="4"/>
  <c r="Y680" i="4"/>
  <c r="Z680" i="4"/>
  <c r="I681" i="4"/>
  <c r="K681" i="4"/>
  <c r="W681" i="4"/>
  <c r="Y681" i="4"/>
  <c r="Z681" i="4"/>
  <c r="I682" i="4"/>
  <c r="K682" i="4"/>
  <c r="W682" i="4"/>
  <c r="Y682" i="4"/>
  <c r="Z682" i="4"/>
  <c r="I683" i="4"/>
  <c r="K683" i="4"/>
  <c r="W683" i="4"/>
  <c r="Y683" i="4"/>
  <c r="Z683" i="4"/>
  <c r="I684" i="4"/>
  <c r="K684" i="4"/>
  <c r="W684" i="4"/>
  <c r="Y684" i="4"/>
  <c r="Z684" i="4"/>
  <c r="I685" i="4"/>
  <c r="K685" i="4"/>
  <c r="W685" i="4"/>
  <c r="Y685" i="4"/>
  <c r="Z685" i="4"/>
  <c r="I686" i="4"/>
  <c r="K686" i="4"/>
  <c r="W686" i="4"/>
  <c r="Y686" i="4"/>
  <c r="Z686" i="4"/>
  <c r="I687" i="4"/>
  <c r="K687" i="4"/>
  <c r="W687" i="4"/>
  <c r="Y687" i="4"/>
  <c r="Z687" i="4"/>
  <c r="I688" i="4"/>
  <c r="K688" i="4"/>
  <c r="W688" i="4"/>
  <c r="Y688" i="4"/>
  <c r="Z688" i="4"/>
  <c r="I689" i="4"/>
  <c r="K689" i="4"/>
  <c r="W689" i="4"/>
  <c r="Y689" i="4"/>
  <c r="Z689" i="4"/>
  <c r="I690" i="4"/>
  <c r="K690" i="4"/>
  <c r="W690" i="4"/>
  <c r="Y690" i="4"/>
  <c r="Z690" i="4"/>
  <c r="I691" i="4"/>
  <c r="K691" i="4"/>
  <c r="W691" i="4"/>
  <c r="Y691" i="4"/>
  <c r="Z691" i="4"/>
  <c r="I692" i="4"/>
  <c r="K692" i="4"/>
  <c r="W692" i="4"/>
  <c r="Y692" i="4"/>
  <c r="Z692" i="4"/>
  <c r="I693" i="4"/>
  <c r="K693" i="4"/>
  <c r="W693" i="4"/>
  <c r="Y693" i="4"/>
  <c r="Z693" i="4"/>
  <c r="I694" i="4"/>
  <c r="K694" i="4"/>
  <c r="W694" i="4"/>
  <c r="Y694" i="4"/>
  <c r="Z694" i="4"/>
  <c r="I695" i="4"/>
  <c r="K695" i="4"/>
  <c r="W695" i="4"/>
  <c r="Y695" i="4"/>
  <c r="Z695" i="4"/>
  <c r="I696" i="4"/>
  <c r="K696" i="4"/>
  <c r="W696" i="4"/>
  <c r="Y696" i="4"/>
  <c r="Z696" i="4"/>
  <c r="I697" i="4"/>
  <c r="K697" i="4"/>
  <c r="W697" i="4"/>
  <c r="Y697" i="4"/>
  <c r="Z697" i="4"/>
  <c r="I698" i="4"/>
  <c r="K698" i="4"/>
  <c r="W698" i="4"/>
  <c r="Y698" i="4"/>
  <c r="Z698" i="4"/>
  <c r="I699" i="4"/>
  <c r="K699" i="4"/>
  <c r="W699" i="4"/>
  <c r="Y699" i="4"/>
  <c r="Z699" i="4"/>
  <c r="I700" i="4"/>
  <c r="K700" i="4"/>
  <c r="W700" i="4"/>
  <c r="Y700" i="4"/>
  <c r="Z700" i="4"/>
  <c r="I702" i="4"/>
  <c r="K702" i="4"/>
  <c r="W702" i="4"/>
  <c r="Y702" i="4"/>
  <c r="Z702" i="4"/>
  <c r="I703" i="4"/>
  <c r="K703" i="4"/>
  <c r="W703" i="4"/>
  <c r="Y703" i="4"/>
  <c r="Z703" i="4"/>
  <c r="I704" i="4"/>
  <c r="K704" i="4"/>
  <c r="W704" i="4"/>
  <c r="Y704" i="4"/>
  <c r="Z704" i="4"/>
  <c r="I705" i="4"/>
  <c r="K705" i="4"/>
  <c r="W705" i="4"/>
  <c r="Y705" i="4"/>
  <c r="Z705" i="4"/>
  <c r="I706" i="4"/>
  <c r="K706" i="4"/>
  <c r="W706" i="4"/>
  <c r="Y706" i="4"/>
  <c r="Z706" i="4"/>
  <c r="I707" i="4"/>
  <c r="K707" i="4"/>
  <c r="W707" i="4"/>
  <c r="Y707" i="4"/>
  <c r="Z707" i="4"/>
  <c r="I708" i="4"/>
  <c r="K708" i="4"/>
  <c r="W708" i="4"/>
  <c r="Y708" i="4"/>
  <c r="Z708" i="4"/>
  <c r="I709" i="4"/>
  <c r="K709" i="4"/>
  <c r="W709" i="4"/>
  <c r="Y709" i="4"/>
  <c r="Z709" i="4"/>
  <c r="I710" i="4"/>
  <c r="K710" i="4"/>
  <c r="W710" i="4"/>
  <c r="Y710" i="4"/>
  <c r="Z710" i="4"/>
  <c r="I711" i="4"/>
  <c r="K711" i="4"/>
  <c r="W711" i="4"/>
  <c r="Y711" i="4"/>
  <c r="Z711" i="4"/>
  <c r="I712" i="4"/>
  <c r="K712" i="4"/>
  <c r="W712" i="4"/>
  <c r="Y712" i="4"/>
  <c r="Z712" i="4"/>
  <c r="I713" i="4"/>
  <c r="K713" i="4"/>
  <c r="W713" i="4"/>
  <c r="Y713" i="4"/>
  <c r="Z713" i="4"/>
  <c r="I714" i="4"/>
  <c r="K714" i="4"/>
  <c r="W714" i="4"/>
  <c r="Y714" i="4"/>
  <c r="Z714" i="4"/>
  <c r="I715" i="4"/>
  <c r="K715" i="4"/>
  <c r="W715" i="4"/>
  <c r="Y715" i="4"/>
  <c r="Z715" i="4"/>
  <c r="I716" i="4"/>
  <c r="K716" i="4"/>
  <c r="W716" i="4"/>
  <c r="Y716" i="4"/>
  <c r="Z716" i="4"/>
  <c r="I717" i="4"/>
  <c r="K717" i="4"/>
  <c r="W717" i="4"/>
  <c r="Y717" i="4"/>
  <c r="Z717" i="4"/>
  <c r="I718" i="4"/>
  <c r="K718" i="4"/>
  <c r="W718" i="4"/>
  <c r="Y718" i="4"/>
  <c r="Z718" i="4"/>
  <c r="I719" i="4"/>
  <c r="K719" i="4"/>
  <c r="W719" i="4"/>
  <c r="Y719" i="4"/>
  <c r="Z719" i="4"/>
  <c r="I720" i="4"/>
  <c r="K720" i="4"/>
  <c r="W720" i="4"/>
  <c r="Y720" i="4"/>
  <c r="Z720" i="4"/>
  <c r="I721" i="4"/>
  <c r="K721" i="4"/>
  <c r="W721" i="4"/>
  <c r="Y721" i="4"/>
  <c r="Z721" i="4"/>
  <c r="I722" i="4"/>
  <c r="K722" i="4"/>
  <c r="W722" i="4"/>
  <c r="Y722" i="4"/>
  <c r="Z722" i="4"/>
  <c r="I723" i="4"/>
  <c r="K723" i="4"/>
  <c r="W723" i="4"/>
  <c r="Y723" i="4"/>
  <c r="Z723" i="4"/>
  <c r="I724" i="4"/>
  <c r="K724" i="4"/>
  <c r="W724" i="4"/>
  <c r="Y724" i="4"/>
  <c r="Z724" i="4"/>
  <c r="I725" i="4"/>
  <c r="K725" i="4"/>
  <c r="W725" i="4"/>
  <c r="Y725" i="4"/>
  <c r="Z725" i="4"/>
  <c r="I726" i="4"/>
  <c r="K726" i="4"/>
  <c r="W726" i="4"/>
  <c r="Y726" i="4"/>
  <c r="Z726" i="4"/>
  <c r="I727" i="4"/>
  <c r="K727" i="4"/>
  <c r="W727" i="4"/>
  <c r="Y727" i="4"/>
  <c r="Z727" i="4"/>
  <c r="I728" i="4"/>
  <c r="K728" i="4"/>
  <c r="W728" i="4"/>
  <c r="Y728" i="4"/>
  <c r="Z728" i="4"/>
  <c r="I729" i="4"/>
  <c r="K729" i="4"/>
  <c r="W729" i="4"/>
  <c r="Y729" i="4"/>
  <c r="Z729" i="4"/>
  <c r="I730" i="4"/>
  <c r="K730" i="4"/>
  <c r="W730" i="4"/>
  <c r="Y730" i="4"/>
  <c r="Z730" i="4"/>
  <c r="I731" i="4"/>
  <c r="K731" i="4"/>
  <c r="W731" i="4"/>
  <c r="Y731" i="4"/>
  <c r="Z731" i="4"/>
  <c r="I732" i="4"/>
  <c r="K732" i="4"/>
  <c r="W732" i="4"/>
  <c r="Y732" i="4"/>
  <c r="Z732" i="4"/>
  <c r="I733" i="4"/>
  <c r="K733" i="4"/>
  <c r="W733" i="4"/>
  <c r="Y733" i="4"/>
  <c r="Z733" i="4"/>
  <c r="I734" i="4"/>
  <c r="K734" i="4"/>
  <c r="W734" i="4"/>
  <c r="Y734" i="4"/>
  <c r="Z734" i="4"/>
  <c r="I735" i="4"/>
  <c r="K735" i="4"/>
  <c r="W735" i="4"/>
  <c r="Y735" i="4"/>
  <c r="Z735" i="4"/>
  <c r="I736" i="4"/>
  <c r="K736" i="4"/>
  <c r="W736" i="4"/>
  <c r="Y736" i="4"/>
  <c r="Z736" i="4"/>
  <c r="I737" i="4"/>
  <c r="K737" i="4"/>
  <c r="W737" i="4"/>
  <c r="Y737" i="4"/>
  <c r="Z737" i="4"/>
  <c r="I3" i="4"/>
  <c r="K3" i="4"/>
  <c r="W3" i="4"/>
  <c r="Y3" i="4"/>
  <c r="Z3" i="4"/>
  <c r="I4" i="4"/>
  <c r="K4" i="4"/>
  <c r="W4" i="4"/>
  <c r="Y4" i="4"/>
  <c r="Z4" i="4"/>
  <c r="I5" i="4"/>
  <c r="K5" i="4"/>
  <c r="W5" i="4"/>
  <c r="Y5" i="4"/>
  <c r="Z5" i="4"/>
  <c r="I6" i="4"/>
  <c r="K6" i="4"/>
  <c r="W6" i="4"/>
  <c r="Y6" i="4"/>
  <c r="Z6" i="4"/>
  <c r="I7" i="4"/>
  <c r="K7" i="4"/>
  <c r="W7" i="4"/>
  <c r="Y7" i="4"/>
  <c r="Z7" i="4"/>
  <c r="I8" i="4"/>
  <c r="K8" i="4"/>
  <c r="W8" i="4"/>
  <c r="Y8" i="4"/>
  <c r="Z8" i="4"/>
  <c r="I9" i="4"/>
  <c r="K9" i="4"/>
  <c r="W9" i="4"/>
  <c r="Y9" i="4"/>
  <c r="Z9" i="4"/>
  <c r="I10" i="4"/>
  <c r="K10" i="4"/>
  <c r="W10" i="4"/>
  <c r="Y10" i="4"/>
  <c r="Z10" i="4"/>
  <c r="I11" i="4"/>
  <c r="K11" i="4"/>
  <c r="W11" i="4"/>
  <c r="Y11" i="4"/>
  <c r="Z11" i="4"/>
  <c r="I12" i="4"/>
  <c r="K12" i="4"/>
  <c r="W12" i="4"/>
  <c r="Y12" i="4"/>
  <c r="Z12" i="4"/>
  <c r="I13" i="4"/>
  <c r="K13" i="4"/>
  <c r="W13" i="4"/>
  <c r="Y13" i="4"/>
  <c r="Z13" i="4"/>
  <c r="I14" i="4"/>
  <c r="K14" i="4"/>
  <c r="W14" i="4"/>
  <c r="Y14" i="4"/>
  <c r="Z14" i="4"/>
  <c r="I15" i="4"/>
  <c r="K15" i="4"/>
  <c r="W15" i="4"/>
  <c r="Y15" i="4"/>
  <c r="Z15" i="4"/>
  <c r="I16" i="4"/>
  <c r="K16" i="4"/>
  <c r="W16" i="4"/>
  <c r="Y16" i="4"/>
  <c r="Z16" i="4"/>
  <c r="I17" i="4"/>
  <c r="K17" i="4"/>
  <c r="W17" i="4"/>
  <c r="Y17" i="4"/>
  <c r="Z17" i="4"/>
  <c r="I18" i="4"/>
  <c r="K18" i="4"/>
  <c r="W18" i="4"/>
  <c r="Y18" i="4"/>
  <c r="Z18" i="4"/>
  <c r="I19" i="4"/>
  <c r="K19" i="4"/>
  <c r="W19" i="4"/>
  <c r="Y19" i="4"/>
  <c r="Z19" i="4"/>
  <c r="I20" i="4"/>
  <c r="K20" i="4"/>
  <c r="W20" i="4"/>
  <c r="Y20" i="4"/>
  <c r="Z20" i="4"/>
  <c r="I21" i="4"/>
  <c r="K21" i="4"/>
  <c r="W21" i="4"/>
  <c r="Y21" i="4"/>
  <c r="Z21" i="4"/>
  <c r="I22" i="4"/>
  <c r="K22" i="4"/>
  <c r="W22" i="4"/>
  <c r="Y22" i="4"/>
  <c r="Z22" i="4"/>
  <c r="I23" i="4"/>
  <c r="K23" i="4"/>
  <c r="W23" i="4"/>
  <c r="Y23" i="4"/>
  <c r="Z23" i="4"/>
  <c r="I24" i="4"/>
  <c r="K24" i="4"/>
  <c r="W24" i="4"/>
  <c r="Y24" i="4"/>
  <c r="Z24" i="4"/>
  <c r="I25" i="4"/>
  <c r="K25" i="4"/>
  <c r="W25" i="4"/>
  <c r="Y25" i="4"/>
  <c r="Z25" i="4"/>
  <c r="I26" i="4"/>
  <c r="K26" i="4"/>
  <c r="W26" i="4"/>
  <c r="Y26" i="4"/>
  <c r="Z26" i="4"/>
  <c r="I27" i="4"/>
  <c r="K27" i="4"/>
  <c r="W27" i="4"/>
  <c r="Y27" i="4"/>
  <c r="Z27" i="4"/>
  <c r="I28" i="4"/>
  <c r="K28" i="4"/>
  <c r="W28" i="4"/>
  <c r="Y28" i="4"/>
  <c r="Z28" i="4"/>
  <c r="I29" i="4"/>
  <c r="K29" i="4"/>
  <c r="W29" i="4"/>
  <c r="Y29" i="4"/>
  <c r="Z29" i="4"/>
  <c r="I30" i="4"/>
  <c r="K30" i="4"/>
  <c r="W30" i="4"/>
  <c r="Y30" i="4"/>
  <c r="Z30" i="4"/>
  <c r="I31" i="4"/>
  <c r="K31" i="4"/>
  <c r="W31" i="4"/>
  <c r="Y31" i="4"/>
  <c r="Z31" i="4"/>
  <c r="I32" i="4"/>
  <c r="K32" i="4"/>
  <c r="W32" i="4"/>
  <c r="Y32" i="4"/>
  <c r="Z32" i="4"/>
  <c r="I33" i="4"/>
  <c r="K33" i="4"/>
  <c r="W33" i="4"/>
  <c r="Y33" i="4"/>
  <c r="Z33" i="4"/>
  <c r="I34" i="4"/>
  <c r="K34" i="4"/>
  <c r="W34" i="4"/>
  <c r="Y34" i="4"/>
  <c r="Z34" i="4"/>
  <c r="I35" i="4"/>
  <c r="K35" i="4"/>
  <c r="W35" i="4"/>
  <c r="Y35" i="4"/>
  <c r="Z35" i="4"/>
  <c r="I36" i="4"/>
  <c r="K36" i="4"/>
  <c r="W36" i="4"/>
  <c r="Y36" i="4"/>
  <c r="Z36" i="4"/>
  <c r="I37" i="4"/>
  <c r="K37" i="4"/>
  <c r="W37" i="4"/>
  <c r="Y37" i="4"/>
  <c r="Z37" i="4"/>
  <c r="I38" i="4"/>
  <c r="K38" i="4"/>
  <c r="W38" i="4"/>
  <c r="Y38" i="4"/>
  <c r="Z38" i="4"/>
  <c r="I39" i="4"/>
  <c r="K39" i="4"/>
  <c r="W39" i="4"/>
  <c r="Y39" i="4"/>
  <c r="Z39" i="4"/>
  <c r="I40" i="4"/>
  <c r="K40" i="4"/>
  <c r="W40" i="4"/>
  <c r="Y40" i="4"/>
  <c r="Z40" i="4"/>
  <c r="I41" i="4"/>
  <c r="K41" i="4"/>
  <c r="W41" i="4"/>
  <c r="Y41" i="4"/>
  <c r="Z41" i="4"/>
  <c r="I42" i="4"/>
  <c r="K42" i="4"/>
  <c r="W42" i="4"/>
  <c r="Y42" i="4"/>
  <c r="Z42" i="4"/>
  <c r="I43" i="4"/>
  <c r="K43" i="4"/>
  <c r="W43" i="4"/>
  <c r="Y43" i="4"/>
  <c r="Z43" i="4"/>
  <c r="I44" i="4"/>
  <c r="K44" i="4"/>
  <c r="W44" i="4"/>
  <c r="Y44" i="4"/>
  <c r="Z44" i="4"/>
  <c r="I45" i="4"/>
  <c r="K45" i="4"/>
  <c r="W45" i="4"/>
  <c r="Y45" i="4"/>
  <c r="Z45" i="4"/>
  <c r="I46" i="4"/>
  <c r="K46" i="4"/>
  <c r="W46" i="4"/>
  <c r="Y46" i="4"/>
  <c r="Z46" i="4"/>
  <c r="I47" i="4"/>
  <c r="K47" i="4"/>
  <c r="W47" i="4"/>
  <c r="Y47" i="4"/>
  <c r="Z47" i="4"/>
  <c r="I48" i="4"/>
  <c r="K48" i="4"/>
  <c r="W48" i="4"/>
  <c r="Y48" i="4"/>
  <c r="Z48" i="4"/>
  <c r="Z2" i="4"/>
  <c r="Y2" i="4"/>
  <c r="W2" i="4"/>
  <c r="K2" i="4"/>
  <c r="I2"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2"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3" i="4"/>
  <c r="G4" i="4"/>
  <c r="G5" i="4"/>
  <c r="G6" i="4"/>
  <c r="G7" i="4"/>
  <c r="G8" i="4"/>
  <c r="G9" i="4"/>
  <c r="G10" i="4"/>
  <c r="G11" i="4"/>
  <c r="G12" i="4"/>
  <c r="G13" i="4"/>
  <c r="G14" i="4"/>
  <c r="G15" i="4"/>
  <c r="G16" i="4"/>
  <c r="G17" i="4"/>
  <c r="G18" i="4"/>
  <c r="G19" i="4"/>
  <c r="G20" i="4"/>
  <c r="G21" i="4"/>
  <c r="G22" i="4"/>
  <c r="G23" i="4"/>
  <c r="G24" i="4"/>
  <c r="G25" i="4"/>
  <c r="G26" i="4"/>
  <c r="G27" i="4"/>
  <c r="G28" i="4"/>
  <c r="G29" i="4"/>
  <c r="G2" i="4"/>
  <c r="A737" i="4"/>
  <c r="B737" i="4"/>
  <c r="C737" i="4"/>
  <c r="D737" i="4"/>
  <c r="E737" i="4"/>
  <c r="A719" i="4"/>
  <c r="B719" i="4"/>
  <c r="C719" i="4"/>
  <c r="E719" i="4"/>
  <c r="A720" i="4"/>
  <c r="B720" i="4"/>
  <c r="C720" i="4"/>
  <c r="E720" i="4"/>
  <c r="A721" i="4"/>
  <c r="B721" i="4"/>
  <c r="C721" i="4"/>
  <c r="E721" i="4"/>
  <c r="A722" i="4"/>
  <c r="B722" i="4"/>
  <c r="C722" i="4"/>
  <c r="E722" i="4"/>
  <c r="A723" i="4"/>
  <c r="B723" i="4"/>
  <c r="C723" i="4"/>
  <c r="E723" i="4"/>
  <c r="A724" i="4"/>
  <c r="B724" i="4"/>
  <c r="C724" i="4"/>
  <c r="E724" i="4"/>
  <c r="A725" i="4"/>
  <c r="B725" i="4"/>
  <c r="C725" i="4"/>
  <c r="E725" i="4"/>
  <c r="A726" i="4"/>
  <c r="B726" i="4"/>
  <c r="C726" i="4"/>
  <c r="E726" i="4"/>
  <c r="A727" i="4"/>
  <c r="B727" i="4"/>
  <c r="C727" i="4"/>
  <c r="E727" i="4"/>
  <c r="A728" i="4"/>
  <c r="B728" i="4"/>
  <c r="C728" i="4"/>
  <c r="E728" i="4"/>
  <c r="A729" i="4"/>
  <c r="B729" i="4"/>
  <c r="C729" i="4"/>
  <c r="E729" i="4"/>
  <c r="A730" i="4"/>
  <c r="B730" i="4"/>
  <c r="C730" i="4"/>
  <c r="E730" i="4"/>
  <c r="A731" i="4"/>
  <c r="B731" i="4"/>
  <c r="C731" i="4"/>
  <c r="E731" i="4"/>
  <c r="A732" i="4"/>
  <c r="B732" i="4"/>
  <c r="C732" i="4"/>
  <c r="E732" i="4"/>
  <c r="A733" i="4"/>
  <c r="B733" i="4"/>
  <c r="C733" i="4"/>
  <c r="E733" i="4"/>
  <c r="A734" i="4"/>
  <c r="B734" i="4"/>
  <c r="C734" i="4"/>
  <c r="E734" i="4"/>
  <c r="A735" i="4"/>
  <c r="B735" i="4"/>
  <c r="C735" i="4"/>
  <c r="E735" i="4"/>
  <c r="A736" i="4"/>
  <c r="B736" i="4"/>
  <c r="C736" i="4"/>
  <c r="E736" i="4"/>
  <c r="A712" i="4"/>
  <c r="B712" i="4"/>
  <c r="C712" i="4"/>
  <c r="E712" i="4"/>
  <c r="A713" i="4"/>
  <c r="B713" i="4"/>
  <c r="C713" i="4"/>
  <c r="E713" i="4"/>
  <c r="A714" i="4"/>
  <c r="B714" i="4"/>
  <c r="C714" i="4"/>
  <c r="E714" i="4"/>
  <c r="A715" i="4"/>
  <c r="B715" i="4"/>
  <c r="C715" i="4"/>
  <c r="E715" i="4"/>
  <c r="A716" i="4"/>
  <c r="B716" i="4"/>
  <c r="C716" i="4"/>
  <c r="E716" i="4"/>
  <c r="A717" i="4"/>
  <c r="B717" i="4"/>
  <c r="C717" i="4"/>
  <c r="E717" i="4"/>
  <c r="A718" i="4"/>
  <c r="B718" i="4"/>
  <c r="C718" i="4"/>
  <c r="E718" i="4"/>
  <c r="A331" i="4"/>
  <c r="B331" i="4"/>
  <c r="C331" i="4"/>
  <c r="E331" i="4"/>
  <c r="A332" i="4"/>
  <c r="B332" i="4"/>
  <c r="C332" i="4"/>
  <c r="E332" i="4"/>
  <c r="A333" i="4"/>
  <c r="B333" i="4"/>
  <c r="C333" i="4"/>
  <c r="E333" i="4"/>
  <c r="A334" i="4"/>
  <c r="B334" i="4"/>
  <c r="C334" i="4"/>
  <c r="E334" i="4"/>
  <c r="A335" i="4"/>
  <c r="B335" i="4"/>
  <c r="C335" i="4"/>
  <c r="E335" i="4"/>
  <c r="A336" i="4"/>
  <c r="B336" i="4"/>
  <c r="C336" i="4"/>
  <c r="E336" i="4"/>
  <c r="A337" i="4"/>
  <c r="B337" i="4"/>
  <c r="C337" i="4"/>
  <c r="E337" i="4"/>
  <c r="A338" i="4"/>
  <c r="B338" i="4"/>
  <c r="C338" i="4"/>
  <c r="E338" i="4"/>
  <c r="A339" i="4"/>
  <c r="B339" i="4"/>
  <c r="C339" i="4"/>
  <c r="E339" i="4"/>
  <c r="A340" i="4"/>
  <c r="B340" i="4"/>
  <c r="C340" i="4"/>
  <c r="E340" i="4"/>
  <c r="A341" i="4"/>
  <c r="B341" i="4"/>
  <c r="C341" i="4"/>
  <c r="E341" i="4"/>
  <c r="A342" i="4"/>
  <c r="B342" i="4"/>
  <c r="C342" i="4"/>
  <c r="E342" i="4"/>
  <c r="A343" i="4"/>
  <c r="B343" i="4"/>
  <c r="C343" i="4"/>
  <c r="E343" i="4"/>
  <c r="A344" i="4"/>
  <c r="B344" i="4"/>
  <c r="C344" i="4"/>
  <c r="E344" i="4"/>
  <c r="A345" i="4"/>
  <c r="B345" i="4"/>
  <c r="C345" i="4"/>
  <c r="E345" i="4"/>
  <c r="A346" i="4"/>
  <c r="B346" i="4"/>
  <c r="C346" i="4"/>
  <c r="E346" i="4"/>
  <c r="A347" i="4"/>
  <c r="B347" i="4"/>
  <c r="C347" i="4"/>
  <c r="E347" i="4"/>
  <c r="A348" i="4"/>
  <c r="B348" i="4"/>
  <c r="C348" i="4"/>
  <c r="E348" i="4"/>
  <c r="A349" i="4"/>
  <c r="B349" i="4"/>
  <c r="C349" i="4"/>
  <c r="E349" i="4"/>
  <c r="A350" i="4"/>
  <c r="B350" i="4"/>
  <c r="C350" i="4"/>
  <c r="E350" i="4"/>
  <c r="A351" i="4"/>
  <c r="B351" i="4"/>
  <c r="C351" i="4"/>
  <c r="E351" i="4"/>
  <c r="A352" i="4"/>
  <c r="B352" i="4"/>
  <c r="C352" i="4"/>
  <c r="E352" i="4"/>
  <c r="A353" i="4"/>
  <c r="B353" i="4"/>
  <c r="C353" i="4"/>
  <c r="E353" i="4"/>
  <c r="A354" i="4"/>
  <c r="B354" i="4"/>
  <c r="C354" i="4"/>
  <c r="E354" i="4"/>
  <c r="A355" i="4"/>
  <c r="B355" i="4"/>
  <c r="C355" i="4"/>
  <c r="E355" i="4"/>
  <c r="A356" i="4"/>
  <c r="B356" i="4"/>
  <c r="C356" i="4"/>
  <c r="E356" i="4"/>
  <c r="A357" i="4"/>
  <c r="B357" i="4"/>
  <c r="C357" i="4"/>
  <c r="E357" i="4"/>
  <c r="A358" i="4"/>
  <c r="B358" i="4"/>
  <c r="C358" i="4"/>
  <c r="E358" i="4"/>
  <c r="A359" i="4"/>
  <c r="B359" i="4"/>
  <c r="C359" i="4"/>
  <c r="E359" i="4"/>
  <c r="A360" i="4"/>
  <c r="B360" i="4"/>
  <c r="C360" i="4"/>
  <c r="E360" i="4"/>
  <c r="A361" i="4"/>
  <c r="B361" i="4"/>
  <c r="C361" i="4"/>
  <c r="E361" i="4"/>
  <c r="A362" i="4"/>
  <c r="B362" i="4"/>
  <c r="C362" i="4"/>
  <c r="E362" i="4"/>
  <c r="A363" i="4"/>
  <c r="B363" i="4"/>
  <c r="C363" i="4"/>
  <c r="E363" i="4"/>
  <c r="A364" i="4"/>
  <c r="B364" i="4"/>
  <c r="C364" i="4"/>
  <c r="E364" i="4"/>
  <c r="A365" i="4"/>
  <c r="B365" i="4"/>
  <c r="C365" i="4"/>
  <c r="E365" i="4"/>
  <c r="A366" i="4"/>
  <c r="B366" i="4"/>
  <c r="C366" i="4"/>
  <c r="E366" i="4"/>
  <c r="A367" i="4"/>
  <c r="B367" i="4"/>
  <c r="C367" i="4"/>
  <c r="E367" i="4"/>
  <c r="A368" i="4"/>
  <c r="B368" i="4"/>
  <c r="C368" i="4"/>
  <c r="E368" i="4"/>
  <c r="A369" i="4"/>
  <c r="B369" i="4"/>
  <c r="C369" i="4"/>
  <c r="E369" i="4"/>
  <c r="A370" i="4"/>
  <c r="B370" i="4"/>
  <c r="C370" i="4"/>
  <c r="E370" i="4"/>
  <c r="A371" i="4"/>
  <c r="B371" i="4"/>
  <c r="C371" i="4"/>
  <c r="E371" i="4"/>
  <c r="A372" i="4"/>
  <c r="B372" i="4"/>
  <c r="C372" i="4"/>
  <c r="E372" i="4"/>
  <c r="A373" i="4"/>
  <c r="B373" i="4"/>
  <c r="C373" i="4"/>
  <c r="E373" i="4"/>
  <c r="A374" i="4"/>
  <c r="B374" i="4"/>
  <c r="C374" i="4"/>
  <c r="E374" i="4"/>
  <c r="A375" i="4"/>
  <c r="B375" i="4"/>
  <c r="C375" i="4"/>
  <c r="E375" i="4"/>
  <c r="A376" i="4"/>
  <c r="B376" i="4"/>
  <c r="C376" i="4"/>
  <c r="E376" i="4"/>
  <c r="A377" i="4"/>
  <c r="B377" i="4"/>
  <c r="C377" i="4"/>
  <c r="E377" i="4"/>
  <c r="A378" i="4"/>
  <c r="B378" i="4"/>
  <c r="C378" i="4"/>
  <c r="E378" i="4"/>
  <c r="A379" i="4"/>
  <c r="B379" i="4"/>
  <c r="C379" i="4"/>
  <c r="E379" i="4"/>
  <c r="A380" i="4"/>
  <c r="B380" i="4"/>
  <c r="C380" i="4"/>
  <c r="E380" i="4"/>
  <c r="A381" i="4"/>
  <c r="B381" i="4"/>
  <c r="C381" i="4"/>
  <c r="E381" i="4"/>
  <c r="A382" i="4"/>
  <c r="B382" i="4"/>
  <c r="C382" i="4"/>
  <c r="E382" i="4"/>
  <c r="A383" i="4"/>
  <c r="B383" i="4"/>
  <c r="C383" i="4"/>
  <c r="D383" i="4"/>
  <c r="E383" i="4"/>
  <c r="A384" i="4"/>
  <c r="B384" i="4"/>
  <c r="C384" i="4"/>
  <c r="E384" i="4"/>
  <c r="A385" i="4"/>
  <c r="B385" i="4"/>
  <c r="C385" i="4"/>
  <c r="E385" i="4"/>
  <c r="A386" i="4"/>
  <c r="B386" i="4"/>
  <c r="C386" i="4"/>
  <c r="E386" i="4"/>
  <c r="A387" i="4"/>
  <c r="B387" i="4"/>
  <c r="C387" i="4"/>
  <c r="E387" i="4"/>
  <c r="A388" i="4"/>
  <c r="B388" i="4"/>
  <c r="C388" i="4"/>
  <c r="E388" i="4"/>
  <c r="A389" i="4"/>
  <c r="B389" i="4"/>
  <c r="C389" i="4"/>
  <c r="E389" i="4"/>
  <c r="A390" i="4"/>
  <c r="B390" i="4"/>
  <c r="C390" i="4"/>
  <c r="E390" i="4"/>
  <c r="A391" i="4"/>
  <c r="B391" i="4"/>
  <c r="C391" i="4"/>
  <c r="E391" i="4"/>
  <c r="A392" i="4"/>
  <c r="B392" i="4"/>
  <c r="C392" i="4"/>
  <c r="E392" i="4"/>
  <c r="A393" i="4"/>
  <c r="B393" i="4"/>
  <c r="C393" i="4"/>
  <c r="E393" i="4"/>
  <c r="A394" i="4"/>
  <c r="B394" i="4"/>
  <c r="C394" i="4"/>
  <c r="E394" i="4"/>
  <c r="A395" i="4"/>
  <c r="B395" i="4"/>
  <c r="C395" i="4"/>
  <c r="E395" i="4"/>
  <c r="A396" i="4"/>
  <c r="B396" i="4"/>
  <c r="C396" i="4"/>
  <c r="E396" i="4"/>
  <c r="A397" i="4"/>
  <c r="B397" i="4"/>
  <c r="C397" i="4"/>
  <c r="E397" i="4"/>
  <c r="A398" i="4"/>
  <c r="B398" i="4"/>
  <c r="C398" i="4"/>
  <c r="E398" i="4"/>
  <c r="A399" i="4"/>
  <c r="B399" i="4"/>
  <c r="C399" i="4"/>
  <c r="E399" i="4"/>
  <c r="A400" i="4"/>
  <c r="B400" i="4"/>
  <c r="C400" i="4"/>
  <c r="E400" i="4"/>
  <c r="A401" i="4"/>
  <c r="B401" i="4"/>
  <c r="C401" i="4"/>
  <c r="E401" i="4"/>
  <c r="A402" i="4"/>
  <c r="B402" i="4"/>
  <c r="C402" i="4"/>
  <c r="E402" i="4"/>
  <c r="A403" i="4"/>
  <c r="B403" i="4"/>
  <c r="C403" i="4"/>
  <c r="E403" i="4"/>
  <c r="A404" i="4"/>
  <c r="B404" i="4"/>
  <c r="C404" i="4"/>
  <c r="E404" i="4"/>
  <c r="A405" i="4"/>
  <c r="B405" i="4"/>
  <c r="C405" i="4"/>
  <c r="E405" i="4"/>
  <c r="A406" i="4"/>
  <c r="B406" i="4"/>
  <c r="C406" i="4"/>
  <c r="D406" i="4"/>
  <c r="E406" i="4"/>
  <c r="A407" i="4"/>
  <c r="B407" i="4"/>
  <c r="C407" i="4"/>
  <c r="E407" i="4"/>
  <c r="A408" i="4"/>
  <c r="B408" i="4"/>
  <c r="C408" i="4"/>
  <c r="E408" i="4"/>
  <c r="A409" i="4"/>
  <c r="B409" i="4"/>
  <c r="C409" i="4"/>
  <c r="D409" i="4"/>
  <c r="E409" i="4"/>
  <c r="A410" i="4"/>
  <c r="B410" i="4"/>
  <c r="C410" i="4"/>
  <c r="E410" i="4"/>
  <c r="A411" i="4"/>
  <c r="B411" i="4"/>
  <c r="C411" i="4"/>
  <c r="D411" i="4"/>
  <c r="E411" i="4"/>
  <c r="A412" i="4"/>
  <c r="B412" i="4"/>
  <c r="C412" i="4"/>
  <c r="D412" i="4"/>
  <c r="E412" i="4"/>
  <c r="A413" i="4"/>
  <c r="B413" i="4"/>
  <c r="C413" i="4"/>
  <c r="D413" i="4"/>
  <c r="E413" i="4"/>
  <c r="A414" i="4"/>
  <c r="B414" i="4"/>
  <c r="C414" i="4"/>
  <c r="D414" i="4"/>
  <c r="E414" i="4"/>
  <c r="A415" i="4"/>
  <c r="B415" i="4"/>
  <c r="C415" i="4"/>
  <c r="D415" i="4"/>
  <c r="E415" i="4"/>
  <c r="A416" i="4"/>
  <c r="B416" i="4"/>
  <c r="C416" i="4"/>
  <c r="E416" i="4"/>
  <c r="A417" i="4"/>
  <c r="B417" i="4"/>
  <c r="C417" i="4"/>
  <c r="E417" i="4"/>
  <c r="A418" i="4"/>
  <c r="B418" i="4"/>
  <c r="C418" i="4"/>
  <c r="E418" i="4"/>
  <c r="A419" i="4"/>
  <c r="B419" i="4"/>
  <c r="C419" i="4"/>
  <c r="E419" i="4"/>
  <c r="A420" i="4"/>
  <c r="B420" i="4"/>
  <c r="C420" i="4"/>
  <c r="E420" i="4"/>
  <c r="A421" i="4"/>
  <c r="B421" i="4"/>
  <c r="C421" i="4"/>
  <c r="E421" i="4"/>
  <c r="A422" i="4"/>
  <c r="B422" i="4"/>
  <c r="C422" i="4"/>
  <c r="E422" i="4"/>
  <c r="A423" i="4"/>
  <c r="B423" i="4"/>
  <c r="C423" i="4"/>
  <c r="E423" i="4"/>
  <c r="A424" i="4"/>
  <c r="B424" i="4"/>
  <c r="C424" i="4"/>
  <c r="E424" i="4"/>
  <c r="A425" i="4"/>
  <c r="B425" i="4"/>
  <c r="C425" i="4"/>
  <c r="E425" i="4"/>
  <c r="A426" i="4"/>
  <c r="B426" i="4"/>
  <c r="C426" i="4"/>
  <c r="E426" i="4"/>
  <c r="A427" i="4"/>
  <c r="B427" i="4"/>
  <c r="C427" i="4"/>
  <c r="E427" i="4"/>
  <c r="A428" i="4"/>
  <c r="B428" i="4"/>
  <c r="C428" i="4"/>
  <c r="E428" i="4"/>
  <c r="A429" i="4"/>
  <c r="B429" i="4"/>
  <c r="C429" i="4"/>
  <c r="E429" i="4"/>
  <c r="A430" i="4"/>
  <c r="B430" i="4"/>
  <c r="C430" i="4"/>
  <c r="E430" i="4"/>
  <c r="A431" i="4"/>
  <c r="B431" i="4"/>
  <c r="C431" i="4"/>
  <c r="E431" i="4"/>
  <c r="A432" i="4"/>
  <c r="B432" i="4"/>
  <c r="C432" i="4"/>
  <c r="E432" i="4"/>
  <c r="A433" i="4"/>
  <c r="B433" i="4"/>
  <c r="C433" i="4"/>
  <c r="E433" i="4"/>
  <c r="A434" i="4"/>
  <c r="B434" i="4"/>
  <c r="C434" i="4"/>
  <c r="E434" i="4"/>
  <c r="A435" i="4"/>
  <c r="B435" i="4"/>
  <c r="C435" i="4"/>
  <c r="E435" i="4"/>
  <c r="A436" i="4"/>
  <c r="B436" i="4"/>
  <c r="C436" i="4"/>
  <c r="E436" i="4"/>
  <c r="A437" i="4"/>
  <c r="B437" i="4"/>
  <c r="C437" i="4"/>
  <c r="E437" i="4"/>
  <c r="A438" i="4"/>
  <c r="B438" i="4"/>
  <c r="C438" i="4"/>
  <c r="E438" i="4"/>
  <c r="A439" i="4"/>
  <c r="B439" i="4"/>
  <c r="C439" i="4"/>
  <c r="E439" i="4"/>
  <c r="A440" i="4"/>
  <c r="B440" i="4"/>
  <c r="C440" i="4"/>
  <c r="E440" i="4"/>
  <c r="A441" i="4"/>
  <c r="B441" i="4"/>
  <c r="C441" i="4"/>
  <c r="E441" i="4"/>
  <c r="A442" i="4"/>
  <c r="B442" i="4"/>
  <c r="C442" i="4"/>
  <c r="E442" i="4"/>
  <c r="A443" i="4"/>
  <c r="B443" i="4"/>
  <c r="C443" i="4"/>
  <c r="E443" i="4"/>
  <c r="A444" i="4"/>
  <c r="B444" i="4"/>
  <c r="C444" i="4"/>
  <c r="E444" i="4"/>
  <c r="A445" i="4"/>
  <c r="B445" i="4"/>
  <c r="C445" i="4"/>
  <c r="E445" i="4"/>
  <c r="A446" i="4"/>
  <c r="B446" i="4"/>
  <c r="C446" i="4"/>
  <c r="E446" i="4"/>
  <c r="A447" i="4"/>
  <c r="B447" i="4"/>
  <c r="C447" i="4"/>
  <c r="E447" i="4"/>
  <c r="A448" i="4"/>
  <c r="B448" i="4"/>
  <c r="C448" i="4"/>
  <c r="E448" i="4"/>
  <c r="A449" i="4"/>
  <c r="B449" i="4"/>
  <c r="C449" i="4"/>
  <c r="E449" i="4"/>
  <c r="A450" i="4"/>
  <c r="B450" i="4"/>
  <c r="C450" i="4"/>
  <c r="E450" i="4"/>
  <c r="A451" i="4"/>
  <c r="B451" i="4"/>
  <c r="C451" i="4"/>
  <c r="E451" i="4"/>
  <c r="A452" i="4"/>
  <c r="B452" i="4"/>
  <c r="C452" i="4"/>
  <c r="E452" i="4"/>
  <c r="A453" i="4"/>
  <c r="B453" i="4"/>
  <c r="C453" i="4"/>
  <c r="E453" i="4"/>
  <c r="A454" i="4"/>
  <c r="B454" i="4"/>
  <c r="C454" i="4"/>
  <c r="E454" i="4"/>
  <c r="A455" i="4"/>
  <c r="B455" i="4"/>
  <c r="C455" i="4"/>
  <c r="E455" i="4"/>
  <c r="A456" i="4"/>
  <c r="B456" i="4"/>
  <c r="C456" i="4"/>
  <c r="E456" i="4"/>
  <c r="A457" i="4"/>
  <c r="B457" i="4"/>
  <c r="C457" i="4"/>
  <c r="E457" i="4"/>
  <c r="A458" i="4"/>
  <c r="B458" i="4"/>
  <c r="C458" i="4"/>
  <c r="E458" i="4"/>
  <c r="A459" i="4"/>
  <c r="B459" i="4"/>
  <c r="C459" i="4"/>
  <c r="E459" i="4"/>
  <c r="A460" i="4"/>
  <c r="B460" i="4"/>
  <c r="C460" i="4"/>
  <c r="E460" i="4"/>
  <c r="A461" i="4"/>
  <c r="B461" i="4"/>
  <c r="C461" i="4"/>
  <c r="D461" i="4"/>
  <c r="E461" i="4"/>
  <c r="A462" i="4"/>
  <c r="B462" i="4"/>
  <c r="C462" i="4"/>
  <c r="E462" i="4"/>
  <c r="A463" i="4"/>
  <c r="B463" i="4"/>
  <c r="C463" i="4"/>
  <c r="E463" i="4"/>
  <c r="A464" i="4"/>
  <c r="B464" i="4"/>
  <c r="C464" i="4"/>
  <c r="E464" i="4"/>
  <c r="A465" i="4"/>
  <c r="B465" i="4"/>
  <c r="C465" i="4"/>
  <c r="E465" i="4"/>
  <c r="A466" i="4"/>
  <c r="B466" i="4"/>
  <c r="C466" i="4"/>
  <c r="E466" i="4"/>
  <c r="A467" i="4"/>
  <c r="B467" i="4"/>
  <c r="C467" i="4"/>
  <c r="E467" i="4"/>
  <c r="A468" i="4"/>
  <c r="B468" i="4"/>
  <c r="C468" i="4"/>
  <c r="E468" i="4"/>
  <c r="A469" i="4"/>
  <c r="B469" i="4"/>
  <c r="C469" i="4"/>
  <c r="D469" i="4"/>
  <c r="E469" i="4"/>
  <c r="A470" i="4"/>
  <c r="B470" i="4"/>
  <c r="C470" i="4"/>
  <c r="E470" i="4"/>
  <c r="A471" i="4"/>
  <c r="B471" i="4"/>
  <c r="C471" i="4"/>
  <c r="E471" i="4"/>
  <c r="A472" i="4"/>
  <c r="B472" i="4"/>
  <c r="C472" i="4"/>
  <c r="E472" i="4"/>
  <c r="A473" i="4"/>
  <c r="B473" i="4"/>
  <c r="C473" i="4"/>
  <c r="E473" i="4"/>
  <c r="A474" i="4"/>
  <c r="B474" i="4"/>
  <c r="C474" i="4"/>
  <c r="E474" i="4"/>
  <c r="A475" i="4"/>
  <c r="B475" i="4"/>
  <c r="C475" i="4"/>
  <c r="E475" i="4"/>
  <c r="A476" i="4"/>
  <c r="B476" i="4"/>
  <c r="C476" i="4"/>
  <c r="E476" i="4"/>
  <c r="A477" i="4"/>
  <c r="B477" i="4"/>
  <c r="C477" i="4"/>
  <c r="E477" i="4"/>
  <c r="A478" i="4"/>
  <c r="B478" i="4"/>
  <c r="C478" i="4"/>
  <c r="E478" i="4"/>
  <c r="A479" i="4"/>
  <c r="B479" i="4"/>
  <c r="C479" i="4"/>
  <c r="E479" i="4"/>
  <c r="A480" i="4"/>
  <c r="B480" i="4"/>
  <c r="C480" i="4"/>
  <c r="E480" i="4"/>
  <c r="A481" i="4"/>
  <c r="B481" i="4"/>
  <c r="C481" i="4"/>
  <c r="E481" i="4"/>
  <c r="A482" i="4"/>
  <c r="B482" i="4"/>
  <c r="C482" i="4"/>
  <c r="E482" i="4"/>
  <c r="A483" i="4"/>
  <c r="B483" i="4"/>
  <c r="C483" i="4"/>
  <c r="E483" i="4"/>
  <c r="A484" i="4"/>
  <c r="B484" i="4"/>
  <c r="C484" i="4"/>
  <c r="E484" i="4"/>
  <c r="A485" i="4"/>
  <c r="B485" i="4"/>
  <c r="C485" i="4"/>
  <c r="E485" i="4"/>
  <c r="A486" i="4"/>
  <c r="B486" i="4"/>
  <c r="C486" i="4"/>
  <c r="E486" i="4"/>
  <c r="A487" i="4"/>
  <c r="B487" i="4"/>
  <c r="C487" i="4"/>
  <c r="E487" i="4"/>
  <c r="A488" i="4"/>
  <c r="B488" i="4"/>
  <c r="C488" i="4"/>
  <c r="E488" i="4"/>
  <c r="A489" i="4"/>
  <c r="B489" i="4"/>
  <c r="C489" i="4"/>
  <c r="E489" i="4"/>
  <c r="A490" i="4"/>
  <c r="B490" i="4"/>
  <c r="C490" i="4"/>
  <c r="E490" i="4"/>
  <c r="A491" i="4"/>
  <c r="B491" i="4"/>
  <c r="C491" i="4"/>
  <c r="E491" i="4"/>
  <c r="A492" i="4"/>
  <c r="B492" i="4"/>
  <c r="C492" i="4"/>
  <c r="E492" i="4"/>
  <c r="A493" i="4"/>
  <c r="B493" i="4"/>
  <c r="C493" i="4"/>
  <c r="E493" i="4"/>
  <c r="A494" i="4"/>
  <c r="B494" i="4"/>
  <c r="C494" i="4"/>
  <c r="E494" i="4"/>
  <c r="A495" i="4"/>
  <c r="B495" i="4"/>
  <c r="C495" i="4"/>
  <c r="E495" i="4"/>
  <c r="A496" i="4"/>
  <c r="B496" i="4"/>
  <c r="C496" i="4"/>
  <c r="E496" i="4"/>
  <c r="A497" i="4"/>
  <c r="B497" i="4"/>
  <c r="C497" i="4"/>
  <c r="E497" i="4"/>
  <c r="A498" i="4"/>
  <c r="B498" i="4"/>
  <c r="C498" i="4"/>
  <c r="E498" i="4"/>
  <c r="A499" i="4"/>
  <c r="B499" i="4"/>
  <c r="C499" i="4"/>
  <c r="E499" i="4"/>
  <c r="A500" i="4"/>
  <c r="B500" i="4"/>
  <c r="C500" i="4"/>
  <c r="E500" i="4"/>
  <c r="A501" i="4"/>
  <c r="B501" i="4"/>
  <c r="C501" i="4"/>
  <c r="E501" i="4"/>
  <c r="A502" i="4"/>
  <c r="B502" i="4"/>
  <c r="C502" i="4"/>
  <c r="E502" i="4"/>
  <c r="A503" i="4"/>
  <c r="B503" i="4"/>
  <c r="C503" i="4"/>
  <c r="E503" i="4"/>
  <c r="A504" i="4"/>
  <c r="B504" i="4"/>
  <c r="C504" i="4"/>
  <c r="E504" i="4"/>
  <c r="A505" i="4"/>
  <c r="B505" i="4"/>
  <c r="C505" i="4"/>
  <c r="E505" i="4"/>
  <c r="A506" i="4"/>
  <c r="B506" i="4"/>
  <c r="C506" i="4"/>
  <c r="E506" i="4"/>
  <c r="A507" i="4"/>
  <c r="B507" i="4"/>
  <c r="C507" i="4"/>
  <c r="E507" i="4"/>
  <c r="A508" i="4"/>
  <c r="B508" i="4"/>
  <c r="C508" i="4"/>
  <c r="E508" i="4"/>
  <c r="A509" i="4"/>
  <c r="B509" i="4"/>
  <c r="C509" i="4"/>
  <c r="E509" i="4"/>
  <c r="A510" i="4"/>
  <c r="B510" i="4"/>
  <c r="C510" i="4"/>
  <c r="E510" i="4"/>
  <c r="A511" i="4"/>
  <c r="B511" i="4"/>
  <c r="C511" i="4"/>
  <c r="E511" i="4"/>
  <c r="A512" i="4"/>
  <c r="B512" i="4"/>
  <c r="C512" i="4"/>
  <c r="E512" i="4"/>
  <c r="A513" i="4"/>
  <c r="B513" i="4"/>
  <c r="C513" i="4"/>
  <c r="E513" i="4"/>
  <c r="A514" i="4"/>
  <c r="B514" i="4"/>
  <c r="C514" i="4"/>
  <c r="E514" i="4"/>
  <c r="A515" i="4"/>
  <c r="B515" i="4"/>
  <c r="C515" i="4"/>
  <c r="E515" i="4"/>
  <c r="A516" i="4"/>
  <c r="B516" i="4"/>
  <c r="C516" i="4"/>
  <c r="E516" i="4"/>
  <c r="A517" i="4"/>
  <c r="B517" i="4"/>
  <c r="C517" i="4"/>
  <c r="E517" i="4"/>
  <c r="A518" i="4"/>
  <c r="B518" i="4"/>
  <c r="C518" i="4"/>
  <c r="E518" i="4"/>
  <c r="A519" i="4"/>
  <c r="B519" i="4"/>
  <c r="C519" i="4"/>
  <c r="E519" i="4"/>
  <c r="A520" i="4"/>
  <c r="B520" i="4"/>
  <c r="C520" i="4"/>
  <c r="E520" i="4"/>
  <c r="A521" i="4"/>
  <c r="B521" i="4"/>
  <c r="C521" i="4"/>
  <c r="E521" i="4"/>
  <c r="A522" i="4"/>
  <c r="B522" i="4"/>
  <c r="C522" i="4"/>
  <c r="E522" i="4"/>
  <c r="A523" i="4"/>
  <c r="B523" i="4"/>
  <c r="C523" i="4"/>
  <c r="E523" i="4"/>
  <c r="A524" i="4"/>
  <c r="B524" i="4"/>
  <c r="C524" i="4"/>
  <c r="E524" i="4"/>
  <c r="A525" i="4"/>
  <c r="B525" i="4"/>
  <c r="C525" i="4"/>
  <c r="E525" i="4"/>
  <c r="A526" i="4"/>
  <c r="B526" i="4"/>
  <c r="C526" i="4"/>
  <c r="E526" i="4"/>
  <c r="A527" i="4"/>
  <c r="B527" i="4"/>
  <c r="C527" i="4"/>
  <c r="E527" i="4"/>
  <c r="A528" i="4"/>
  <c r="B528" i="4"/>
  <c r="C528" i="4"/>
  <c r="E528" i="4"/>
  <c r="A529" i="4"/>
  <c r="B529" i="4"/>
  <c r="C529" i="4"/>
  <c r="E529" i="4"/>
  <c r="A530" i="4"/>
  <c r="B530" i="4"/>
  <c r="C530" i="4"/>
  <c r="E530" i="4"/>
  <c r="A531" i="4"/>
  <c r="B531" i="4"/>
  <c r="C531" i="4"/>
  <c r="D531" i="4"/>
  <c r="E531" i="4"/>
  <c r="A532" i="4"/>
  <c r="B532" i="4"/>
  <c r="C532" i="4"/>
  <c r="E532" i="4"/>
  <c r="A533" i="4"/>
  <c r="B533" i="4"/>
  <c r="C533" i="4"/>
  <c r="E533" i="4"/>
  <c r="A534" i="4"/>
  <c r="B534" i="4"/>
  <c r="C534" i="4"/>
  <c r="E534" i="4"/>
  <c r="A535" i="4"/>
  <c r="B535" i="4"/>
  <c r="C535" i="4"/>
  <c r="E535" i="4"/>
  <c r="A536" i="4"/>
  <c r="B536" i="4"/>
  <c r="C536" i="4"/>
  <c r="E536" i="4"/>
  <c r="A537" i="4"/>
  <c r="B537" i="4"/>
  <c r="C537" i="4"/>
  <c r="E537" i="4"/>
  <c r="A538" i="4"/>
  <c r="B538" i="4"/>
  <c r="C538" i="4"/>
  <c r="E538" i="4"/>
  <c r="A539" i="4"/>
  <c r="B539" i="4"/>
  <c r="C539" i="4"/>
  <c r="E539" i="4"/>
  <c r="A540" i="4"/>
  <c r="B540" i="4"/>
  <c r="C540" i="4"/>
  <c r="E540" i="4"/>
  <c r="A541" i="4"/>
  <c r="B541" i="4"/>
  <c r="C541" i="4"/>
  <c r="E541" i="4"/>
  <c r="A542" i="4"/>
  <c r="B542" i="4"/>
  <c r="C542" i="4"/>
  <c r="E542" i="4"/>
  <c r="A543" i="4"/>
  <c r="B543" i="4"/>
  <c r="C543" i="4"/>
  <c r="E543" i="4"/>
  <c r="A544" i="4"/>
  <c r="B544" i="4"/>
  <c r="C544" i="4"/>
  <c r="E544" i="4"/>
  <c r="A545" i="4"/>
  <c r="B545" i="4"/>
  <c r="C545" i="4"/>
  <c r="E545" i="4"/>
  <c r="A546" i="4"/>
  <c r="B546" i="4"/>
  <c r="C546" i="4"/>
  <c r="E546" i="4"/>
  <c r="A547" i="4"/>
  <c r="B547" i="4"/>
  <c r="C547" i="4"/>
  <c r="E547" i="4"/>
  <c r="A548" i="4"/>
  <c r="B548" i="4"/>
  <c r="C548" i="4"/>
  <c r="E548" i="4"/>
  <c r="A549" i="4"/>
  <c r="B549" i="4"/>
  <c r="C549" i="4"/>
  <c r="E549" i="4"/>
  <c r="A550" i="4"/>
  <c r="B550" i="4"/>
  <c r="C550" i="4"/>
  <c r="E550" i="4"/>
  <c r="A551" i="4"/>
  <c r="B551" i="4"/>
  <c r="C551" i="4"/>
  <c r="E551" i="4"/>
  <c r="A552" i="4"/>
  <c r="B552" i="4"/>
  <c r="C552" i="4"/>
  <c r="E552" i="4"/>
  <c r="A553" i="4"/>
  <c r="B553" i="4"/>
  <c r="C553" i="4"/>
  <c r="E553" i="4"/>
  <c r="A554" i="4"/>
  <c r="B554" i="4"/>
  <c r="C554" i="4"/>
  <c r="E554" i="4"/>
  <c r="A555" i="4"/>
  <c r="B555" i="4"/>
  <c r="C555" i="4"/>
  <c r="E555" i="4"/>
  <c r="A556" i="4"/>
  <c r="B556" i="4"/>
  <c r="C556" i="4"/>
  <c r="E556" i="4"/>
  <c r="A557" i="4"/>
  <c r="B557" i="4"/>
  <c r="C557" i="4"/>
  <c r="E557" i="4"/>
  <c r="A558" i="4"/>
  <c r="B558" i="4"/>
  <c r="C558" i="4"/>
  <c r="E558" i="4"/>
  <c r="A559" i="4"/>
  <c r="B559" i="4"/>
  <c r="C559" i="4"/>
  <c r="E559" i="4"/>
  <c r="A560" i="4"/>
  <c r="B560" i="4"/>
  <c r="C560" i="4"/>
  <c r="E560" i="4"/>
  <c r="A561" i="4"/>
  <c r="B561" i="4"/>
  <c r="C561" i="4"/>
  <c r="E561" i="4"/>
  <c r="A562" i="4"/>
  <c r="B562" i="4"/>
  <c r="C562" i="4"/>
  <c r="E562" i="4"/>
  <c r="A563" i="4"/>
  <c r="B563" i="4"/>
  <c r="C563" i="4"/>
  <c r="E563" i="4"/>
  <c r="A564" i="4"/>
  <c r="B564" i="4"/>
  <c r="C564" i="4"/>
  <c r="E564" i="4"/>
  <c r="A565" i="4"/>
  <c r="B565" i="4"/>
  <c r="C565" i="4"/>
  <c r="E565" i="4"/>
  <c r="A566" i="4"/>
  <c r="B566" i="4"/>
  <c r="C566" i="4"/>
  <c r="E566" i="4"/>
  <c r="A567" i="4"/>
  <c r="B567" i="4"/>
  <c r="C567" i="4"/>
  <c r="E567" i="4"/>
  <c r="A568" i="4"/>
  <c r="B568" i="4"/>
  <c r="C568" i="4"/>
  <c r="E568" i="4"/>
  <c r="A569" i="4"/>
  <c r="B569" i="4"/>
  <c r="C569" i="4"/>
  <c r="E569" i="4"/>
  <c r="A570" i="4"/>
  <c r="B570" i="4"/>
  <c r="C570" i="4"/>
  <c r="E570" i="4"/>
  <c r="A571" i="4"/>
  <c r="B571" i="4"/>
  <c r="C571" i="4"/>
  <c r="E571" i="4"/>
  <c r="A572" i="4"/>
  <c r="B572" i="4"/>
  <c r="C572" i="4"/>
  <c r="E572" i="4"/>
  <c r="A573" i="4"/>
  <c r="B573" i="4"/>
  <c r="C573" i="4"/>
  <c r="E573" i="4"/>
  <c r="A574" i="4"/>
  <c r="B574" i="4"/>
  <c r="C574" i="4"/>
  <c r="E574" i="4"/>
  <c r="A575" i="4"/>
  <c r="B575" i="4"/>
  <c r="C575" i="4"/>
  <c r="E575" i="4"/>
  <c r="A576" i="4"/>
  <c r="B576" i="4"/>
  <c r="C576" i="4"/>
  <c r="E576" i="4"/>
  <c r="A577" i="4"/>
  <c r="B577" i="4"/>
  <c r="C577" i="4"/>
  <c r="E577" i="4"/>
  <c r="A578" i="4"/>
  <c r="B578" i="4"/>
  <c r="C578" i="4"/>
  <c r="E578" i="4"/>
  <c r="A579" i="4"/>
  <c r="B579" i="4"/>
  <c r="C579" i="4"/>
  <c r="E579" i="4"/>
  <c r="A580" i="4"/>
  <c r="B580" i="4"/>
  <c r="C580" i="4"/>
  <c r="E580" i="4"/>
  <c r="A581" i="4"/>
  <c r="B581" i="4"/>
  <c r="C581" i="4"/>
  <c r="E581" i="4"/>
  <c r="A582" i="4"/>
  <c r="B582" i="4"/>
  <c r="C582" i="4"/>
  <c r="E582" i="4"/>
  <c r="A583" i="4"/>
  <c r="B583" i="4"/>
  <c r="C583" i="4"/>
  <c r="E583" i="4"/>
  <c r="A584" i="4"/>
  <c r="B584" i="4"/>
  <c r="C584" i="4"/>
  <c r="E584" i="4"/>
  <c r="A585" i="4"/>
  <c r="B585" i="4"/>
  <c r="C585" i="4"/>
  <c r="E585" i="4"/>
  <c r="A586" i="4"/>
  <c r="B586" i="4"/>
  <c r="C586" i="4"/>
  <c r="E586" i="4"/>
  <c r="A587" i="4"/>
  <c r="B587" i="4"/>
  <c r="C587" i="4"/>
  <c r="E587" i="4"/>
  <c r="A588" i="4"/>
  <c r="B588" i="4"/>
  <c r="C588" i="4"/>
  <c r="E588" i="4"/>
  <c r="A589" i="4"/>
  <c r="B589" i="4"/>
  <c r="C589" i="4"/>
  <c r="E589" i="4"/>
  <c r="A590" i="4"/>
  <c r="B590" i="4"/>
  <c r="C590" i="4"/>
  <c r="E590" i="4"/>
  <c r="A591" i="4"/>
  <c r="B591" i="4"/>
  <c r="C591" i="4"/>
  <c r="E591" i="4"/>
  <c r="A592" i="4"/>
  <c r="B592" i="4"/>
  <c r="C592" i="4"/>
  <c r="E592" i="4"/>
  <c r="A593" i="4"/>
  <c r="B593" i="4"/>
  <c r="C593" i="4"/>
  <c r="E593" i="4"/>
  <c r="A594" i="4"/>
  <c r="B594" i="4"/>
  <c r="C594" i="4"/>
  <c r="E594" i="4"/>
  <c r="A595" i="4"/>
  <c r="B595" i="4"/>
  <c r="C595" i="4"/>
  <c r="E595" i="4"/>
  <c r="A596" i="4"/>
  <c r="B596" i="4"/>
  <c r="C596" i="4"/>
  <c r="E596" i="4"/>
  <c r="A597" i="4"/>
  <c r="B597" i="4"/>
  <c r="C597" i="4"/>
  <c r="E597" i="4"/>
  <c r="A598" i="4"/>
  <c r="B598" i="4"/>
  <c r="C598" i="4"/>
  <c r="E598" i="4"/>
  <c r="A599" i="4"/>
  <c r="B599" i="4"/>
  <c r="C599" i="4"/>
  <c r="E599" i="4"/>
  <c r="A600" i="4"/>
  <c r="B600" i="4"/>
  <c r="C600" i="4"/>
  <c r="E600" i="4"/>
  <c r="A601" i="4"/>
  <c r="B601" i="4"/>
  <c r="C601" i="4"/>
  <c r="E601" i="4"/>
  <c r="A602" i="4"/>
  <c r="B602" i="4"/>
  <c r="C602" i="4"/>
  <c r="E602" i="4"/>
  <c r="A603" i="4"/>
  <c r="B603" i="4"/>
  <c r="C603" i="4"/>
  <c r="E603" i="4"/>
  <c r="A604" i="4"/>
  <c r="B604" i="4"/>
  <c r="C604" i="4"/>
  <c r="E604" i="4"/>
  <c r="A605" i="4"/>
  <c r="B605" i="4"/>
  <c r="C605" i="4"/>
  <c r="E605" i="4"/>
  <c r="A606" i="4"/>
  <c r="B606" i="4"/>
  <c r="C606" i="4"/>
  <c r="E606" i="4"/>
  <c r="A607" i="4"/>
  <c r="B607" i="4"/>
  <c r="C607" i="4"/>
  <c r="E607" i="4"/>
  <c r="A608" i="4"/>
  <c r="B608" i="4"/>
  <c r="C608" i="4"/>
  <c r="E608" i="4"/>
  <c r="A609" i="4"/>
  <c r="B609" i="4"/>
  <c r="C609" i="4"/>
  <c r="E609" i="4"/>
  <c r="A610" i="4"/>
  <c r="B610" i="4"/>
  <c r="C610" i="4"/>
  <c r="E610" i="4"/>
  <c r="A611" i="4"/>
  <c r="B611" i="4"/>
  <c r="C611" i="4"/>
  <c r="E611" i="4"/>
  <c r="A612" i="4"/>
  <c r="B612" i="4"/>
  <c r="C612" i="4"/>
  <c r="E612" i="4"/>
  <c r="A613" i="4"/>
  <c r="B613" i="4"/>
  <c r="C613" i="4"/>
  <c r="E613" i="4"/>
  <c r="A614" i="4"/>
  <c r="B614" i="4"/>
  <c r="C614" i="4"/>
  <c r="E614" i="4"/>
  <c r="A615" i="4"/>
  <c r="B615" i="4"/>
  <c r="C615" i="4"/>
  <c r="E615" i="4"/>
  <c r="A616" i="4"/>
  <c r="B616" i="4"/>
  <c r="C616" i="4"/>
  <c r="E616" i="4"/>
  <c r="A617" i="4"/>
  <c r="B617" i="4"/>
  <c r="C617" i="4"/>
  <c r="E617" i="4"/>
  <c r="A618" i="4"/>
  <c r="B618" i="4"/>
  <c r="C618" i="4"/>
  <c r="E618" i="4"/>
  <c r="A619" i="4"/>
  <c r="B619" i="4"/>
  <c r="C619" i="4"/>
  <c r="E619" i="4"/>
  <c r="A620" i="4"/>
  <c r="B620" i="4"/>
  <c r="C620" i="4"/>
  <c r="E620" i="4"/>
  <c r="A621" i="4"/>
  <c r="B621" i="4"/>
  <c r="C621" i="4"/>
  <c r="E621" i="4"/>
  <c r="A622" i="4"/>
  <c r="B622" i="4"/>
  <c r="C622" i="4"/>
  <c r="E622" i="4"/>
  <c r="A623" i="4"/>
  <c r="B623" i="4"/>
  <c r="C623" i="4"/>
  <c r="E623" i="4"/>
  <c r="A624" i="4"/>
  <c r="B624" i="4"/>
  <c r="C624" i="4"/>
  <c r="E624" i="4"/>
  <c r="A625" i="4"/>
  <c r="B625" i="4"/>
  <c r="C625" i="4"/>
  <c r="E625" i="4"/>
  <c r="A626" i="4"/>
  <c r="B626" i="4"/>
  <c r="C626" i="4"/>
  <c r="E626" i="4"/>
  <c r="A627" i="4"/>
  <c r="B627" i="4"/>
  <c r="C627" i="4"/>
  <c r="E627" i="4"/>
  <c r="A628" i="4"/>
  <c r="B628" i="4"/>
  <c r="C628" i="4"/>
  <c r="E628" i="4"/>
  <c r="A629" i="4"/>
  <c r="B629" i="4"/>
  <c r="C629" i="4"/>
  <c r="E629" i="4"/>
  <c r="A630" i="4"/>
  <c r="B630" i="4"/>
  <c r="C630" i="4"/>
  <c r="E630" i="4"/>
  <c r="A631" i="4"/>
  <c r="B631" i="4"/>
  <c r="C631" i="4"/>
  <c r="E631" i="4"/>
  <c r="A632" i="4"/>
  <c r="B632" i="4"/>
  <c r="C632" i="4"/>
  <c r="E632" i="4"/>
  <c r="A633" i="4"/>
  <c r="B633" i="4"/>
  <c r="C633" i="4"/>
  <c r="E633" i="4"/>
  <c r="A634" i="4"/>
  <c r="B634" i="4"/>
  <c r="C634" i="4"/>
  <c r="E634" i="4"/>
  <c r="A635" i="4"/>
  <c r="B635" i="4"/>
  <c r="C635" i="4"/>
  <c r="E635" i="4"/>
  <c r="A636" i="4"/>
  <c r="B636" i="4"/>
  <c r="C636" i="4"/>
  <c r="E636" i="4"/>
  <c r="A637" i="4"/>
  <c r="B637" i="4"/>
  <c r="C637" i="4"/>
  <c r="E637" i="4"/>
  <c r="A638" i="4"/>
  <c r="B638" i="4"/>
  <c r="C638" i="4"/>
  <c r="E638" i="4"/>
  <c r="A639" i="4"/>
  <c r="B639" i="4"/>
  <c r="C639" i="4"/>
  <c r="E639" i="4"/>
  <c r="A640" i="4"/>
  <c r="B640" i="4"/>
  <c r="C640" i="4"/>
  <c r="E640" i="4"/>
  <c r="A641" i="4"/>
  <c r="B641" i="4"/>
  <c r="C641" i="4"/>
  <c r="E641" i="4"/>
  <c r="A642" i="4"/>
  <c r="B642" i="4"/>
  <c r="C642" i="4"/>
  <c r="E642" i="4"/>
  <c r="A643" i="4"/>
  <c r="B643" i="4"/>
  <c r="C643" i="4"/>
  <c r="E643" i="4"/>
  <c r="A644" i="4"/>
  <c r="B644" i="4"/>
  <c r="C644" i="4"/>
  <c r="E644" i="4"/>
  <c r="A645" i="4"/>
  <c r="B645" i="4"/>
  <c r="C645" i="4"/>
  <c r="E645" i="4"/>
  <c r="A646" i="4"/>
  <c r="B646" i="4"/>
  <c r="C646" i="4"/>
  <c r="E646" i="4"/>
  <c r="A647" i="4"/>
  <c r="B647" i="4"/>
  <c r="C647" i="4"/>
  <c r="E647" i="4"/>
  <c r="A648" i="4"/>
  <c r="B648" i="4"/>
  <c r="C648" i="4"/>
  <c r="E648" i="4"/>
  <c r="A649" i="4"/>
  <c r="B649" i="4"/>
  <c r="C649" i="4"/>
  <c r="E649" i="4"/>
  <c r="A650" i="4"/>
  <c r="B650" i="4"/>
  <c r="C650" i="4"/>
  <c r="E650" i="4"/>
  <c r="A651" i="4"/>
  <c r="B651" i="4"/>
  <c r="C651" i="4"/>
  <c r="E651" i="4"/>
  <c r="A652" i="4"/>
  <c r="B652" i="4"/>
  <c r="C652" i="4"/>
  <c r="E652" i="4"/>
  <c r="A653" i="4"/>
  <c r="B653" i="4"/>
  <c r="C653" i="4"/>
  <c r="E653" i="4"/>
  <c r="A654" i="4"/>
  <c r="B654" i="4"/>
  <c r="C654" i="4"/>
  <c r="E654" i="4"/>
  <c r="A655" i="4"/>
  <c r="B655" i="4"/>
  <c r="C655" i="4"/>
  <c r="E655" i="4"/>
  <c r="A657" i="4"/>
  <c r="B657" i="4"/>
  <c r="C657" i="4"/>
  <c r="E657" i="4"/>
  <c r="A658" i="4"/>
  <c r="B658" i="4"/>
  <c r="C658" i="4"/>
  <c r="E658" i="4"/>
  <c r="A659" i="4"/>
  <c r="B659" i="4"/>
  <c r="C659" i="4"/>
  <c r="E659" i="4"/>
  <c r="A660" i="4"/>
  <c r="B660" i="4"/>
  <c r="C660" i="4"/>
  <c r="E660" i="4"/>
  <c r="A661" i="4"/>
  <c r="B661" i="4"/>
  <c r="C661" i="4"/>
  <c r="E661" i="4"/>
  <c r="A662" i="4"/>
  <c r="B662" i="4"/>
  <c r="C662" i="4"/>
  <c r="E662" i="4"/>
  <c r="A663" i="4"/>
  <c r="B663" i="4"/>
  <c r="C663" i="4"/>
  <c r="E663" i="4"/>
  <c r="A664" i="4"/>
  <c r="B664" i="4"/>
  <c r="C664" i="4"/>
  <c r="E664" i="4"/>
  <c r="A665" i="4"/>
  <c r="B665" i="4"/>
  <c r="C665" i="4"/>
  <c r="E665" i="4"/>
  <c r="A666" i="4"/>
  <c r="B666" i="4"/>
  <c r="C666" i="4"/>
  <c r="E666" i="4"/>
  <c r="A667" i="4"/>
  <c r="B667" i="4"/>
  <c r="C667" i="4"/>
  <c r="E667" i="4"/>
  <c r="A668" i="4"/>
  <c r="B668" i="4"/>
  <c r="C668" i="4"/>
  <c r="E668" i="4"/>
  <c r="A669" i="4"/>
  <c r="B669" i="4"/>
  <c r="C669" i="4"/>
  <c r="E669" i="4"/>
  <c r="A670" i="4"/>
  <c r="B670" i="4"/>
  <c r="C670" i="4"/>
  <c r="E670" i="4"/>
  <c r="A671" i="4"/>
  <c r="B671" i="4"/>
  <c r="C671" i="4"/>
  <c r="E671" i="4"/>
  <c r="A672" i="4"/>
  <c r="B672" i="4"/>
  <c r="C672" i="4"/>
  <c r="E672" i="4"/>
  <c r="A673" i="4"/>
  <c r="B673" i="4"/>
  <c r="C673" i="4"/>
  <c r="E673" i="4"/>
  <c r="A674" i="4"/>
  <c r="B674" i="4"/>
  <c r="C674" i="4"/>
  <c r="E674" i="4"/>
  <c r="A675" i="4"/>
  <c r="B675" i="4"/>
  <c r="C675" i="4"/>
  <c r="E675" i="4"/>
  <c r="A676" i="4"/>
  <c r="B676" i="4"/>
  <c r="C676" i="4"/>
  <c r="E676" i="4"/>
  <c r="A677" i="4"/>
  <c r="B677" i="4"/>
  <c r="C677" i="4"/>
  <c r="E677" i="4"/>
  <c r="A678" i="4"/>
  <c r="B678" i="4"/>
  <c r="C678" i="4"/>
  <c r="E678" i="4"/>
  <c r="A679" i="4"/>
  <c r="B679" i="4"/>
  <c r="C679" i="4"/>
  <c r="E679" i="4"/>
  <c r="A680" i="4"/>
  <c r="B680" i="4"/>
  <c r="C680" i="4"/>
  <c r="E680" i="4"/>
  <c r="A681" i="4"/>
  <c r="B681" i="4"/>
  <c r="C681" i="4"/>
  <c r="E681" i="4"/>
  <c r="A682" i="4"/>
  <c r="B682" i="4"/>
  <c r="C682" i="4"/>
  <c r="E682" i="4"/>
  <c r="A683" i="4"/>
  <c r="B683" i="4"/>
  <c r="C683" i="4"/>
  <c r="E683" i="4"/>
  <c r="A684" i="4"/>
  <c r="B684" i="4"/>
  <c r="C684" i="4"/>
  <c r="E684" i="4"/>
  <c r="A685" i="4"/>
  <c r="B685" i="4"/>
  <c r="C685" i="4"/>
  <c r="E685" i="4"/>
  <c r="A686" i="4"/>
  <c r="B686" i="4"/>
  <c r="C686" i="4"/>
  <c r="E686" i="4"/>
  <c r="A687" i="4"/>
  <c r="B687" i="4"/>
  <c r="C687" i="4"/>
  <c r="E687" i="4"/>
  <c r="A688" i="4"/>
  <c r="B688" i="4"/>
  <c r="C688" i="4"/>
  <c r="E688" i="4"/>
  <c r="A689" i="4"/>
  <c r="B689" i="4"/>
  <c r="C689" i="4"/>
  <c r="E689" i="4"/>
  <c r="A690" i="4"/>
  <c r="B690" i="4"/>
  <c r="C690" i="4"/>
  <c r="E690" i="4"/>
  <c r="A691" i="4"/>
  <c r="B691" i="4"/>
  <c r="C691" i="4"/>
  <c r="E691" i="4"/>
  <c r="A692" i="4"/>
  <c r="B692" i="4"/>
  <c r="C692" i="4"/>
  <c r="E692" i="4"/>
  <c r="A693" i="4"/>
  <c r="B693" i="4"/>
  <c r="C693" i="4"/>
  <c r="E693" i="4"/>
  <c r="A694" i="4"/>
  <c r="B694" i="4"/>
  <c r="C694" i="4"/>
  <c r="E694" i="4"/>
  <c r="A695" i="4"/>
  <c r="B695" i="4"/>
  <c r="C695" i="4"/>
  <c r="E695" i="4"/>
  <c r="A696" i="4"/>
  <c r="B696" i="4"/>
  <c r="C696" i="4"/>
  <c r="E696" i="4"/>
  <c r="A697" i="4"/>
  <c r="B697" i="4"/>
  <c r="C697" i="4"/>
  <c r="E697" i="4"/>
  <c r="A698" i="4"/>
  <c r="B698" i="4"/>
  <c r="C698" i="4"/>
  <c r="E698" i="4"/>
  <c r="A699" i="4"/>
  <c r="B699" i="4"/>
  <c r="C699" i="4"/>
  <c r="E699" i="4"/>
  <c r="A700" i="4"/>
  <c r="B700" i="4"/>
  <c r="C700" i="4"/>
  <c r="A702" i="4"/>
  <c r="B702" i="4"/>
  <c r="C702" i="4"/>
  <c r="E702" i="4"/>
  <c r="A703" i="4"/>
  <c r="B703" i="4"/>
  <c r="C703" i="4"/>
  <c r="E703" i="4"/>
  <c r="A704" i="4"/>
  <c r="B704" i="4"/>
  <c r="C704" i="4"/>
  <c r="E704" i="4"/>
  <c r="A705" i="4"/>
  <c r="B705" i="4"/>
  <c r="C705" i="4"/>
  <c r="E705" i="4"/>
  <c r="A706" i="4"/>
  <c r="B706" i="4"/>
  <c r="C706" i="4"/>
  <c r="E706" i="4"/>
  <c r="A707" i="4"/>
  <c r="B707" i="4"/>
  <c r="C707" i="4"/>
  <c r="E707" i="4"/>
  <c r="A708" i="4"/>
  <c r="B708" i="4"/>
  <c r="C708" i="4"/>
  <c r="E708" i="4"/>
  <c r="A709" i="4"/>
  <c r="B709" i="4"/>
  <c r="C709" i="4"/>
  <c r="E709" i="4"/>
  <c r="A710" i="4"/>
  <c r="B710" i="4"/>
  <c r="C710" i="4"/>
  <c r="E710" i="4"/>
  <c r="A711" i="4"/>
  <c r="B711" i="4"/>
  <c r="C711" i="4"/>
  <c r="E711" i="4"/>
  <c r="A3" i="4"/>
  <c r="B3" i="4"/>
  <c r="C3" i="4"/>
  <c r="E3" i="4"/>
  <c r="A4" i="4"/>
  <c r="B4" i="4"/>
  <c r="C4" i="4"/>
  <c r="E4" i="4"/>
  <c r="A5" i="4"/>
  <c r="B5" i="4"/>
  <c r="C5" i="4"/>
  <c r="E5" i="4"/>
  <c r="A6" i="4"/>
  <c r="B6" i="4"/>
  <c r="C6" i="4"/>
  <c r="E6" i="4"/>
  <c r="A7" i="4"/>
  <c r="B7" i="4"/>
  <c r="C7" i="4"/>
  <c r="E7" i="4"/>
  <c r="A8" i="4"/>
  <c r="B8" i="4"/>
  <c r="C8" i="4"/>
  <c r="E8" i="4"/>
  <c r="A9" i="4"/>
  <c r="B9" i="4"/>
  <c r="C9" i="4"/>
  <c r="E9" i="4"/>
  <c r="A10" i="4"/>
  <c r="B10" i="4"/>
  <c r="C10" i="4"/>
  <c r="E10" i="4"/>
  <c r="A11" i="4"/>
  <c r="B11" i="4"/>
  <c r="C11" i="4"/>
  <c r="E11" i="4"/>
  <c r="A12" i="4"/>
  <c r="B12" i="4"/>
  <c r="C12" i="4"/>
  <c r="E12" i="4"/>
  <c r="A13" i="4"/>
  <c r="B13" i="4"/>
  <c r="C13" i="4"/>
  <c r="E13" i="4"/>
  <c r="A14" i="4"/>
  <c r="B14" i="4"/>
  <c r="C14" i="4"/>
  <c r="E14" i="4"/>
  <c r="A15" i="4"/>
  <c r="B15" i="4"/>
  <c r="C15" i="4"/>
  <c r="E15" i="4"/>
  <c r="A16" i="4"/>
  <c r="B16" i="4"/>
  <c r="C16" i="4"/>
  <c r="E16" i="4"/>
  <c r="A17" i="4"/>
  <c r="B17" i="4"/>
  <c r="C17" i="4"/>
  <c r="E17" i="4"/>
  <c r="A18" i="4"/>
  <c r="B18" i="4"/>
  <c r="C18" i="4"/>
  <c r="E18" i="4"/>
  <c r="A19" i="4"/>
  <c r="B19" i="4"/>
  <c r="C19" i="4"/>
  <c r="E19" i="4"/>
  <c r="A20" i="4"/>
  <c r="B20" i="4"/>
  <c r="C20" i="4"/>
  <c r="E20" i="4"/>
  <c r="A21" i="4"/>
  <c r="B21" i="4"/>
  <c r="C21" i="4"/>
  <c r="E21" i="4"/>
  <c r="A22" i="4"/>
  <c r="B22" i="4"/>
  <c r="C22" i="4"/>
  <c r="E22" i="4"/>
  <c r="A23" i="4"/>
  <c r="B23" i="4"/>
  <c r="C23" i="4"/>
  <c r="E23" i="4"/>
  <c r="A24" i="4"/>
  <c r="B24" i="4"/>
  <c r="C24" i="4"/>
  <c r="E24" i="4"/>
  <c r="A25" i="4"/>
  <c r="B25" i="4"/>
  <c r="C25" i="4"/>
  <c r="E25" i="4"/>
  <c r="A26" i="4"/>
  <c r="B26" i="4"/>
  <c r="C26" i="4"/>
  <c r="E26" i="4"/>
  <c r="A27" i="4"/>
  <c r="B27" i="4"/>
  <c r="C27" i="4"/>
  <c r="E27" i="4"/>
  <c r="A28" i="4"/>
  <c r="B28" i="4"/>
  <c r="C28" i="4"/>
  <c r="E28" i="4"/>
  <c r="A29" i="4"/>
  <c r="B29" i="4"/>
  <c r="C29" i="4"/>
  <c r="E29" i="4"/>
  <c r="A30" i="4"/>
  <c r="B30" i="4"/>
  <c r="C30" i="4"/>
  <c r="E30" i="4"/>
  <c r="A31" i="4"/>
  <c r="B31" i="4"/>
  <c r="C31" i="4"/>
  <c r="E31" i="4"/>
  <c r="A32" i="4"/>
  <c r="B32" i="4"/>
  <c r="C32" i="4"/>
  <c r="E32" i="4"/>
  <c r="A33" i="4"/>
  <c r="B33" i="4"/>
  <c r="C33" i="4"/>
  <c r="E33" i="4"/>
  <c r="A34" i="4"/>
  <c r="B34" i="4"/>
  <c r="C34" i="4"/>
  <c r="E34" i="4"/>
  <c r="A35" i="4"/>
  <c r="B35" i="4"/>
  <c r="C35" i="4"/>
  <c r="E35" i="4"/>
  <c r="A36" i="4"/>
  <c r="B36" i="4"/>
  <c r="C36" i="4"/>
  <c r="E36" i="4"/>
  <c r="A37" i="4"/>
  <c r="B37" i="4"/>
  <c r="C37" i="4"/>
  <c r="E37" i="4"/>
  <c r="A38" i="4"/>
  <c r="B38" i="4"/>
  <c r="C38" i="4"/>
  <c r="E38" i="4"/>
  <c r="A39" i="4"/>
  <c r="B39" i="4"/>
  <c r="C39" i="4"/>
  <c r="E39" i="4"/>
  <c r="A40" i="4"/>
  <c r="B40" i="4"/>
  <c r="C40" i="4"/>
  <c r="E40" i="4"/>
  <c r="A41" i="4"/>
  <c r="B41" i="4"/>
  <c r="C41" i="4"/>
  <c r="E41" i="4"/>
  <c r="A42" i="4"/>
  <c r="B42" i="4"/>
  <c r="C42" i="4"/>
  <c r="E42" i="4"/>
  <c r="A43" i="4"/>
  <c r="B43" i="4"/>
  <c r="C43" i="4"/>
  <c r="E43" i="4"/>
  <c r="A44" i="4"/>
  <c r="B44" i="4"/>
  <c r="C44" i="4"/>
  <c r="E44" i="4"/>
  <c r="A45" i="4"/>
  <c r="B45" i="4"/>
  <c r="C45" i="4"/>
  <c r="E45" i="4"/>
  <c r="A46" i="4"/>
  <c r="B46" i="4"/>
  <c r="C46" i="4"/>
  <c r="E46" i="4"/>
  <c r="A47" i="4"/>
  <c r="B47" i="4"/>
  <c r="C47" i="4"/>
  <c r="E47" i="4"/>
  <c r="A48" i="4"/>
  <c r="B48" i="4"/>
  <c r="C48" i="4"/>
  <c r="E48" i="4"/>
  <c r="A49" i="4"/>
  <c r="B49" i="4"/>
  <c r="C49" i="4"/>
  <c r="E49" i="4"/>
  <c r="A50" i="4"/>
  <c r="B50" i="4"/>
  <c r="C50" i="4"/>
  <c r="E50" i="4"/>
  <c r="A51" i="4"/>
  <c r="B51" i="4"/>
  <c r="C51" i="4"/>
  <c r="E51" i="4"/>
  <c r="A52" i="4"/>
  <c r="B52" i="4"/>
  <c r="C52" i="4"/>
  <c r="E52" i="4"/>
  <c r="A53" i="4"/>
  <c r="B53" i="4"/>
  <c r="C53" i="4"/>
  <c r="E53" i="4"/>
  <c r="A54" i="4"/>
  <c r="B54" i="4"/>
  <c r="C54" i="4"/>
  <c r="E54" i="4"/>
  <c r="A55" i="4"/>
  <c r="B55" i="4"/>
  <c r="C55" i="4"/>
  <c r="E55" i="4"/>
  <c r="A56" i="4"/>
  <c r="B56" i="4"/>
  <c r="C56" i="4"/>
  <c r="E56" i="4"/>
  <c r="A57" i="4"/>
  <c r="B57" i="4"/>
  <c r="C57" i="4"/>
  <c r="E57" i="4"/>
  <c r="A58" i="4"/>
  <c r="B58" i="4"/>
  <c r="C58" i="4"/>
  <c r="E58" i="4"/>
  <c r="A59" i="4"/>
  <c r="B59" i="4"/>
  <c r="C59" i="4"/>
  <c r="E59" i="4"/>
  <c r="A60" i="4"/>
  <c r="B60" i="4"/>
  <c r="C60" i="4"/>
  <c r="E60" i="4"/>
  <c r="A61" i="4"/>
  <c r="B61" i="4"/>
  <c r="C61" i="4"/>
  <c r="E61" i="4"/>
  <c r="A62" i="4"/>
  <c r="B62" i="4"/>
  <c r="C62" i="4"/>
  <c r="E62" i="4"/>
  <c r="A63" i="4"/>
  <c r="B63" i="4"/>
  <c r="C63" i="4"/>
  <c r="E63" i="4"/>
  <c r="A64" i="4"/>
  <c r="B64" i="4"/>
  <c r="C64" i="4"/>
  <c r="E64" i="4"/>
  <c r="A65" i="4"/>
  <c r="B65" i="4"/>
  <c r="C65" i="4"/>
  <c r="E65" i="4"/>
  <c r="A66" i="4"/>
  <c r="B66" i="4"/>
  <c r="C66" i="4"/>
  <c r="E66" i="4"/>
  <c r="A67" i="4"/>
  <c r="B67" i="4"/>
  <c r="C67" i="4"/>
  <c r="E67" i="4"/>
  <c r="A68" i="4"/>
  <c r="B68" i="4"/>
  <c r="C68" i="4"/>
  <c r="E68" i="4"/>
  <c r="A69" i="4"/>
  <c r="B69" i="4"/>
  <c r="C69" i="4"/>
  <c r="E69" i="4"/>
  <c r="A70" i="4"/>
  <c r="B70" i="4"/>
  <c r="C70" i="4"/>
  <c r="E70" i="4"/>
  <c r="A71" i="4"/>
  <c r="B71" i="4"/>
  <c r="C71" i="4"/>
  <c r="E71" i="4"/>
  <c r="A72" i="4"/>
  <c r="B72" i="4"/>
  <c r="C72" i="4"/>
  <c r="E72" i="4"/>
  <c r="A73" i="4"/>
  <c r="B73" i="4"/>
  <c r="C73" i="4"/>
  <c r="E73" i="4"/>
  <c r="A74" i="4"/>
  <c r="B74" i="4"/>
  <c r="C74" i="4"/>
  <c r="E74" i="4"/>
  <c r="A75" i="4"/>
  <c r="B75" i="4"/>
  <c r="C75" i="4"/>
  <c r="E75" i="4"/>
  <c r="A76" i="4"/>
  <c r="B76" i="4"/>
  <c r="C76" i="4"/>
  <c r="E76" i="4"/>
  <c r="A77" i="4"/>
  <c r="B77" i="4"/>
  <c r="C77" i="4"/>
  <c r="E77" i="4"/>
  <c r="A78" i="4"/>
  <c r="B78" i="4"/>
  <c r="C78" i="4"/>
  <c r="E78" i="4"/>
  <c r="A79" i="4"/>
  <c r="B79" i="4"/>
  <c r="C79" i="4"/>
  <c r="E79" i="4"/>
  <c r="A80" i="4"/>
  <c r="B80" i="4"/>
  <c r="C80" i="4"/>
  <c r="E80" i="4"/>
  <c r="A81" i="4"/>
  <c r="B81" i="4"/>
  <c r="C81" i="4"/>
  <c r="E81" i="4"/>
  <c r="A82" i="4"/>
  <c r="B82" i="4"/>
  <c r="C82" i="4"/>
  <c r="E82" i="4"/>
  <c r="A83" i="4"/>
  <c r="B83" i="4"/>
  <c r="C83" i="4"/>
  <c r="E83" i="4"/>
  <c r="A84" i="4"/>
  <c r="B84" i="4"/>
  <c r="C84" i="4"/>
  <c r="E84" i="4"/>
  <c r="A85" i="4"/>
  <c r="B85" i="4"/>
  <c r="C85" i="4"/>
  <c r="E85" i="4"/>
  <c r="A86" i="4"/>
  <c r="B86" i="4"/>
  <c r="C86" i="4"/>
  <c r="E86" i="4"/>
  <c r="A87" i="4"/>
  <c r="B87" i="4"/>
  <c r="C87" i="4"/>
  <c r="E87" i="4"/>
  <c r="A88" i="4"/>
  <c r="B88" i="4"/>
  <c r="C88" i="4"/>
  <c r="E88" i="4"/>
  <c r="A89" i="4"/>
  <c r="B89" i="4"/>
  <c r="C89" i="4"/>
  <c r="E89" i="4"/>
  <c r="A90" i="4"/>
  <c r="B90" i="4"/>
  <c r="C90" i="4"/>
  <c r="E90" i="4"/>
  <c r="A91" i="4"/>
  <c r="B91" i="4"/>
  <c r="C91" i="4"/>
  <c r="E91" i="4"/>
  <c r="A92" i="4"/>
  <c r="B92" i="4"/>
  <c r="C92" i="4"/>
  <c r="E92" i="4"/>
  <c r="A93" i="4"/>
  <c r="B93" i="4"/>
  <c r="C93" i="4"/>
  <c r="E93" i="4"/>
  <c r="A94" i="4"/>
  <c r="B94" i="4"/>
  <c r="C94" i="4"/>
  <c r="E94" i="4"/>
  <c r="A95" i="4"/>
  <c r="B95" i="4"/>
  <c r="C95" i="4"/>
  <c r="E95" i="4"/>
  <c r="A96" i="4"/>
  <c r="B96" i="4"/>
  <c r="C96" i="4"/>
  <c r="E96" i="4"/>
  <c r="A97" i="4"/>
  <c r="B97" i="4"/>
  <c r="C97" i="4"/>
  <c r="E97" i="4"/>
  <c r="A98" i="4"/>
  <c r="B98" i="4"/>
  <c r="C98" i="4"/>
  <c r="E98" i="4"/>
  <c r="A99" i="4"/>
  <c r="B99" i="4"/>
  <c r="C99" i="4"/>
  <c r="D99" i="4"/>
  <c r="E99" i="4"/>
  <c r="A100" i="4"/>
  <c r="B100" i="4"/>
  <c r="C100" i="4"/>
  <c r="D100" i="4"/>
  <c r="E100" i="4"/>
  <c r="A101" i="4"/>
  <c r="B101" i="4"/>
  <c r="C101" i="4"/>
  <c r="D101" i="4"/>
  <c r="E101" i="4"/>
  <c r="A102" i="4"/>
  <c r="B102" i="4"/>
  <c r="C102" i="4"/>
  <c r="D102" i="4"/>
  <c r="E102" i="4"/>
  <c r="A103" i="4"/>
  <c r="B103" i="4"/>
  <c r="C103" i="4"/>
  <c r="E103" i="4"/>
  <c r="A104" i="4"/>
  <c r="B104" i="4"/>
  <c r="C104" i="4"/>
  <c r="E104" i="4"/>
  <c r="A105" i="4"/>
  <c r="B105" i="4"/>
  <c r="C105" i="4"/>
  <c r="E105" i="4"/>
  <c r="A106" i="4"/>
  <c r="B106" i="4"/>
  <c r="C106" i="4"/>
  <c r="E106" i="4"/>
  <c r="A107" i="4"/>
  <c r="B107" i="4"/>
  <c r="C107" i="4"/>
  <c r="E107" i="4"/>
  <c r="A108" i="4"/>
  <c r="B108" i="4"/>
  <c r="C108" i="4"/>
  <c r="E108" i="4"/>
  <c r="A109" i="4"/>
  <c r="B109" i="4"/>
  <c r="C109" i="4"/>
  <c r="E109" i="4"/>
  <c r="A110" i="4"/>
  <c r="B110" i="4"/>
  <c r="C110" i="4"/>
  <c r="E110" i="4"/>
  <c r="A111" i="4"/>
  <c r="B111" i="4"/>
  <c r="C111" i="4"/>
  <c r="E111" i="4"/>
  <c r="A112" i="4"/>
  <c r="B112" i="4"/>
  <c r="C112" i="4"/>
  <c r="E112" i="4"/>
  <c r="A113" i="4"/>
  <c r="B113" i="4"/>
  <c r="C113" i="4"/>
  <c r="E113" i="4"/>
  <c r="A114" i="4"/>
  <c r="B114" i="4"/>
  <c r="C114" i="4"/>
  <c r="E114" i="4"/>
  <c r="A115" i="4"/>
  <c r="B115" i="4"/>
  <c r="C115" i="4"/>
  <c r="E115" i="4"/>
  <c r="A116" i="4"/>
  <c r="B116" i="4"/>
  <c r="C116" i="4"/>
  <c r="E116" i="4"/>
  <c r="A117" i="4"/>
  <c r="B117" i="4"/>
  <c r="C117" i="4"/>
  <c r="E117" i="4"/>
  <c r="A118" i="4"/>
  <c r="B118" i="4"/>
  <c r="C118" i="4"/>
  <c r="E118" i="4"/>
  <c r="A119" i="4"/>
  <c r="B119" i="4"/>
  <c r="C119" i="4"/>
  <c r="E119" i="4"/>
  <c r="A120" i="4"/>
  <c r="B120" i="4"/>
  <c r="C120" i="4"/>
  <c r="E120" i="4"/>
  <c r="A121" i="4"/>
  <c r="B121" i="4"/>
  <c r="C121" i="4"/>
  <c r="E121" i="4"/>
  <c r="A122" i="4"/>
  <c r="B122" i="4"/>
  <c r="C122" i="4"/>
  <c r="E122" i="4"/>
  <c r="A123" i="4"/>
  <c r="B123" i="4"/>
  <c r="C123" i="4"/>
  <c r="E123" i="4"/>
  <c r="A124" i="4"/>
  <c r="B124" i="4"/>
  <c r="C124" i="4"/>
  <c r="E124" i="4"/>
  <c r="A125" i="4"/>
  <c r="B125" i="4"/>
  <c r="C125" i="4"/>
  <c r="E125" i="4"/>
  <c r="A126" i="4"/>
  <c r="B126" i="4"/>
  <c r="C126" i="4"/>
  <c r="E126" i="4"/>
  <c r="A127" i="4"/>
  <c r="B127" i="4"/>
  <c r="C127" i="4"/>
  <c r="E127" i="4"/>
  <c r="A128" i="4"/>
  <c r="B128" i="4"/>
  <c r="C128" i="4"/>
  <c r="E128" i="4"/>
  <c r="A129" i="4"/>
  <c r="B129" i="4"/>
  <c r="C129" i="4"/>
  <c r="E129" i="4"/>
  <c r="A130" i="4"/>
  <c r="B130" i="4"/>
  <c r="C130" i="4"/>
  <c r="E130" i="4"/>
  <c r="A131" i="4"/>
  <c r="B131" i="4"/>
  <c r="C131" i="4"/>
  <c r="E131" i="4"/>
  <c r="A132" i="4"/>
  <c r="B132" i="4"/>
  <c r="C132" i="4"/>
  <c r="D132" i="4"/>
  <c r="E132" i="4"/>
  <c r="A133" i="4"/>
  <c r="B133" i="4"/>
  <c r="C133" i="4"/>
  <c r="E133" i="4"/>
  <c r="A134" i="4"/>
  <c r="B134" i="4"/>
  <c r="C134" i="4"/>
  <c r="E134" i="4"/>
  <c r="A135" i="4"/>
  <c r="B135" i="4"/>
  <c r="C135" i="4"/>
  <c r="E135" i="4"/>
  <c r="A136" i="4"/>
  <c r="B136" i="4"/>
  <c r="C136" i="4"/>
  <c r="E136" i="4"/>
  <c r="A137" i="4"/>
  <c r="B137" i="4"/>
  <c r="C137" i="4"/>
  <c r="E137" i="4"/>
  <c r="A138" i="4"/>
  <c r="B138" i="4"/>
  <c r="C138" i="4"/>
  <c r="E138" i="4"/>
  <c r="A139" i="4"/>
  <c r="B139" i="4"/>
  <c r="C139" i="4"/>
  <c r="E139" i="4"/>
  <c r="A140" i="4"/>
  <c r="B140" i="4"/>
  <c r="C140" i="4"/>
  <c r="E140" i="4"/>
  <c r="A141" i="4"/>
  <c r="B141" i="4"/>
  <c r="C141" i="4"/>
  <c r="E141" i="4"/>
  <c r="A142" i="4"/>
  <c r="B142" i="4"/>
  <c r="C142" i="4"/>
  <c r="E142" i="4"/>
  <c r="A143" i="4"/>
  <c r="B143" i="4"/>
  <c r="C143" i="4"/>
  <c r="E143" i="4"/>
  <c r="A144" i="4"/>
  <c r="B144" i="4"/>
  <c r="C144" i="4"/>
  <c r="E144" i="4"/>
  <c r="A145" i="4"/>
  <c r="B145" i="4"/>
  <c r="C145" i="4"/>
  <c r="E145" i="4"/>
  <c r="A146" i="4"/>
  <c r="B146" i="4"/>
  <c r="C146" i="4"/>
  <c r="E146" i="4"/>
  <c r="A147" i="4"/>
  <c r="B147" i="4"/>
  <c r="C147" i="4"/>
  <c r="E147" i="4"/>
  <c r="A148" i="4"/>
  <c r="B148" i="4"/>
  <c r="C148" i="4"/>
  <c r="E148" i="4"/>
  <c r="A149" i="4"/>
  <c r="B149" i="4"/>
  <c r="C149" i="4"/>
  <c r="E149" i="4"/>
  <c r="A150" i="4"/>
  <c r="B150" i="4"/>
  <c r="C150" i="4"/>
  <c r="E150" i="4"/>
  <c r="A151" i="4"/>
  <c r="B151" i="4"/>
  <c r="C151" i="4"/>
  <c r="E151" i="4"/>
  <c r="A152" i="4"/>
  <c r="B152" i="4"/>
  <c r="C152" i="4"/>
  <c r="E152" i="4"/>
  <c r="A153" i="4"/>
  <c r="B153" i="4"/>
  <c r="C153" i="4"/>
  <c r="E153" i="4"/>
  <c r="A154" i="4"/>
  <c r="B154" i="4"/>
  <c r="C154" i="4"/>
  <c r="E154" i="4"/>
  <c r="A155" i="4"/>
  <c r="B155" i="4"/>
  <c r="C155" i="4"/>
  <c r="E155" i="4"/>
  <c r="A156" i="4"/>
  <c r="B156" i="4"/>
  <c r="C156" i="4"/>
  <c r="E156" i="4"/>
  <c r="A157" i="4"/>
  <c r="B157" i="4"/>
  <c r="C157" i="4"/>
  <c r="E157" i="4"/>
  <c r="A158" i="4"/>
  <c r="B158" i="4"/>
  <c r="C158" i="4"/>
  <c r="E158" i="4"/>
  <c r="A159" i="4"/>
  <c r="B159" i="4"/>
  <c r="C159" i="4"/>
  <c r="E159" i="4"/>
  <c r="A160" i="4"/>
  <c r="B160" i="4"/>
  <c r="C160" i="4"/>
  <c r="E160" i="4"/>
  <c r="A161" i="4"/>
  <c r="B161" i="4"/>
  <c r="C161" i="4"/>
  <c r="E161" i="4"/>
  <c r="A162" i="4"/>
  <c r="B162" i="4"/>
  <c r="C162" i="4"/>
  <c r="E162" i="4"/>
  <c r="A163" i="4"/>
  <c r="B163" i="4"/>
  <c r="C163" i="4"/>
  <c r="E163" i="4"/>
  <c r="A164" i="4"/>
  <c r="B164" i="4"/>
  <c r="C164" i="4"/>
  <c r="E164" i="4"/>
  <c r="A165" i="4"/>
  <c r="B165" i="4"/>
  <c r="C165" i="4"/>
  <c r="D165" i="4"/>
  <c r="E165" i="4"/>
  <c r="A166" i="4"/>
  <c r="B166" i="4"/>
  <c r="C166" i="4"/>
  <c r="E166" i="4"/>
  <c r="A167" i="4"/>
  <c r="B167" i="4"/>
  <c r="C167" i="4"/>
  <c r="D167" i="4"/>
  <c r="E167" i="4"/>
  <c r="A168" i="4"/>
  <c r="B168" i="4"/>
  <c r="C168" i="4"/>
  <c r="E168" i="4"/>
  <c r="A169" i="4"/>
  <c r="B169" i="4"/>
  <c r="C169" i="4"/>
  <c r="E169" i="4"/>
  <c r="A170" i="4"/>
  <c r="B170" i="4"/>
  <c r="C170" i="4"/>
  <c r="E170" i="4"/>
  <c r="A171" i="4"/>
  <c r="B171" i="4"/>
  <c r="C171" i="4"/>
  <c r="E171" i="4"/>
  <c r="A172" i="4"/>
  <c r="B172" i="4"/>
  <c r="C172" i="4"/>
  <c r="E172" i="4"/>
  <c r="A173" i="4"/>
  <c r="B173" i="4"/>
  <c r="C173" i="4"/>
  <c r="E173" i="4"/>
  <c r="A174" i="4"/>
  <c r="B174" i="4"/>
  <c r="C174" i="4"/>
  <c r="E174" i="4"/>
  <c r="A175" i="4"/>
  <c r="B175" i="4"/>
  <c r="C175" i="4"/>
  <c r="E175" i="4"/>
  <c r="A176" i="4"/>
  <c r="B176" i="4"/>
  <c r="C176" i="4"/>
  <c r="E176" i="4"/>
  <c r="A177" i="4"/>
  <c r="B177" i="4"/>
  <c r="C177" i="4"/>
  <c r="E177" i="4"/>
  <c r="A178" i="4"/>
  <c r="B178" i="4"/>
  <c r="C178" i="4"/>
  <c r="E178" i="4"/>
  <c r="A179" i="4"/>
  <c r="B179" i="4"/>
  <c r="C179" i="4"/>
  <c r="E179" i="4"/>
  <c r="A180" i="4"/>
  <c r="B180" i="4"/>
  <c r="C180" i="4"/>
  <c r="E180" i="4"/>
  <c r="A181" i="4"/>
  <c r="B181" i="4"/>
  <c r="C181" i="4"/>
  <c r="E181" i="4"/>
  <c r="A182" i="4"/>
  <c r="B182" i="4"/>
  <c r="C182" i="4"/>
  <c r="E182" i="4"/>
  <c r="A183" i="4"/>
  <c r="B183" i="4"/>
  <c r="C183" i="4"/>
  <c r="E183" i="4"/>
  <c r="A184" i="4"/>
  <c r="B184" i="4"/>
  <c r="C184" i="4"/>
  <c r="E184" i="4"/>
  <c r="A185" i="4"/>
  <c r="B185" i="4"/>
  <c r="C185" i="4"/>
  <c r="E185" i="4"/>
  <c r="A186" i="4"/>
  <c r="B186" i="4"/>
  <c r="C186" i="4"/>
  <c r="E186" i="4"/>
  <c r="A187" i="4"/>
  <c r="B187" i="4"/>
  <c r="C187" i="4"/>
  <c r="E187" i="4"/>
  <c r="A188" i="4"/>
  <c r="B188" i="4"/>
  <c r="C188" i="4"/>
  <c r="E188" i="4"/>
  <c r="A189" i="4"/>
  <c r="B189" i="4"/>
  <c r="C189" i="4"/>
  <c r="E189" i="4"/>
  <c r="A190" i="4"/>
  <c r="B190" i="4"/>
  <c r="C190" i="4"/>
  <c r="E190" i="4"/>
  <c r="A191" i="4"/>
  <c r="B191" i="4"/>
  <c r="C191" i="4"/>
  <c r="E191" i="4"/>
  <c r="A192" i="4"/>
  <c r="B192" i="4"/>
  <c r="C192" i="4"/>
  <c r="E192" i="4"/>
  <c r="A193" i="4"/>
  <c r="B193" i="4"/>
  <c r="C193" i="4"/>
  <c r="E193" i="4"/>
  <c r="A194" i="4"/>
  <c r="B194" i="4"/>
  <c r="C194" i="4"/>
  <c r="E194" i="4"/>
  <c r="A195" i="4"/>
  <c r="B195" i="4"/>
  <c r="C195" i="4"/>
  <c r="E195" i="4"/>
  <c r="A196" i="4"/>
  <c r="B196" i="4"/>
  <c r="C196" i="4"/>
  <c r="E196" i="4"/>
  <c r="A197" i="4"/>
  <c r="B197" i="4"/>
  <c r="C197" i="4"/>
  <c r="E197" i="4"/>
  <c r="A198" i="4"/>
  <c r="B198" i="4"/>
  <c r="C198" i="4"/>
  <c r="E198" i="4"/>
  <c r="A199" i="4"/>
  <c r="B199" i="4"/>
  <c r="C199" i="4"/>
  <c r="E199" i="4"/>
  <c r="A200" i="4"/>
  <c r="B200" i="4"/>
  <c r="C200" i="4"/>
  <c r="E200" i="4"/>
  <c r="A201" i="4"/>
  <c r="B201" i="4"/>
  <c r="C201" i="4"/>
  <c r="E201" i="4"/>
  <c r="A202" i="4"/>
  <c r="B202" i="4"/>
  <c r="C202" i="4"/>
  <c r="E202" i="4"/>
  <c r="A203" i="4"/>
  <c r="B203" i="4"/>
  <c r="C203" i="4"/>
  <c r="E203" i="4"/>
  <c r="A204" i="4"/>
  <c r="B204" i="4"/>
  <c r="C204" i="4"/>
  <c r="E204" i="4"/>
  <c r="A205" i="4"/>
  <c r="B205" i="4"/>
  <c r="C205" i="4"/>
  <c r="E205" i="4"/>
  <c r="A206" i="4"/>
  <c r="B206" i="4"/>
  <c r="C206" i="4"/>
  <c r="E206" i="4"/>
  <c r="A207" i="4"/>
  <c r="B207" i="4"/>
  <c r="C207" i="4"/>
  <c r="E207" i="4"/>
  <c r="A208" i="4"/>
  <c r="B208" i="4"/>
  <c r="C208" i="4"/>
  <c r="E208" i="4"/>
  <c r="A209" i="4"/>
  <c r="B209" i="4"/>
  <c r="C209" i="4"/>
  <c r="E209" i="4"/>
  <c r="A210" i="4"/>
  <c r="B210" i="4"/>
  <c r="C210" i="4"/>
  <c r="E210" i="4"/>
  <c r="A211" i="4"/>
  <c r="B211" i="4"/>
  <c r="C211" i="4"/>
  <c r="E211" i="4"/>
  <c r="A212" i="4"/>
  <c r="B212" i="4"/>
  <c r="C212" i="4"/>
  <c r="E212" i="4"/>
  <c r="A213" i="4"/>
  <c r="B213" i="4"/>
  <c r="C213" i="4"/>
  <c r="E213" i="4"/>
  <c r="A214" i="4"/>
  <c r="B214" i="4"/>
  <c r="C214" i="4"/>
  <c r="E214" i="4"/>
  <c r="A215" i="4"/>
  <c r="B215" i="4"/>
  <c r="C215" i="4"/>
  <c r="E215" i="4"/>
  <c r="A216" i="4"/>
  <c r="B216" i="4"/>
  <c r="C216" i="4"/>
  <c r="E216" i="4"/>
  <c r="A217" i="4"/>
  <c r="B217" i="4"/>
  <c r="C217" i="4"/>
  <c r="E217" i="4"/>
  <c r="A218" i="4"/>
  <c r="B218" i="4"/>
  <c r="C218" i="4"/>
  <c r="E218" i="4"/>
  <c r="A219" i="4"/>
  <c r="B219" i="4"/>
  <c r="C219" i="4"/>
  <c r="E219" i="4"/>
  <c r="A220" i="4"/>
  <c r="B220" i="4"/>
  <c r="C220" i="4"/>
  <c r="E220" i="4"/>
  <c r="A221" i="4"/>
  <c r="B221" i="4"/>
  <c r="C221" i="4"/>
  <c r="E221" i="4"/>
  <c r="A222" i="4"/>
  <c r="B222" i="4"/>
  <c r="C222" i="4"/>
  <c r="E222" i="4"/>
  <c r="A223" i="4"/>
  <c r="B223" i="4"/>
  <c r="C223" i="4"/>
  <c r="E223" i="4"/>
  <c r="A224" i="4"/>
  <c r="B224" i="4"/>
  <c r="C224" i="4"/>
  <c r="E224" i="4"/>
  <c r="A225" i="4"/>
  <c r="B225" i="4"/>
  <c r="C225" i="4"/>
  <c r="E225" i="4"/>
  <c r="A226" i="4"/>
  <c r="B226" i="4"/>
  <c r="C226" i="4"/>
  <c r="E226" i="4"/>
  <c r="A227" i="4"/>
  <c r="B227" i="4"/>
  <c r="C227" i="4"/>
  <c r="E227" i="4"/>
  <c r="A228" i="4"/>
  <c r="B228" i="4"/>
  <c r="C228" i="4"/>
  <c r="E228" i="4"/>
  <c r="A229" i="4"/>
  <c r="B229" i="4"/>
  <c r="C229" i="4"/>
  <c r="E229" i="4"/>
  <c r="A230" i="4"/>
  <c r="B230" i="4"/>
  <c r="C230" i="4"/>
  <c r="D230" i="4"/>
  <c r="E230" i="4"/>
  <c r="A231" i="4"/>
  <c r="B231" i="4"/>
  <c r="C231" i="4"/>
  <c r="E231" i="4"/>
  <c r="A232" i="4"/>
  <c r="B232" i="4"/>
  <c r="C232" i="4"/>
  <c r="E232" i="4"/>
  <c r="A233" i="4"/>
  <c r="B233" i="4"/>
  <c r="C233" i="4"/>
  <c r="E233" i="4"/>
  <c r="A234" i="4"/>
  <c r="B234" i="4"/>
  <c r="C234" i="4"/>
  <c r="E234" i="4"/>
  <c r="A235" i="4"/>
  <c r="B235" i="4"/>
  <c r="C235" i="4"/>
  <c r="E235" i="4"/>
  <c r="A236" i="4"/>
  <c r="B236" i="4"/>
  <c r="C236" i="4"/>
  <c r="E236" i="4"/>
  <c r="A237" i="4"/>
  <c r="B237" i="4"/>
  <c r="C237" i="4"/>
  <c r="E237" i="4"/>
  <c r="A238" i="4"/>
  <c r="B238" i="4"/>
  <c r="C238" i="4"/>
  <c r="E238" i="4"/>
  <c r="A239" i="4"/>
  <c r="B239" i="4"/>
  <c r="C239" i="4"/>
  <c r="E239" i="4"/>
  <c r="A240" i="4"/>
  <c r="B240" i="4"/>
  <c r="C240" i="4"/>
  <c r="E240" i="4"/>
  <c r="A241" i="4"/>
  <c r="B241" i="4"/>
  <c r="C241" i="4"/>
  <c r="E241" i="4"/>
  <c r="A242" i="4"/>
  <c r="B242" i="4"/>
  <c r="C242" i="4"/>
  <c r="E242" i="4"/>
  <c r="A243" i="4"/>
  <c r="B243" i="4"/>
  <c r="C243" i="4"/>
  <c r="E243" i="4"/>
  <c r="A244" i="4"/>
  <c r="B244" i="4"/>
  <c r="C244" i="4"/>
  <c r="E244" i="4"/>
  <c r="A245" i="4"/>
  <c r="B245" i="4"/>
  <c r="C245" i="4"/>
  <c r="E245" i="4"/>
  <c r="A246" i="4"/>
  <c r="B246" i="4"/>
  <c r="C246" i="4"/>
  <c r="E246" i="4"/>
  <c r="A247" i="4"/>
  <c r="B247" i="4"/>
  <c r="C247" i="4"/>
  <c r="E247" i="4"/>
  <c r="A248" i="4"/>
  <c r="B248" i="4"/>
  <c r="C248" i="4"/>
  <c r="E248" i="4"/>
  <c r="A249" i="4"/>
  <c r="B249" i="4"/>
  <c r="C249" i="4"/>
  <c r="E249" i="4"/>
  <c r="A250" i="4"/>
  <c r="B250" i="4"/>
  <c r="C250" i="4"/>
  <c r="E250" i="4"/>
  <c r="A251" i="4"/>
  <c r="B251" i="4"/>
  <c r="C251" i="4"/>
  <c r="E251" i="4"/>
  <c r="A252" i="4"/>
  <c r="B252" i="4"/>
  <c r="C252" i="4"/>
  <c r="E252" i="4"/>
  <c r="A253" i="4"/>
  <c r="B253" i="4"/>
  <c r="C253" i="4"/>
  <c r="E253" i="4"/>
  <c r="A254" i="4"/>
  <c r="B254" i="4"/>
  <c r="C254" i="4"/>
  <c r="E254" i="4"/>
  <c r="A255" i="4"/>
  <c r="B255" i="4"/>
  <c r="C255" i="4"/>
  <c r="E255" i="4"/>
  <c r="A256" i="4"/>
  <c r="B256" i="4"/>
  <c r="C256" i="4"/>
  <c r="E256" i="4"/>
  <c r="A257" i="4"/>
  <c r="B257" i="4"/>
  <c r="C257" i="4"/>
  <c r="E257" i="4"/>
  <c r="A258" i="4"/>
  <c r="B258" i="4"/>
  <c r="C258" i="4"/>
  <c r="E258" i="4"/>
  <c r="A259" i="4"/>
  <c r="B259" i="4"/>
  <c r="C259" i="4"/>
  <c r="E259" i="4"/>
  <c r="A260" i="4"/>
  <c r="B260" i="4"/>
  <c r="C260" i="4"/>
  <c r="E260" i="4"/>
  <c r="A261" i="4"/>
  <c r="B261" i="4"/>
  <c r="C261" i="4"/>
  <c r="E261" i="4"/>
  <c r="A262" i="4"/>
  <c r="B262" i="4"/>
  <c r="C262" i="4"/>
  <c r="E262" i="4"/>
  <c r="A263" i="4"/>
  <c r="B263" i="4"/>
  <c r="C263" i="4"/>
  <c r="E263" i="4"/>
  <c r="A264" i="4"/>
  <c r="B264" i="4"/>
  <c r="C264" i="4"/>
  <c r="E264" i="4"/>
  <c r="A265" i="4"/>
  <c r="B265" i="4"/>
  <c r="C265" i="4"/>
  <c r="E265" i="4"/>
  <c r="A266" i="4"/>
  <c r="B266" i="4"/>
  <c r="C266" i="4"/>
  <c r="E266" i="4"/>
  <c r="A267" i="4"/>
  <c r="B267" i="4"/>
  <c r="C267" i="4"/>
  <c r="E267" i="4"/>
  <c r="A268" i="4"/>
  <c r="B268" i="4"/>
  <c r="C268" i="4"/>
  <c r="E268" i="4"/>
  <c r="A269" i="4"/>
  <c r="B269" i="4"/>
  <c r="C269" i="4"/>
  <c r="E269" i="4"/>
  <c r="A270" i="4"/>
  <c r="B270" i="4"/>
  <c r="C270" i="4"/>
  <c r="E270" i="4"/>
  <c r="A271" i="4"/>
  <c r="B271" i="4"/>
  <c r="C271" i="4"/>
  <c r="E271" i="4"/>
  <c r="A272" i="4"/>
  <c r="B272" i="4"/>
  <c r="C272" i="4"/>
  <c r="E272" i="4"/>
  <c r="A273" i="4"/>
  <c r="B273" i="4"/>
  <c r="C273" i="4"/>
  <c r="E273" i="4"/>
  <c r="A274" i="4"/>
  <c r="B274" i="4"/>
  <c r="C274" i="4"/>
  <c r="E274" i="4"/>
  <c r="A275" i="4"/>
  <c r="B275" i="4"/>
  <c r="C275" i="4"/>
  <c r="E275" i="4"/>
  <c r="A276" i="4"/>
  <c r="B276" i="4"/>
  <c r="C276" i="4"/>
  <c r="E276" i="4"/>
  <c r="A277" i="4"/>
  <c r="B277" i="4"/>
  <c r="C277" i="4"/>
  <c r="E277" i="4"/>
  <c r="A278" i="4"/>
  <c r="B278" i="4"/>
  <c r="C278" i="4"/>
  <c r="E278" i="4"/>
  <c r="A279" i="4"/>
  <c r="B279" i="4"/>
  <c r="C279" i="4"/>
  <c r="E279" i="4"/>
  <c r="A280" i="4"/>
  <c r="B280" i="4"/>
  <c r="C280" i="4"/>
  <c r="E280" i="4"/>
  <c r="A281" i="4"/>
  <c r="B281" i="4"/>
  <c r="C281" i="4"/>
  <c r="E281" i="4"/>
  <c r="A282" i="4"/>
  <c r="B282" i="4"/>
  <c r="C282" i="4"/>
  <c r="E282" i="4"/>
  <c r="A283" i="4"/>
  <c r="B283" i="4"/>
  <c r="C283" i="4"/>
  <c r="E283" i="4"/>
  <c r="A284" i="4"/>
  <c r="B284" i="4"/>
  <c r="C284" i="4"/>
  <c r="E284" i="4"/>
  <c r="A285" i="4"/>
  <c r="B285" i="4"/>
  <c r="C285" i="4"/>
  <c r="E285" i="4"/>
  <c r="A286" i="4"/>
  <c r="B286" i="4"/>
  <c r="C286" i="4"/>
  <c r="D286" i="4"/>
  <c r="E286" i="4"/>
  <c r="A287" i="4"/>
  <c r="B287" i="4"/>
  <c r="C287" i="4"/>
  <c r="E287" i="4"/>
  <c r="A288" i="4"/>
  <c r="B288" i="4"/>
  <c r="C288" i="4"/>
  <c r="E288" i="4"/>
  <c r="A289" i="4"/>
  <c r="B289" i="4"/>
  <c r="C289" i="4"/>
  <c r="D289" i="4"/>
  <c r="E289" i="4"/>
  <c r="A290" i="4"/>
  <c r="B290" i="4"/>
  <c r="C290" i="4"/>
  <c r="E290" i="4"/>
  <c r="A291" i="4"/>
  <c r="B291" i="4"/>
  <c r="C291" i="4"/>
  <c r="E291" i="4"/>
  <c r="A292" i="4"/>
  <c r="B292" i="4"/>
  <c r="C292" i="4"/>
  <c r="E292" i="4"/>
  <c r="A293" i="4"/>
  <c r="B293" i="4"/>
  <c r="C293" i="4"/>
  <c r="E293" i="4"/>
  <c r="A294" i="4"/>
  <c r="B294" i="4"/>
  <c r="C294" i="4"/>
  <c r="E294" i="4"/>
  <c r="A295" i="4"/>
  <c r="B295" i="4"/>
  <c r="C295" i="4"/>
  <c r="E295" i="4"/>
  <c r="A296" i="4"/>
  <c r="B296" i="4"/>
  <c r="C296" i="4"/>
  <c r="E296" i="4"/>
  <c r="A297" i="4"/>
  <c r="B297" i="4"/>
  <c r="C297" i="4"/>
  <c r="E297" i="4"/>
  <c r="A298" i="4"/>
  <c r="B298" i="4"/>
  <c r="C298" i="4"/>
  <c r="E298" i="4"/>
  <c r="A299" i="4"/>
  <c r="B299" i="4"/>
  <c r="C299" i="4"/>
  <c r="E299" i="4"/>
  <c r="A300" i="4"/>
  <c r="B300" i="4"/>
  <c r="C300" i="4"/>
  <c r="E300" i="4"/>
  <c r="A301" i="4"/>
  <c r="B301" i="4"/>
  <c r="C301" i="4"/>
  <c r="E301" i="4"/>
  <c r="A302" i="4"/>
  <c r="B302" i="4"/>
  <c r="C302" i="4"/>
  <c r="E302" i="4"/>
  <c r="A303" i="4"/>
  <c r="B303" i="4"/>
  <c r="C303" i="4"/>
  <c r="E303" i="4"/>
  <c r="A304" i="4"/>
  <c r="B304" i="4"/>
  <c r="C304" i="4"/>
  <c r="E304" i="4"/>
  <c r="A305" i="4"/>
  <c r="B305" i="4"/>
  <c r="C305" i="4"/>
  <c r="E305" i="4"/>
  <c r="A306" i="4"/>
  <c r="B306" i="4"/>
  <c r="C306" i="4"/>
  <c r="E306" i="4"/>
  <c r="A307" i="4"/>
  <c r="B307" i="4"/>
  <c r="C307" i="4"/>
  <c r="E307" i="4"/>
  <c r="A308" i="4"/>
  <c r="B308" i="4"/>
  <c r="C308" i="4"/>
  <c r="D308" i="4"/>
  <c r="E308" i="4"/>
  <c r="A309" i="4"/>
  <c r="B309" i="4"/>
  <c r="C309" i="4"/>
  <c r="D309" i="4"/>
  <c r="E309" i="4"/>
  <c r="A310" i="4"/>
  <c r="B310" i="4"/>
  <c r="C310" i="4"/>
  <c r="E310" i="4"/>
  <c r="A311" i="4"/>
  <c r="B311" i="4"/>
  <c r="C311" i="4"/>
  <c r="E311" i="4"/>
  <c r="A312" i="4"/>
  <c r="B312" i="4"/>
  <c r="C312" i="4"/>
  <c r="E312" i="4"/>
  <c r="A313" i="4"/>
  <c r="B313" i="4"/>
  <c r="C313" i="4"/>
  <c r="E313" i="4"/>
  <c r="A314" i="4"/>
  <c r="B314" i="4"/>
  <c r="C314" i="4"/>
  <c r="E314" i="4"/>
  <c r="A315" i="4"/>
  <c r="B315" i="4"/>
  <c r="C315" i="4"/>
  <c r="E315" i="4"/>
  <c r="A316" i="4"/>
  <c r="B316" i="4"/>
  <c r="C316" i="4"/>
  <c r="E316" i="4"/>
  <c r="A317" i="4"/>
  <c r="B317" i="4"/>
  <c r="C317" i="4"/>
  <c r="E317" i="4"/>
  <c r="A318" i="4"/>
  <c r="B318" i="4"/>
  <c r="C318" i="4"/>
  <c r="E318" i="4"/>
  <c r="A319" i="4"/>
  <c r="B319" i="4"/>
  <c r="C319" i="4"/>
  <c r="E319" i="4"/>
  <c r="A320" i="4"/>
  <c r="B320" i="4"/>
  <c r="C320" i="4"/>
  <c r="E320" i="4"/>
  <c r="A321" i="4"/>
  <c r="B321" i="4"/>
  <c r="C321" i="4"/>
  <c r="E321" i="4"/>
  <c r="A322" i="4"/>
  <c r="B322" i="4"/>
  <c r="C322" i="4"/>
  <c r="E322" i="4"/>
  <c r="A323" i="4"/>
  <c r="B323" i="4"/>
  <c r="C323" i="4"/>
  <c r="E323" i="4"/>
  <c r="A324" i="4"/>
  <c r="B324" i="4"/>
  <c r="C324" i="4"/>
  <c r="E324" i="4"/>
  <c r="A325" i="4"/>
  <c r="B325" i="4"/>
  <c r="C325" i="4"/>
  <c r="E325" i="4"/>
  <c r="A326" i="4"/>
  <c r="B326" i="4"/>
  <c r="C326" i="4"/>
  <c r="E326" i="4"/>
  <c r="A327" i="4"/>
  <c r="B327" i="4"/>
  <c r="C327" i="4"/>
  <c r="E327" i="4"/>
  <c r="A328" i="4"/>
  <c r="B328" i="4"/>
  <c r="C328" i="4"/>
  <c r="E328" i="4"/>
  <c r="A329" i="4"/>
  <c r="B329" i="4"/>
  <c r="C329" i="4"/>
  <c r="E329" i="4"/>
  <c r="A330" i="4"/>
  <c r="B330" i="4"/>
  <c r="C330" i="4"/>
  <c r="E330" i="4"/>
  <c r="B2" i="4"/>
  <c r="C2" i="4"/>
  <c r="E2" i="4"/>
  <c r="A2" i="4"/>
  <c r="D462" i="2" l="1"/>
  <c r="AS751" i="2" l="1"/>
  <c r="C49" i="10" s="1"/>
  <c r="D462" i="4"/>
  <c r="D462" i="5"/>
  <c r="D463" i="2"/>
  <c r="D463" i="4" l="1"/>
  <c r="D463" i="5"/>
  <c r="D625" i="2"/>
  <c r="D625" i="4" l="1"/>
  <c r="D625" i="5"/>
  <c r="D470" i="2"/>
  <c r="D470" i="4" l="1"/>
  <c r="D470" i="5"/>
  <c r="D444" i="2"/>
  <c r="D443" i="2"/>
  <c r="D441" i="2"/>
  <c r="D439" i="2"/>
  <c r="D441" i="4" l="1"/>
  <c r="D441" i="5"/>
  <c r="D443" i="4"/>
  <c r="D443" i="5"/>
  <c r="D439" i="4"/>
  <c r="D439" i="5"/>
  <c r="D444" i="4"/>
  <c r="D444" i="5"/>
  <c r="D361" i="2"/>
  <c r="D341" i="2"/>
  <c r="D331" i="2"/>
  <c r="D329" i="2"/>
  <c r="D329" i="4" l="1"/>
  <c r="D329" i="5"/>
  <c r="D341" i="4"/>
  <c r="D341" i="5"/>
  <c r="D331" i="4"/>
  <c r="D331" i="5"/>
  <c r="D361" i="4"/>
  <c r="D361" i="5"/>
  <c r="D191" i="2"/>
  <c r="D190" i="2"/>
  <c r="D188" i="2"/>
  <c r="D184" i="2"/>
  <c r="D181" i="2"/>
  <c r="D180" i="2"/>
  <c r="D178" i="2"/>
  <c r="D176" i="2"/>
  <c r="D178" i="4" l="1"/>
  <c r="D178" i="5"/>
  <c r="D181" i="4"/>
  <c r="D181" i="5"/>
  <c r="D184" i="4"/>
  <c r="D184" i="5"/>
  <c r="D188" i="4"/>
  <c r="D188" i="5"/>
  <c r="D180" i="4"/>
  <c r="D180" i="5"/>
  <c r="D190" i="4"/>
  <c r="D190" i="5"/>
  <c r="D176" i="4"/>
  <c r="D176" i="5"/>
  <c r="D191" i="4"/>
  <c r="D191" i="5"/>
  <c r="D134" i="2"/>
  <c r="D130" i="2"/>
  <c r="D125" i="2"/>
  <c r="D124" i="2"/>
  <c r="D120" i="2"/>
  <c r="D116" i="2"/>
  <c r="D113" i="2"/>
  <c r="D112" i="2"/>
  <c r="D110" i="2"/>
  <c r="D107" i="2"/>
  <c r="D106" i="2"/>
  <c r="D113" i="4" l="1"/>
  <c r="D113" i="5"/>
  <c r="D120" i="4"/>
  <c r="D120" i="5"/>
  <c r="D112" i="4"/>
  <c r="D112" i="5"/>
  <c r="D124" i="4"/>
  <c r="D124" i="5"/>
  <c r="D116" i="4"/>
  <c r="D116" i="5"/>
  <c r="D125" i="4"/>
  <c r="D125" i="5"/>
  <c r="D106" i="4"/>
  <c r="D106" i="5"/>
  <c r="D107" i="4"/>
  <c r="D107" i="5"/>
  <c r="D130" i="4"/>
  <c r="D130" i="5"/>
  <c r="D110" i="4"/>
  <c r="D110" i="5"/>
  <c r="D134" i="4"/>
  <c r="D134" i="5"/>
  <c r="D51" i="2"/>
  <c r="D49" i="2"/>
  <c r="D47" i="2"/>
  <c r="D42" i="2"/>
  <c r="D39" i="2"/>
  <c r="D12" i="2"/>
  <c r="D23" i="2"/>
  <c r="D36" i="2"/>
  <c r="D26" i="2"/>
  <c r="D20" i="2"/>
  <c r="D16" i="2"/>
  <c r="D3" i="2"/>
  <c r="D49" i="4" l="1"/>
  <c r="D49" i="5"/>
  <c r="D36" i="4"/>
  <c r="D36" i="5"/>
  <c r="D23" i="4"/>
  <c r="D23" i="5"/>
  <c r="D51" i="4"/>
  <c r="D51" i="5"/>
  <c r="D12" i="4"/>
  <c r="D12" i="5"/>
  <c r="D26" i="4"/>
  <c r="D26" i="5"/>
  <c r="D39" i="4"/>
  <c r="D39" i="5"/>
  <c r="D3" i="4"/>
  <c r="D3" i="5"/>
  <c r="D42" i="4"/>
  <c r="D42" i="5"/>
  <c r="D20" i="4"/>
  <c r="D20" i="5"/>
  <c r="D16" i="4"/>
  <c r="D16" i="5"/>
  <c r="D47" i="4"/>
  <c r="D47" i="5"/>
  <c r="D4" i="2"/>
  <c r="D5" i="2"/>
  <c r="D6" i="2"/>
  <c r="D7" i="2"/>
  <c r="D8" i="2"/>
  <c r="D9" i="2"/>
  <c r="D10" i="2"/>
  <c r="D11" i="2"/>
  <c r="D13" i="2"/>
  <c r="D14" i="2"/>
  <c r="D15" i="2"/>
  <c r="D17" i="2"/>
  <c r="D18" i="2"/>
  <c r="D19" i="2"/>
  <c r="D21" i="2"/>
  <c r="D22" i="2"/>
  <c r="D24" i="2"/>
  <c r="D25" i="2"/>
  <c r="D27" i="2"/>
  <c r="D28" i="2"/>
  <c r="D29" i="2"/>
  <c r="D30" i="2"/>
  <c r="D31" i="2"/>
  <c r="D32" i="2"/>
  <c r="D33" i="2"/>
  <c r="D34" i="2"/>
  <c r="D35" i="2"/>
  <c r="D37" i="2"/>
  <c r="D38" i="2"/>
  <c r="D40" i="2"/>
  <c r="D41" i="2"/>
  <c r="D43" i="2"/>
  <c r="D44" i="2"/>
  <c r="D45" i="2"/>
  <c r="D46" i="2"/>
  <c r="D48" i="2"/>
  <c r="D50"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103" i="2"/>
  <c r="D104" i="2"/>
  <c r="D105" i="2"/>
  <c r="D108" i="2"/>
  <c r="D109" i="2"/>
  <c r="D111" i="2"/>
  <c r="D114" i="2"/>
  <c r="D115" i="2"/>
  <c r="D117" i="2"/>
  <c r="D118" i="2"/>
  <c r="D119" i="2"/>
  <c r="D121" i="2"/>
  <c r="D122" i="2"/>
  <c r="D123" i="2"/>
  <c r="D126" i="2"/>
  <c r="D127" i="2"/>
  <c r="D128" i="2"/>
  <c r="D129" i="2"/>
  <c r="D131" i="2"/>
  <c r="D133"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6" i="2"/>
  <c r="D168" i="2"/>
  <c r="D169" i="2"/>
  <c r="D170" i="2"/>
  <c r="D171" i="2"/>
  <c r="D172" i="2"/>
  <c r="D173" i="2"/>
  <c r="D174" i="2"/>
  <c r="D175" i="2"/>
  <c r="D177" i="2"/>
  <c r="D179" i="2"/>
  <c r="D182" i="2"/>
  <c r="D183" i="2"/>
  <c r="D185" i="2"/>
  <c r="D186" i="2"/>
  <c r="D187" i="2"/>
  <c r="D189"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7" i="2"/>
  <c r="D288" i="2"/>
  <c r="D290" i="2"/>
  <c r="D291" i="2"/>
  <c r="D292" i="2"/>
  <c r="D293" i="2"/>
  <c r="D294" i="2"/>
  <c r="D295" i="2"/>
  <c r="D296" i="2"/>
  <c r="D297" i="2"/>
  <c r="D298" i="2"/>
  <c r="D299" i="2"/>
  <c r="D300" i="2"/>
  <c r="D301" i="2"/>
  <c r="D302" i="2"/>
  <c r="D303" i="2"/>
  <c r="D304" i="2"/>
  <c r="D305" i="2"/>
  <c r="D306" i="2"/>
  <c r="D307" i="2"/>
  <c r="D310" i="2"/>
  <c r="D311" i="2"/>
  <c r="D312" i="2"/>
  <c r="D313" i="2"/>
  <c r="D314" i="2"/>
  <c r="D315" i="2"/>
  <c r="D316" i="2"/>
  <c r="D317" i="2"/>
  <c r="D318" i="2"/>
  <c r="D319" i="2"/>
  <c r="D320" i="2"/>
  <c r="D321" i="2"/>
  <c r="D322" i="2"/>
  <c r="D323" i="2"/>
  <c r="D324" i="2"/>
  <c r="D325" i="2"/>
  <c r="D326" i="2"/>
  <c r="D327" i="2"/>
  <c r="D328" i="2"/>
  <c r="D330" i="2"/>
  <c r="D332" i="2"/>
  <c r="D333" i="2"/>
  <c r="D334" i="2"/>
  <c r="D335" i="2"/>
  <c r="D336" i="2"/>
  <c r="D337" i="2"/>
  <c r="D338" i="2"/>
  <c r="D339" i="2"/>
  <c r="D340" i="2"/>
  <c r="D342" i="2"/>
  <c r="D343" i="2"/>
  <c r="D344" i="2"/>
  <c r="D345" i="2"/>
  <c r="D346" i="2"/>
  <c r="D347" i="2"/>
  <c r="D348" i="2"/>
  <c r="D349" i="2"/>
  <c r="D350" i="2"/>
  <c r="D351" i="2"/>
  <c r="D352" i="2"/>
  <c r="D353" i="2"/>
  <c r="D354" i="2"/>
  <c r="D355" i="2"/>
  <c r="D356" i="2"/>
  <c r="D357" i="2"/>
  <c r="D358" i="2"/>
  <c r="D359" i="2"/>
  <c r="D360" i="2"/>
  <c r="D362" i="2"/>
  <c r="D363" i="2"/>
  <c r="D364" i="2"/>
  <c r="D365" i="2"/>
  <c r="D366" i="2"/>
  <c r="D367" i="2"/>
  <c r="D368" i="2"/>
  <c r="D369" i="2"/>
  <c r="D370" i="2"/>
  <c r="D371" i="2"/>
  <c r="D372" i="2"/>
  <c r="D373" i="2"/>
  <c r="D374" i="2"/>
  <c r="D375" i="2"/>
  <c r="D376" i="2"/>
  <c r="D377" i="2"/>
  <c r="D378" i="2"/>
  <c r="D379" i="2"/>
  <c r="D380" i="2"/>
  <c r="D381" i="2"/>
  <c r="D382" i="2"/>
  <c r="D384" i="2"/>
  <c r="D385" i="2"/>
  <c r="D386" i="2"/>
  <c r="D387" i="2"/>
  <c r="D388" i="2"/>
  <c r="D389" i="2"/>
  <c r="D390" i="2"/>
  <c r="D391" i="2"/>
  <c r="D392" i="2"/>
  <c r="D393" i="2"/>
  <c r="D394" i="2"/>
  <c r="D395" i="2"/>
  <c r="D396" i="2"/>
  <c r="D397" i="2"/>
  <c r="D398" i="2"/>
  <c r="D399" i="2"/>
  <c r="D400" i="2"/>
  <c r="D401" i="2"/>
  <c r="D402" i="2"/>
  <c r="D403" i="2"/>
  <c r="D404" i="2"/>
  <c r="D405" i="2"/>
  <c r="D407" i="2"/>
  <c r="D408" i="2"/>
  <c r="D410" i="2"/>
  <c r="D416" i="2"/>
  <c r="D417" i="2"/>
  <c r="D418" i="2"/>
  <c r="D419" i="2"/>
  <c r="D420" i="2"/>
  <c r="D421" i="2"/>
  <c r="D422" i="2"/>
  <c r="D423" i="2"/>
  <c r="D424" i="2"/>
  <c r="D425" i="2"/>
  <c r="D426" i="2"/>
  <c r="D427" i="2"/>
  <c r="D428" i="2"/>
  <c r="D429" i="2"/>
  <c r="D430" i="2"/>
  <c r="D431" i="2"/>
  <c r="D432" i="2"/>
  <c r="D433" i="2"/>
  <c r="D434" i="2"/>
  <c r="D435" i="2"/>
  <c r="D436" i="2"/>
  <c r="D437" i="2"/>
  <c r="D438" i="2"/>
  <c r="D440" i="2"/>
  <c r="D442" i="2"/>
  <c r="D445" i="2"/>
  <c r="D446" i="2"/>
  <c r="D447" i="2"/>
  <c r="D448" i="2"/>
  <c r="D449" i="2"/>
  <c r="D450" i="2"/>
  <c r="D451" i="2"/>
  <c r="D452" i="2"/>
  <c r="D453" i="2"/>
  <c r="D454" i="2"/>
  <c r="D455" i="2"/>
  <c r="D456" i="2"/>
  <c r="D457" i="2"/>
  <c r="D458" i="2"/>
  <c r="D459" i="2"/>
  <c r="D460" i="2"/>
  <c r="D464" i="2"/>
  <c r="D465" i="2"/>
  <c r="D466" i="2"/>
  <c r="D467" i="2"/>
  <c r="D468"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2" i="2"/>
  <c r="D734" i="4" l="1"/>
  <c r="D734" i="5"/>
  <c r="D571" i="4"/>
  <c r="D571" i="5"/>
  <c r="D522" i="4"/>
  <c r="D522" i="5"/>
  <c r="D482" i="4"/>
  <c r="D482" i="5"/>
  <c r="D445" i="4"/>
  <c r="D445" i="5"/>
  <c r="D394" i="4"/>
  <c r="D394" i="5"/>
  <c r="D352" i="4"/>
  <c r="D352" i="5"/>
  <c r="D317" i="4"/>
  <c r="D317" i="5"/>
  <c r="D257" i="4"/>
  <c r="D257" i="5"/>
  <c r="D208" i="4"/>
  <c r="D208" i="5"/>
  <c r="D150" i="4"/>
  <c r="D150" i="5"/>
  <c r="D108" i="4"/>
  <c r="D108" i="5"/>
  <c r="D70" i="4"/>
  <c r="D70" i="5"/>
  <c r="D43" i="4"/>
  <c r="D43" i="5"/>
  <c r="D709" i="4"/>
  <c r="D709" i="5"/>
  <c r="D676" i="4"/>
  <c r="D676" i="5"/>
  <c r="D635" i="4"/>
  <c r="D635" i="5"/>
  <c r="D602" i="4"/>
  <c r="D602" i="5"/>
  <c r="D570" i="4"/>
  <c r="D570" i="5"/>
  <c r="D529" i="4"/>
  <c r="D529" i="5"/>
  <c r="D473" i="4"/>
  <c r="D473" i="5"/>
  <c r="D393" i="4"/>
  <c r="D393" i="5"/>
  <c r="D240" i="4"/>
  <c r="D240" i="5"/>
  <c r="D207" i="4"/>
  <c r="D207" i="5"/>
  <c r="D157" i="4"/>
  <c r="D157" i="5"/>
  <c r="D119" i="4"/>
  <c r="D119" i="5"/>
  <c r="D105" i="4"/>
  <c r="D105" i="5"/>
  <c r="D85" i="4"/>
  <c r="D85" i="5"/>
  <c r="D41" i="4"/>
  <c r="D41" i="5"/>
  <c r="D31" i="4"/>
  <c r="D31" i="5"/>
  <c r="D21" i="4"/>
  <c r="D21" i="5"/>
  <c r="D10" i="4"/>
  <c r="D10" i="5"/>
  <c r="D732" i="4"/>
  <c r="D732" i="5"/>
  <c r="D724" i="4"/>
  <c r="D724" i="5"/>
  <c r="D716" i="4"/>
  <c r="D716" i="5"/>
  <c r="D708" i="4"/>
  <c r="D708" i="5"/>
  <c r="D699" i="4"/>
  <c r="D699" i="5"/>
  <c r="D691" i="4"/>
  <c r="D691" i="5"/>
  <c r="D683" i="4"/>
  <c r="D683" i="5"/>
  <c r="D675" i="4"/>
  <c r="D675" i="5"/>
  <c r="D667" i="4"/>
  <c r="D667" i="5"/>
  <c r="D659" i="4"/>
  <c r="D659" i="5"/>
  <c r="D650" i="4"/>
  <c r="D650" i="5"/>
  <c r="D642" i="4"/>
  <c r="D642" i="5"/>
  <c r="D634" i="4"/>
  <c r="D634" i="5"/>
  <c r="D626" i="4"/>
  <c r="D626" i="5"/>
  <c r="D617" i="4"/>
  <c r="D617" i="5"/>
  <c r="D609" i="4"/>
  <c r="D609" i="5"/>
  <c r="D601" i="4"/>
  <c r="D601" i="5"/>
  <c r="D593" i="4"/>
  <c r="D593" i="5"/>
  <c r="D585" i="4"/>
  <c r="D585" i="5"/>
  <c r="D577" i="4"/>
  <c r="D577" i="5"/>
  <c r="D569" i="4"/>
  <c r="D569" i="5"/>
  <c r="D561" i="4"/>
  <c r="D561" i="5"/>
  <c r="D553" i="4"/>
  <c r="D553" i="5"/>
  <c r="D545" i="4"/>
  <c r="D545" i="5"/>
  <c r="D537" i="4"/>
  <c r="D537" i="5"/>
  <c r="D528" i="4"/>
  <c r="D528" i="5"/>
  <c r="D520" i="4"/>
  <c r="D520" i="5"/>
  <c r="D512" i="4"/>
  <c r="D512" i="5"/>
  <c r="D504" i="4"/>
  <c r="D504" i="5"/>
  <c r="D496" i="4"/>
  <c r="D496" i="5"/>
  <c r="D488" i="4"/>
  <c r="D488" i="5"/>
  <c r="D480" i="4"/>
  <c r="D480" i="5"/>
  <c r="D472" i="4"/>
  <c r="D472" i="5"/>
  <c r="D459" i="4"/>
  <c r="D459" i="5"/>
  <c r="D451" i="4"/>
  <c r="D451" i="5"/>
  <c r="D440" i="4"/>
  <c r="D440" i="5"/>
  <c r="D431" i="4"/>
  <c r="D431" i="5"/>
  <c r="D423" i="4"/>
  <c r="D423" i="5"/>
  <c r="D410" i="4"/>
  <c r="D410" i="5"/>
  <c r="D400" i="4"/>
  <c r="D400" i="5"/>
  <c r="D392" i="4"/>
  <c r="D392" i="5"/>
  <c r="D384" i="4"/>
  <c r="D384" i="5"/>
  <c r="D375" i="4"/>
  <c r="D375" i="5"/>
  <c r="D367" i="4"/>
  <c r="D367" i="5"/>
  <c r="D358" i="4"/>
  <c r="D358" i="5"/>
  <c r="D350" i="4"/>
  <c r="D350" i="5"/>
  <c r="D342" i="4"/>
  <c r="D342" i="5"/>
  <c r="D333" i="4"/>
  <c r="D333" i="5"/>
  <c r="D323" i="4"/>
  <c r="D323" i="5"/>
  <c r="D315" i="4"/>
  <c r="D315" i="5"/>
  <c r="D305" i="4"/>
  <c r="D305" i="5"/>
  <c r="D297" i="4"/>
  <c r="D297" i="5"/>
  <c r="D288" i="4"/>
  <c r="D288" i="5"/>
  <c r="D279" i="4"/>
  <c r="D279" i="5"/>
  <c r="D271" i="4"/>
  <c r="D271" i="5"/>
  <c r="D263" i="4"/>
  <c r="D263" i="5"/>
  <c r="D255" i="4"/>
  <c r="D255" i="5"/>
  <c r="D247" i="4"/>
  <c r="D247" i="5"/>
  <c r="D239" i="4"/>
  <c r="D239" i="5"/>
  <c r="D231" i="4"/>
  <c r="D231" i="5"/>
  <c r="D222" i="4"/>
  <c r="D222" i="5"/>
  <c r="D214" i="4"/>
  <c r="D214" i="5"/>
  <c r="D206" i="4"/>
  <c r="D206" i="5"/>
  <c r="D198" i="4"/>
  <c r="D198" i="5"/>
  <c r="D187" i="4"/>
  <c r="D187" i="5"/>
  <c r="D174" i="4"/>
  <c r="D174" i="5"/>
  <c r="D164" i="4"/>
  <c r="D164" i="5"/>
  <c r="D156" i="4"/>
  <c r="D156" i="5"/>
  <c r="D148" i="4"/>
  <c r="D148" i="5"/>
  <c r="D140" i="4"/>
  <c r="D140" i="5"/>
  <c r="D129" i="4"/>
  <c r="D129" i="5"/>
  <c r="D118" i="4"/>
  <c r="D118" i="5"/>
  <c r="D104" i="4"/>
  <c r="D104" i="5"/>
  <c r="D92" i="4"/>
  <c r="D92" i="5"/>
  <c r="D84" i="4"/>
  <c r="D84" i="5"/>
  <c r="D76" i="4"/>
  <c r="D76" i="5"/>
  <c r="D68" i="4"/>
  <c r="D68" i="5"/>
  <c r="D60" i="4"/>
  <c r="D60" i="5"/>
  <c r="D52" i="4"/>
  <c r="D52" i="5"/>
  <c r="D40" i="4"/>
  <c r="D40" i="5"/>
  <c r="D30" i="4"/>
  <c r="D30" i="5"/>
  <c r="D19" i="4"/>
  <c r="D19" i="5"/>
  <c r="D9" i="4"/>
  <c r="D9" i="5"/>
  <c r="D710" i="4"/>
  <c r="D710" i="5"/>
  <c r="D652" i="4"/>
  <c r="D652" i="5"/>
  <c r="D611" i="4"/>
  <c r="D611" i="5"/>
  <c r="D547" i="4"/>
  <c r="D547" i="5"/>
  <c r="D344" i="4"/>
  <c r="D344" i="5"/>
  <c r="D299" i="4"/>
  <c r="D299" i="5"/>
  <c r="D249" i="4"/>
  <c r="D249" i="5"/>
  <c r="D192" i="4"/>
  <c r="D192" i="5"/>
  <c r="D121" i="4"/>
  <c r="D121" i="5"/>
  <c r="D11" i="4"/>
  <c r="D11" i="5"/>
  <c r="D725" i="4"/>
  <c r="D725" i="5"/>
  <c r="D692" i="4"/>
  <c r="D692" i="5"/>
  <c r="D660" i="4"/>
  <c r="D660" i="5"/>
  <c r="D618" i="4"/>
  <c r="D618" i="5"/>
  <c r="D578" i="4"/>
  <c r="D578" i="5"/>
  <c r="D538" i="4"/>
  <c r="D538" i="5"/>
  <c r="D497" i="4"/>
  <c r="D497" i="5"/>
  <c r="D442" i="4"/>
  <c r="D442" i="5"/>
  <c r="D385" i="4"/>
  <c r="D385" i="5"/>
  <c r="D351" i="4"/>
  <c r="D351" i="5"/>
  <c r="D334" i="4"/>
  <c r="D334" i="5"/>
  <c r="D298" i="4"/>
  <c r="D298" i="5"/>
  <c r="D256" i="4"/>
  <c r="D256" i="5"/>
  <c r="D175" i="4"/>
  <c r="D175" i="5"/>
  <c r="D131" i="4"/>
  <c r="D131" i="5"/>
  <c r="D77" i="4"/>
  <c r="D77" i="5"/>
  <c r="D666" i="4"/>
  <c r="D666" i="5"/>
  <c r="D658" i="4"/>
  <c r="D658" i="5"/>
  <c r="D641" i="4"/>
  <c r="D641" i="5"/>
  <c r="D633" i="4"/>
  <c r="D633" i="5"/>
  <c r="D624" i="4"/>
  <c r="D624" i="5"/>
  <c r="D616" i="4"/>
  <c r="D616" i="5"/>
  <c r="D608" i="4"/>
  <c r="D608" i="5"/>
  <c r="D600" i="4"/>
  <c r="D600" i="5"/>
  <c r="D592" i="4"/>
  <c r="D592" i="5"/>
  <c r="D584" i="4"/>
  <c r="D584" i="5"/>
  <c r="D576" i="4"/>
  <c r="D576" i="5"/>
  <c r="D568" i="4"/>
  <c r="D568" i="5"/>
  <c r="D560" i="4"/>
  <c r="D560" i="5"/>
  <c r="D552" i="4"/>
  <c r="D552" i="5"/>
  <c r="D544" i="4"/>
  <c r="D544" i="5"/>
  <c r="D536" i="4"/>
  <c r="D536" i="5"/>
  <c r="D527" i="4"/>
  <c r="D527" i="5"/>
  <c r="D519" i="4"/>
  <c r="D519" i="5"/>
  <c r="D511" i="4"/>
  <c r="D511" i="5"/>
  <c r="D503" i="4"/>
  <c r="D503" i="5"/>
  <c r="D495" i="4"/>
  <c r="D495" i="5"/>
  <c r="D487" i="4"/>
  <c r="D487" i="5"/>
  <c r="D479" i="4"/>
  <c r="D479" i="5"/>
  <c r="D471" i="4"/>
  <c r="D471" i="5"/>
  <c r="D458" i="4"/>
  <c r="D458" i="5"/>
  <c r="D450" i="4"/>
  <c r="D450" i="5"/>
  <c r="D438" i="4"/>
  <c r="D438" i="5"/>
  <c r="D430" i="4"/>
  <c r="D430" i="5"/>
  <c r="D422" i="4"/>
  <c r="D422" i="5"/>
  <c r="D408" i="4"/>
  <c r="D408" i="5"/>
  <c r="D399" i="4"/>
  <c r="D399" i="5"/>
  <c r="D391" i="4"/>
  <c r="D391" i="5"/>
  <c r="D382" i="4"/>
  <c r="D382" i="5"/>
  <c r="D374" i="4"/>
  <c r="D374" i="5"/>
  <c r="D366" i="4"/>
  <c r="D366" i="5"/>
  <c r="D357" i="4"/>
  <c r="D357" i="5"/>
  <c r="D349" i="4"/>
  <c r="D349" i="5"/>
  <c r="D340" i="4"/>
  <c r="D340" i="5"/>
  <c r="D332" i="4"/>
  <c r="D332" i="5"/>
  <c r="D322" i="4"/>
  <c r="D322" i="5"/>
  <c r="D314" i="4"/>
  <c r="D314" i="5"/>
  <c r="D304" i="4"/>
  <c r="D304" i="5"/>
  <c r="D296" i="4"/>
  <c r="D296" i="5"/>
  <c r="D287" i="4"/>
  <c r="D287" i="5"/>
  <c r="D278" i="4"/>
  <c r="D278" i="5"/>
  <c r="D270" i="4"/>
  <c r="D270" i="5"/>
  <c r="D262" i="4"/>
  <c r="D262" i="5"/>
  <c r="D254" i="4"/>
  <c r="D254" i="5"/>
  <c r="D246" i="4"/>
  <c r="D246" i="5"/>
  <c r="D238" i="4"/>
  <c r="D238" i="5"/>
  <c r="D229" i="4"/>
  <c r="D229" i="5"/>
  <c r="D221" i="4"/>
  <c r="D221" i="5"/>
  <c r="D213" i="4"/>
  <c r="D213" i="5"/>
  <c r="D205" i="4"/>
  <c r="D205" i="5"/>
  <c r="D197" i="4"/>
  <c r="D197" i="5"/>
  <c r="D186" i="4"/>
  <c r="D186" i="5"/>
  <c r="D173" i="4"/>
  <c r="D173" i="5"/>
  <c r="D163" i="4"/>
  <c r="D163" i="5"/>
  <c r="D155" i="4"/>
  <c r="D155" i="5"/>
  <c r="D147" i="4"/>
  <c r="D147" i="5"/>
  <c r="D139" i="4"/>
  <c r="D139" i="5"/>
  <c r="D128" i="4"/>
  <c r="D128" i="5"/>
  <c r="D117" i="4"/>
  <c r="D117" i="5"/>
  <c r="D103" i="4"/>
  <c r="D103" i="5"/>
  <c r="D91" i="4"/>
  <c r="D91" i="5"/>
  <c r="D83" i="4"/>
  <c r="D83" i="5"/>
  <c r="D75" i="4"/>
  <c r="D75" i="5"/>
  <c r="D67" i="4"/>
  <c r="D67" i="5"/>
  <c r="D59" i="4"/>
  <c r="D59" i="5"/>
  <c r="D50" i="4"/>
  <c r="D50" i="5"/>
  <c r="D38" i="4"/>
  <c r="D38" i="5"/>
  <c r="D29" i="4"/>
  <c r="D29" i="5"/>
  <c r="D18" i="4"/>
  <c r="D18" i="5"/>
  <c r="D8" i="4"/>
  <c r="D8" i="5"/>
  <c r="D718" i="4"/>
  <c r="D718" i="5"/>
  <c r="D685" i="4"/>
  <c r="D685" i="5"/>
  <c r="D644" i="4"/>
  <c r="D644" i="5"/>
  <c r="D603" i="4"/>
  <c r="D603" i="5"/>
  <c r="D563" i="4"/>
  <c r="D563" i="5"/>
  <c r="D530" i="4"/>
  <c r="D530" i="5"/>
  <c r="D490" i="4"/>
  <c r="D490" i="5"/>
  <c r="D464" i="4"/>
  <c r="D464" i="5"/>
  <c r="D417" i="4"/>
  <c r="D417" i="5"/>
  <c r="D360" i="4"/>
  <c r="D360" i="5"/>
  <c r="D291" i="4"/>
  <c r="D291" i="5"/>
  <c r="D241" i="4"/>
  <c r="D241" i="5"/>
  <c r="D200" i="4"/>
  <c r="D200" i="5"/>
  <c r="D142" i="4"/>
  <c r="D142" i="5"/>
  <c r="D62" i="4"/>
  <c r="D62" i="5"/>
  <c r="D717" i="4"/>
  <c r="D717" i="5"/>
  <c r="D668" i="4"/>
  <c r="D668" i="5"/>
  <c r="D643" i="4"/>
  <c r="D643" i="5"/>
  <c r="D594" i="4"/>
  <c r="D594" i="5"/>
  <c r="D554" i="4"/>
  <c r="D554" i="5"/>
  <c r="D505" i="4"/>
  <c r="D505" i="5"/>
  <c r="D460" i="4"/>
  <c r="D460" i="5"/>
  <c r="D401" i="4"/>
  <c r="D401" i="5"/>
  <c r="D359" i="4"/>
  <c r="D359" i="5"/>
  <c r="D290" i="4"/>
  <c r="D290" i="5"/>
  <c r="D53" i="4"/>
  <c r="D53" i="5"/>
  <c r="D723" i="4"/>
  <c r="D723" i="5"/>
  <c r="D715" i="4"/>
  <c r="D715" i="5"/>
  <c r="D690" i="4"/>
  <c r="D690" i="5"/>
  <c r="D674" i="4"/>
  <c r="D674" i="5"/>
  <c r="D649" i="4"/>
  <c r="D649" i="5"/>
  <c r="D730" i="4"/>
  <c r="D730" i="5"/>
  <c r="D722" i="4"/>
  <c r="D722" i="5"/>
  <c r="D714" i="4"/>
  <c r="D714" i="5"/>
  <c r="D706" i="4"/>
  <c r="D706" i="5"/>
  <c r="D697" i="4"/>
  <c r="D697" i="5"/>
  <c r="D689" i="4"/>
  <c r="D689" i="5"/>
  <c r="D681" i="4"/>
  <c r="D681" i="5"/>
  <c r="D673" i="4"/>
  <c r="D673" i="5"/>
  <c r="D665" i="4"/>
  <c r="D665" i="5"/>
  <c r="D657" i="4"/>
  <c r="D657" i="5"/>
  <c r="D648" i="4"/>
  <c r="D648" i="5"/>
  <c r="D640" i="4"/>
  <c r="D640" i="5"/>
  <c r="D632" i="4"/>
  <c r="D632" i="5"/>
  <c r="D623" i="4"/>
  <c r="D623" i="5"/>
  <c r="D615" i="4"/>
  <c r="D615" i="5"/>
  <c r="D607" i="4"/>
  <c r="D607" i="5"/>
  <c r="D599" i="4"/>
  <c r="D599" i="5"/>
  <c r="D591" i="4"/>
  <c r="D591" i="5"/>
  <c r="D583" i="4"/>
  <c r="D583" i="5"/>
  <c r="D575" i="4"/>
  <c r="D575" i="5"/>
  <c r="D567" i="4"/>
  <c r="D567" i="5"/>
  <c r="D559" i="4"/>
  <c r="D559" i="5"/>
  <c r="D551" i="4"/>
  <c r="D551" i="5"/>
  <c r="D543" i="4"/>
  <c r="D543" i="5"/>
  <c r="D535" i="4"/>
  <c r="D535" i="5"/>
  <c r="D526" i="4"/>
  <c r="D526" i="5"/>
  <c r="D518" i="4"/>
  <c r="D518" i="5"/>
  <c r="D510" i="4"/>
  <c r="D510" i="5"/>
  <c r="D502" i="4"/>
  <c r="D502" i="5"/>
  <c r="D494" i="4"/>
  <c r="D494" i="5"/>
  <c r="D486" i="4"/>
  <c r="D486" i="5"/>
  <c r="D478" i="4"/>
  <c r="D478" i="5"/>
  <c r="D468" i="4"/>
  <c r="D468" i="5"/>
  <c r="D457" i="4"/>
  <c r="D457" i="5"/>
  <c r="D449" i="4"/>
  <c r="D449" i="5"/>
  <c r="D437" i="4"/>
  <c r="D437" i="5"/>
  <c r="D429" i="4"/>
  <c r="D429" i="5"/>
  <c r="D421" i="4"/>
  <c r="D421" i="5"/>
  <c r="D407" i="4"/>
  <c r="D407" i="5"/>
  <c r="D398" i="4"/>
  <c r="D398" i="5"/>
  <c r="D390" i="4"/>
  <c r="D390" i="5"/>
  <c r="D381" i="4"/>
  <c r="D381" i="5"/>
  <c r="D373" i="4"/>
  <c r="D373" i="5"/>
  <c r="D365" i="4"/>
  <c r="D365" i="5"/>
  <c r="D356" i="4"/>
  <c r="D356" i="5"/>
  <c r="D348" i="4"/>
  <c r="D348" i="5"/>
  <c r="D339" i="4"/>
  <c r="D339" i="5"/>
  <c r="D330" i="4"/>
  <c r="D330" i="5"/>
  <c r="D321" i="4"/>
  <c r="D321" i="5"/>
  <c r="D313" i="4"/>
  <c r="D313" i="5"/>
  <c r="D303" i="4"/>
  <c r="D303" i="5"/>
  <c r="D295" i="4"/>
  <c r="D295" i="5"/>
  <c r="D285" i="4"/>
  <c r="D285" i="5"/>
  <c r="D277" i="4"/>
  <c r="D277" i="5"/>
  <c r="D269" i="4"/>
  <c r="D269" i="5"/>
  <c r="D261" i="4"/>
  <c r="D261" i="5"/>
  <c r="D253" i="4"/>
  <c r="D253" i="5"/>
  <c r="D245" i="4"/>
  <c r="D245" i="5"/>
  <c r="D237" i="4"/>
  <c r="D237" i="5"/>
  <c r="D228" i="4"/>
  <c r="D228" i="5"/>
  <c r="D220" i="4"/>
  <c r="D220" i="5"/>
  <c r="D212" i="4"/>
  <c r="D212" i="5"/>
  <c r="D204" i="4"/>
  <c r="D204" i="5"/>
  <c r="D196" i="4"/>
  <c r="D196" i="5"/>
  <c r="D185" i="4"/>
  <c r="D185" i="5"/>
  <c r="D172" i="4"/>
  <c r="D172" i="5"/>
  <c r="D162" i="4"/>
  <c r="D162" i="5"/>
  <c r="D154" i="4"/>
  <c r="D154" i="5"/>
  <c r="D146" i="4"/>
  <c r="D146" i="5"/>
  <c r="D138" i="4"/>
  <c r="D138" i="5"/>
  <c r="D127" i="4"/>
  <c r="D127" i="5"/>
  <c r="D115" i="4"/>
  <c r="D115" i="5"/>
  <c r="D98" i="4"/>
  <c r="D98" i="5"/>
  <c r="D90" i="4"/>
  <c r="D90" i="5"/>
  <c r="D82" i="4"/>
  <c r="D82" i="5"/>
  <c r="D74" i="4"/>
  <c r="D74" i="5"/>
  <c r="D66" i="4"/>
  <c r="D66" i="5"/>
  <c r="D58" i="4"/>
  <c r="D58" i="5"/>
  <c r="D48" i="4"/>
  <c r="D48" i="5"/>
  <c r="D37" i="4"/>
  <c r="D37" i="5"/>
  <c r="D28" i="4"/>
  <c r="D28" i="5"/>
  <c r="D17" i="4"/>
  <c r="D17" i="5"/>
  <c r="D7" i="4"/>
  <c r="D7" i="5"/>
  <c r="D693" i="4"/>
  <c r="D693" i="5"/>
  <c r="D661" i="4"/>
  <c r="D661" i="5"/>
  <c r="D619" i="4"/>
  <c r="D619" i="5"/>
  <c r="D579" i="4"/>
  <c r="D579" i="5"/>
  <c r="D539" i="4"/>
  <c r="D539" i="5"/>
  <c r="D474" i="4"/>
  <c r="D474" i="5"/>
  <c r="D433" i="4"/>
  <c r="D433" i="5"/>
  <c r="D386" i="4"/>
  <c r="D386" i="5"/>
  <c r="D335" i="4"/>
  <c r="D335" i="5"/>
  <c r="D281" i="4"/>
  <c r="D281" i="5"/>
  <c r="D224" i="4"/>
  <c r="D224" i="5"/>
  <c r="D158" i="4"/>
  <c r="D158" i="5"/>
  <c r="D86" i="4"/>
  <c r="D86" i="5"/>
  <c r="D22" i="4"/>
  <c r="D22" i="5"/>
  <c r="D733" i="4"/>
  <c r="D733" i="5"/>
  <c r="D452" i="4"/>
  <c r="D452" i="5"/>
  <c r="D416" i="4"/>
  <c r="D416" i="5"/>
  <c r="D368" i="4"/>
  <c r="D368" i="5"/>
  <c r="D324" i="4"/>
  <c r="D324" i="5"/>
  <c r="D272" i="4"/>
  <c r="D272" i="5"/>
  <c r="D223" i="4"/>
  <c r="D223" i="5"/>
  <c r="D199" i="4"/>
  <c r="D199" i="5"/>
  <c r="D149" i="4"/>
  <c r="D149" i="5"/>
  <c r="D61" i="4"/>
  <c r="D61" i="5"/>
  <c r="D731" i="4"/>
  <c r="D731" i="5"/>
  <c r="D707" i="4"/>
  <c r="D707" i="5"/>
  <c r="D682" i="4"/>
  <c r="D682" i="5"/>
  <c r="D721" i="4"/>
  <c r="D721" i="5"/>
  <c r="D705" i="4"/>
  <c r="D705" i="5"/>
  <c r="D688" i="4"/>
  <c r="D688" i="5"/>
  <c r="D680" i="4"/>
  <c r="D680" i="5"/>
  <c r="D672" i="4"/>
  <c r="D672" i="5"/>
  <c r="D664" i="4"/>
  <c r="D664" i="5"/>
  <c r="D655" i="4"/>
  <c r="D655" i="5"/>
  <c r="D647" i="4"/>
  <c r="D647" i="5"/>
  <c r="D639" i="4"/>
  <c r="D639" i="5"/>
  <c r="D631" i="4"/>
  <c r="D631" i="5"/>
  <c r="D622" i="4"/>
  <c r="D622" i="5"/>
  <c r="D614" i="4"/>
  <c r="D614" i="5"/>
  <c r="D606" i="4"/>
  <c r="D606" i="5"/>
  <c r="D598" i="4"/>
  <c r="D598" i="5"/>
  <c r="D590" i="4"/>
  <c r="D590" i="5"/>
  <c r="D582" i="4"/>
  <c r="D582" i="5"/>
  <c r="D574" i="4"/>
  <c r="D574" i="5"/>
  <c r="D566" i="4"/>
  <c r="D566" i="5"/>
  <c r="D558" i="4"/>
  <c r="D558" i="5"/>
  <c r="D550" i="4"/>
  <c r="D550" i="5"/>
  <c r="D542" i="4"/>
  <c r="D542" i="5"/>
  <c r="D534" i="4"/>
  <c r="D534" i="5"/>
  <c r="D525" i="4"/>
  <c r="D525" i="5"/>
  <c r="D517" i="4"/>
  <c r="D517" i="5"/>
  <c r="D509" i="4"/>
  <c r="D509" i="5"/>
  <c r="D501" i="4"/>
  <c r="D501" i="5"/>
  <c r="D493" i="4"/>
  <c r="D493" i="5"/>
  <c r="D485" i="4"/>
  <c r="D485" i="5"/>
  <c r="D477" i="4"/>
  <c r="D477" i="5"/>
  <c r="D467" i="4"/>
  <c r="D467" i="5"/>
  <c r="D456" i="4"/>
  <c r="D456" i="5"/>
  <c r="D448" i="4"/>
  <c r="D448" i="5"/>
  <c r="D436" i="4"/>
  <c r="D436" i="5"/>
  <c r="D428" i="4"/>
  <c r="D428" i="5"/>
  <c r="D420" i="4"/>
  <c r="D420" i="5"/>
  <c r="D405" i="4"/>
  <c r="D405" i="5"/>
  <c r="D397" i="4"/>
  <c r="D397" i="5"/>
  <c r="D389" i="4"/>
  <c r="D389" i="5"/>
  <c r="D380" i="4"/>
  <c r="D380" i="5"/>
  <c r="D372" i="4"/>
  <c r="D372" i="5"/>
  <c r="D364" i="4"/>
  <c r="D364" i="5"/>
  <c r="D355" i="4"/>
  <c r="D355" i="5"/>
  <c r="D347" i="4"/>
  <c r="D347" i="5"/>
  <c r="D338" i="4"/>
  <c r="D338" i="5"/>
  <c r="D328" i="4"/>
  <c r="D328" i="5"/>
  <c r="D320" i="4"/>
  <c r="D320" i="5"/>
  <c r="D312" i="4"/>
  <c r="D312" i="5"/>
  <c r="D302" i="4"/>
  <c r="D302" i="5"/>
  <c r="D294" i="4"/>
  <c r="D294" i="5"/>
  <c r="D284" i="4"/>
  <c r="D284" i="5"/>
  <c r="D276" i="4"/>
  <c r="D276" i="5"/>
  <c r="D268" i="4"/>
  <c r="D268" i="5"/>
  <c r="D260" i="4"/>
  <c r="D260" i="5"/>
  <c r="D252" i="4"/>
  <c r="D252" i="5"/>
  <c r="D244" i="4"/>
  <c r="D244" i="5"/>
  <c r="D236" i="4"/>
  <c r="D236" i="5"/>
  <c r="D227" i="4"/>
  <c r="D227" i="5"/>
  <c r="D219" i="4"/>
  <c r="D219" i="5"/>
  <c r="D211" i="4"/>
  <c r="D211" i="5"/>
  <c r="D203" i="4"/>
  <c r="D203" i="5"/>
  <c r="D195" i="4"/>
  <c r="D195" i="5"/>
  <c r="D183" i="4"/>
  <c r="D183" i="5"/>
  <c r="D171" i="4"/>
  <c r="D171" i="5"/>
  <c r="D161" i="4"/>
  <c r="D161" i="5"/>
  <c r="D153" i="4"/>
  <c r="D153" i="5"/>
  <c r="D145" i="4"/>
  <c r="D145" i="5"/>
  <c r="D137" i="4"/>
  <c r="D137" i="5"/>
  <c r="D126" i="4"/>
  <c r="D126" i="5"/>
  <c r="D114" i="4"/>
  <c r="D114" i="5"/>
  <c r="D97" i="4"/>
  <c r="D97" i="5"/>
  <c r="D89" i="4"/>
  <c r="D89" i="5"/>
  <c r="D81" i="4"/>
  <c r="D81" i="5"/>
  <c r="D73" i="4"/>
  <c r="D73" i="5"/>
  <c r="D65" i="4"/>
  <c r="D65" i="5"/>
  <c r="D57" i="4"/>
  <c r="D57" i="5"/>
  <c r="D46" i="4"/>
  <c r="D46" i="5"/>
  <c r="D35" i="4"/>
  <c r="D35" i="5"/>
  <c r="D27" i="4"/>
  <c r="D27" i="5"/>
  <c r="D15" i="4"/>
  <c r="D15" i="5"/>
  <c r="D6" i="4"/>
  <c r="D6" i="5"/>
  <c r="D726" i="4"/>
  <c r="D726" i="5"/>
  <c r="D702" i="4"/>
  <c r="D702" i="5"/>
  <c r="D669" i="4"/>
  <c r="D669" i="5"/>
  <c r="D628" i="4"/>
  <c r="D628" i="5"/>
  <c r="D587" i="4"/>
  <c r="D587" i="5"/>
  <c r="D506" i="4"/>
  <c r="D506" i="5"/>
  <c r="D425" i="4"/>
  <c r="D425" i="5"/>
  <c r="D377" i="4"/>
  <c r="D377" i="5"/>
  <c r="D325" i="4"/>
  <c r="D325" i="5"/>
  <c r="D273" i="4"/>
  <c r="D273" i="5"/>
  <c r="D233" i="4"/>
  <c r="D233" i="5"/>
  <c r="D168" i="4"/>
  <c r="D168" i="5"/>
  <c r="D94" i="4"/>
  <c r="D94" i="5"/>
  <c r="D32" i="4"/>
  <c r="D32" i="5"/>
  <c r="D627" i="4"/>
  <c r="D627" i="5"/>
  <c r="D586" i="4"/>
  <c r="D586" i="5"/>
  <c r="D546" i="4"/>
  <c r="D546" i="5"/>
  <c r="D513" i="4"/>
  <c r="D513" i="5"/>
  <c r="D481" i="4"/>
  <c r="D481" i="5"/>
  <c r="D432" i="4"/>
  <c r="D432" i="5"/>
  <c r="D376" i="4"/>
  <c r="D376" i="5"/>
  <c r="D343" i="4"/>
  <c r="D343" i="5"/>
  <c r="D306" i="4"/>
  <c r="D306" i="5"/>
  <c r="D264" i="4"/>
  <c r="D264" i="5"/>
  <c r="D232" i="4"/>
  <c r="D232" i="5"/>
  <c r="D189" i="4"/>
  <c r="D189" i="5"/>
  <c r="D141" i="4"/>
  <c r="D141" i="5"/>
  <c r="D69" i="4"/>
  <c r="D69" i="5"/>
  <c r="D698" i="4"/>
  <c r="D698" i="5"/>
  <c r="D2" i="4"/>
  <c r="D2" i="5"/>
  <c r="D713" i="4"/>
  <c r="D713" i="5"/>
  <c r="D736" i="4"/>
  <c r="D736" i="5"/>
  <c r="D720" i="4"/>
  <c r="D720" i="5"/>
  <c r="D704" i="4"/>
  <c r="D704" i="5"/>
  <c r="D687" i="4"/>
  <c r="D687" i="5"/>
  <c r="D671" i="4"/>
  <c r="D671" i="5"/>
  <c r="D621" i="4"/>
  <c r="D621" i="5"/>
  <c r="D613" i="4"/>
  <c r="D613" i="5"/>
  <c r="D605" i="4"/>
  <c r="D605" i="5"/>
  <c r="D597" i="4"/>
  <c r="D597" i="5"/>
  <c r="D589" i="4"/>
  <c r="D589" i="5"/>
  <c r="D581" i="4"/>
  <c r="D581" i="5"/>
  <c r="D573" i="4"/>
  <c r="D573" i="5"/>
  <c r="D565" i="4"/>
  <c r="D565" i="5"/>
  <c r="D557" i="4"/>
  <c r="D557" i="5"/>
  <c r="D549" i="4"/>
  <c r="D549" i="5"/>
  <c r="D541" i="4"/>
  <c r="D541" i="5"/>
  <c r="D533" i="4"/>
  <c r="D533" i="5"/>
  <c r="D524" i="4"/>
  <c r="D524" i="5"/>
  <c r="D516" i="4"/>
  <c r="D516" i="5"/>
  <c r="D508" i="4"/>
  <c r="D508" i="5"/>
  <c r="D500" i="4"/>
  <c r="D500" i="5"/>
  <c r="D492" i="4"/>
  <c r="D492" i="5"/>
  <c r="D484" i="4"/>
  <c r="D484" i="5"/>
  <c r="D476" i="4"/>
  <c r="D476" i="5"/>
  <c r="D466" i="4"/>
  <c r="D466" i="5"/>
  <c r="D455" i="4"/>
  <c r="D455" i="5"/>
  <c r="D447" i="4"/>
  <c r="D447" i="5"/>
  <c r="D435" i="4"/>
  <c r="D435" i="5"/>
  <c r="D427" i="4"/>
  <c r="D427" i="5"/>
  <c r="D419" i="4"/>
  <c r="D419" i="5"/>
  <c r="D404" i="4"/>
  <c r="D404" i="5"/>
  <c r="D396" i="4"/>
  <c r="D396" i="5"/>
  <c r="D388" i="4"/>
  <c r="D388" i="5"/>
  <c r="D379" i="4"/>
  <c r="D379" i="5"/>
  <c r="D371" i="4"/>
  <c r="D371" i="5"/>
  <c r="D363" i="4"/>
  <c r="D363" i="5"/>
  <c r="D354" i="4"/>
  <c r="D354" i="5"/>
  <c r="D346" i="4"/>
  <c r="D346" i="5"/>
  <c r="D337" i="4"/>
  <c r="D337" i="5"/>
  <c r="D327" i="4"/>
  <c r="D327" i="5"/>
  <c r="D319" i="4"/>
  <c r="D319" i="5"/>
  <c r="D311" i="4"/>
  <c r="D311" i="5"/>
  <c r="D301" i="4"/>
  <c r="D301" i="5"/>
  <c r="D293" i="4"/>
  <c r="D293" i="5"/>
  <c r="D283" i="4"/>
  <c r="D283" i="5"/>
  <c r="D275" i="4"/>
  <c r="D275" i="5"/>
  <c r="D267" i="4"/>
  <c r="D267" i="5"/>
  <c r="D259" i="4"/>
  <c r="D259" i="5"/>
  <c r="D251" i="4"/>
  <c r="D251" i="5"/>
  <c r="D243" i="4"/>
  <c r="D243" i="5"/>
  <c r="D235" i="4"/>
  <c r="D235" i="5"/>
  <c r="D226" i="4"/>
  <c r="D226" i="5"/>
  <c r="D218" i="4"/>
  <c r="D218" i="5"/>
  <c r="D210" i="4"/>
  <c r="D210" i="5"/>
  <c r="D202" i="4"/>
  <c r="D202" i="5"/>
  <c r="D194" i="4"/>
  <c r="D194" i="5"/>
  <c r="D182" i="4"/>
  <c r="D182" i="5"/>
  <c r="D170" i="4"/>
  <c r="D170" i="5"/>
  <c r="D160" i="4"/>
  <c r="D160" i="5"/>
  <c r="D152" i="4"/>
  <c r="D152" i="5"/>
  <c r="D144" i="4"/>
  <c r="D144" i="5"/>
  <c r="D136" i="4"/>
  <c r="D136" i="5"/>
  <c r="D123" i="4"/>
  <c r="D123" i="5"/>
  <c r="D111" i="4"/>
  <c r="D111" i="5"/>
  <c r="D96" i="4"/>
  <c r="D96" i="5"/>
  <c r="D88" i="4"/>
  <c r="D88" i="5"/>
  <c r="D80" i="4"/>
  <c r="D80" i="5"/>
  <c r="D72" i="4"/>
  <c r="D72" i="5"/>
  <c r="D64" i="4"/>
  <c r="D64" i="5"/>
  <c r="D56" i="4"/>
  <c r="D56" i="5"/>
  <c r="D45" i="4"/>
  <c r="D45" i="5"/>
  <c r="D34" i="4"/>
  <c r="D34" i="5"/>
  <c r="D25" i="4"/>
  <c r="D25" i="5"/>
  <c r="D14" i="4"/>
  <c r="D14" i="5"/>
  <c r="D5" i="4"/>
  <c r="D5" i="5"/>
  <c r="D677" i="4"/>
  <c r="D677" i="5"/>
  <c r="D636" i="4"/>
  <c r="D636" i="5"/>
  <c r="D595" i="4"/>
  <c r="D595" i="5"/>
  <c r="D555" i="4"/>
  <c r="D555" i="5"/>
  <c r="D514" i="4"/>
  <c r="D514" i="5"/>
  <c r="D498" i="4"/>
  <c r="D498" i="5"/>
  <c r="D453" i="4"/>
  <c r="D453" i="5"/>
  <c r="D402" i="4"/>
  <c r="D402" i="5"/>
  <c r="D369" i="4"/>
  <c r="D369" i="5"/>
  <c r="D307" i="4"/>
  <c r="D307" i="5"/>
  <c r="D265" i="4"/>
  <c r="D265" i="5"/>
  <c r="D216" i="4"/>
  <c r="D216" i="5"/>
  <c r="D177" i="4"/>
  <c r="D177" i="5"/>
  <c r="D133" i="4"/>
  <c r="D133" i="5"/>
  <c r="D78" i="4"/>
  <c r="D78" i="5"/>
  <c r="D54" i="4"/>
  <c r="D54" i="5"/>
  <c r="D700" i="4"/>
  <c r="D700" i="5"/>
  <c r="D684" i="4"/>
  <c r="D684" i="5"/>
  <c r="D651" i="4"/>
  <c r="D651" i="5"/>
  <c r="D610" i="4"/>
  <c r="D610" i="5"/>
  <c r="D562" i="4"/>
  <c r="D562" i="5"/>
  <c r="D521" i="4"/>
  <c r="D521" i="5"/>
  <c r="D489" i="4"/>
  <c r="D489" i="5"/>
  <c r="D424" i="4"/>
  <c r="D424" i="5"/>
  <c r="D316" i="4"/>
  <c r="D316" i="5"/>
  <c r="D280" i="4"/>
  <c r="D280" i="5"/>
  <c r="D248" i="4"/>
  <c r="D248" i="5"/>
  <c r="D215" i="4"/>
  <c r="D215" i="5"/>
  <c r="D166" i="4"/>
  <c r="D166" i="5"/>
  <c r="D93" i="4"/>
  <c r="D93" i="5"/>
  <c r="D729" i="4"/>
  <c r="D729" i="5"/>
  <c r="D696" i="4"/>
  <c r="D696" i="5"/>
  <c r="D728" i="4"/>
  <c r="D728" i="5"/>
  <c r="D712" i="4"/>
  <c r="D712" i="5"/>
  <c r="D695" i="4"/>
  <c r="D695" i="5"/>
  <c r="D679" i="4"/>
  <c r="D679" i="5"/>
  <c r="D663" i="4"/>
  <c r="D663" i="5"/>
  <c r="D654" i="4"/>
  <c r="D654" i="5"/>
  <c r="D646" i="4"/>
  <c r="D646" i="5"/>
  <c r="D638" i="4"/>
  <c r="D638" i="5"/>
  <c r="D630" i="4"/>
  <c r="D630" i="5"/>
  <c r="D735" i="4"/>
  <c r="D735" i="5"/>
  <c r="D727" i="4"/>
  <c r="D727" i="5"/>
  <c r="D719" i="4"/>
  <c r="D719" i="5"/>
  <c r="D711" i="4"/>
  <c r="D711" i="5"/>
  <c r="D703" i="4"/>
  <c r="D703" i="5"/>
  <c r="D694" i="4"/>
  <c r="D694" i="5"/>
  <c r="D686" i="4"/>
  <c r="D686" i="5"/>
  <c r="D678" i="4"/>
  <c r="D678" i="5"/>
  <c r="D670" i="4"/>
  <c r="D670" i="5"/>
  <c r="D662" i="4"/>
  <c r="D662" i="5"/>
  <c r="D653" i="4"/>
  <c r="D653" i="5"/>
  <c r="D645" i="4"/>
  <c r="D645" i="5"/>
  <c r="D637" i="4"/>
  <c r="D637" i="5"/>
  <c r="D629" i="4"/>
  <c r="D629" i="5"/>
  <c r="D620" i="4"/>
  <c r="D620" i="5"/>
  <c r="D612" i="4"/>
  <c r="D612" i="5"/>
  <c r="D604" i="4"/>
  <c r="D604" i="5"/>
  <c r="D596" i="4"/>
  <c r="D596" i="5"/>
  <c r="D588" i="4"/>
  <c r="D588" i="5"/>
  <c r="D580" i="4"/>
  <c r="D580" i="5"/>
  <c r="D572" i="4"/>
  <c r="D572" i="5"/>
  <c r="D564" i="4"/>
  <c r="D564" i="5"/>
  <c r="D556" i="4"/>
  <c r="D556" i="5"/>
  <c r="D548" i="4"/>
  <c r="D548" i="5"/>
  <c r="D540" i="4"/>
  <c r="D540" i="5"/>
  <c r="D532" i="4"/>
  <c r="D532" i="5"/>
  <c r="D523" i="4"/>
  <c r="D523" i="5"/>
  <c r="D515" i="4"/>
  <c r="D515" i="5"/>
  <c r="D507" i="4"/>
  <c r="D507" i="5"/>
  <c r="D499" i="4"/>
  <c r="D499" i="5"/>
  <c r="D491" i="4"/>
  <c r="D491" i="5"/>
  <c r="D483" i="4"/>
  <c r="D483" i="5"/>
  <c r="D475" i="4"/>
  <c r="D475" i="5"/>
  <c r="D465" i="4"/>
  <c r="D465" i="5"/>
  <c r="D454" i="4"/>
  <c r="D454" i="5"/>
  <c r="D446" i="4"/>
  <c r="D446" i="5"/>
  <c r="D434" i="4"/>
  <c r="D434" i="5"/>
  <c r="D426" i="4"/>
  <c r="D426" i="5"/>
  <c r="D418" i="4"/>
  <c r="D418" i="5"/>
  <c r="D403" i="4"/>
  <c r="D403" i="5"/>
  <c r="D395" i="4"/>
  <c r="D395" i="5"/>
  <c r="D387" i="4"/>
  <c r="D387" i="5"/>
  <c r="D378" i="4"/>
  <c r="D378" i="5"/>
  <c r="D370" i="4"/>
  <c r="D370" i="5"/>
  <c r="D362" i="4"/>
  <c r="D362" i="5"/>
  <c r="D353" i="4"/>
  <c r="D353" i="5"/>
  <c r="D345" i="4"/>
  <c r="D345" i="5"/>
  <c r="D336" i="4"/>
  <c r="D336" i="5"/>
  <c r="D326" i="4"/>
  <c r="D326" i="5"/>
  <c r="D318" i="4"/>
  <c r="D318" i="5"/>
  <c r="D310" i="4"/>
  <c r="D310" i="5"/>
  <c r="D300" i="4"/>
  <c r="D300" i="5"/>
  <c r="D292" i="4"/>
  <c r="D292" i="5"/>
  <c r="D282" i="4"/>
  <c r="D282" i="5"/>
  <c r="D274" i="4"/>
  <c r="D274" i="5"/>
  <c r="D266" i="4"/>
  <c r="D266" i="5"/>
  <c r="D258" i="4"/>
  <c r="D258" i="5"/>
  <c r="D250" i="4"/>
  <c r="D250" i="5"/>
  <c r="D242" i="4"/>
  <c r="D242" i="5"/>
  <c r="D234" i="4"/>
  <c r="D234" i="5"/>
  <c r="D225" i="4"/>
  <c r="D225" i="5"/>
  <c r="D217" i="4"/>
  <c r="D217" i="5"/>
  <c r="D209" i="4"/>
  <c r="D209" i="5"/>
  <c r="D201" i="4"/>
  <c r="D201" i="5"/>
  <c r="D193" i="4"/>
  <c r="D193" i="5"/>
  <c r="D179" i="4"/>
  <c r="D179" i="5"/>
  <c r="D169" i="4"/>
  <c r="D169" i="5"/>
  <c r="D159" i="4"/>
  <c r="D159" i="5"/>
  <c r="D151" i="4"/>
  <c r="D151" i="5"/>
  <c r="D143" i="4"/>
  <c r="D143" i="5"/>
  <c r="D135" i="4"/>
  <c r="D135" i="5"/>
  <c r="D122" i="4"/>
  <c r="D122" i="5"/>
  <c r="D109" i="4"/>
  <c r="D109" i="5"/>
  <c r="D95" i="4"/>
  <c r="D95" i="5"/>
  <c r="D87" i="4"/>
  <c r="D87" i="5"/>
  <c r="D79" i="4"/>
  <c r="D79" i="5"/>
  <c r="D71" i="4"/>
  <c r="D71" i="5"/>
  <c r="D63" i="4"/>
  <c r="D63" i="5"/>
  <c r="D55" i="4"/>
  <c r="D55" i="5"/>
  <c r="D44" i="4"/>
  <c r="D44" i="5"/>
  <c r="D33" i="4"/>
  <c r="D33" i="5"/>
  <c r="D24" i="4"/>
  <c r="D24" i="5"/>
  <c r="D13" i="4"/>
  <c r="D13" i="5"/>
  <c r="D4" i="4"/>
  <c r="D4" i="5"/>
</calcChain>
</file>

<file path=xl/comments1.xml><?xml version="1.0" encoding="utf-8"?>
<comments xmlns="http://schemas.openxmlformats.org/spreadsheetml/2006/main">
  <authors>
    <author>Thomschke, Friedrun</author>
  </authors>
  <commentList>
    <comment ref="T1" authorId="0" shapeId="0">
      <text>
        <r>
          <rPr>
            <b/>
            <sz val="9"/>
            <color indexed="81"/>
            <rFont val="Segoe UI"/>
            <family val="2"/>
          </rPr>
          <t>Thomschke, Friedrun:</t>
        </r>
        <r>
          <rPr>
            <sz val="9"/>
            <color indexed="81"/>
            <rFont val="Segoe UI"/>
            <family val="2"/>
          </rPr>
          <t xml:space="preserve">
Maße des geschlossenen Buches</t>
        </r>
      </text>
    </comment>
    <comment ref="AC1" authorId="0" shapeId="0">
      <text>
        <r>
          <rPr>
            <b/>
            <sz val="9"/>
            <color indexed="81"/>
            <rFont val="Segoe UI"/>
            <family val="2"/>
          </rPr>
          <t>Thomschke, Friedrun:</t>
        </r>
        <r>
          <rPr>
            <sz val="9"/>
            <color indexed="81"/>
            <rFont val="Segoe UI"/>
            <family val="2"/>
          </rPr>
          <t xml:space="preserve">
x = normaler Schaden
xx = extremer Schaden</t>
        </r>
      </text>
    </comment>
    <comment ref="AH1" authorId="0" shapeId="0">
      <text>
        <r>
          <rPr>
            <b/>
            <sz val="9"/>
            <color indexed="81"/>
            <rFont val="Segoe UI"/>
            <family val="2"/>
          </rPr>
          <t>Thomschke, Friedrun:</t>
        </r>
        <r>
          <rPr>
            <sz val="9"/>
            <color indexed="81"/>
            <rFont val="Segoe UI"/>
            <family val="2"/>
          </rPr>
          <t xml:space="preserve">
dazugebundene, leere Seiten aus sauren Papier</t>
        </r>
      </text>
    </comment>
    <comment ref="AL1" authorId="0" shapeId="0">
      <text>
        <r>
          <rPr>
            <b/>
            <sz val="9"/>
            <color indexed="81"/>
            <rFont val="Segoe UI"/>
            <family val="2"/>
          </rPr>
          <t>Thomschke, Friedrun:</t>
        </r>
        <r>
          <rPr>
            <sz val="9"/>
            <color indexed="81"/>
            <rFont val="Segoe UI"/>
            <family val="2"/>
          </rPr>
          <t xml:space="preserve">
x = normaler Bauch
xx = extremer Bauch</t>
        </r>
      </text>
    </comment>
    <comment ref="AO1" authorId="0" shapeId="0">
      <text>
        <r>
          <rPr>
            <b/>
            <sz val="9"/>
            <color indexed="81"/>
            <rFont val="Segoe UI"/>
            <family val="2"/>
          </rPr>
          <t>Thomschke, Friedrun:</t>
        </r>
        <r>
          <rPr>
            <sz val="9"/>
            <color indexed="81"/>
            <rFont val="Segoe UI"/>
            <family val="2"/>
          </rPr>
          <t xml:space="preserve">
bei Breite immer von Buchfalz aus gemessen, nicht die Gesamtbreite bei durchgehenden Tafeln --&gt; Buchbreite muss also zur Gesamtgröße der Tafel dazu gerechnet werden</t>
        </r>
      </text>
    </comment>
    <comment ref="AP1" authorId="0" shapeId="0">
      <text>
        <r>
          <rPr>
            <b/>
            <sz val="9"/>
            <color indexed="81"/>
            <rFont val="Segoe UI"/>
            <family val="2"/>
          </rPr>
          <t>Thomschke, Friedrun:</t>
        </r>
        <r>
          <rPr>
            <sz val="9"/>
            <color indexed="81"/>
            <rFont val="Segoe UI"/>
            <family val="2"/>
          </rPr>
          <t xml:space="preserve">
Es sind mehrere Grafiken enthalten, nicht nur Frontispiz oder Kupfertitel. Es kann sich auch um ganze Grafikbände handeln.</t>
        </r>
      </text>
    </comment>
    <comment ref="AR1" authorId="0" shapeId="0">
      <text>
        <r>
          <rPr>
            <b/>
            <sz val="9"/>
            <color indexed="81"/>
            <rFont val="Segoe UI"/>
            <family val="2"/>
          </rPr>
          <t>Thomschke, Friedrun:</t>
        </r>
        <r>
          <rPr>
            <sz val="9"/>
            <color indexed="81"/>
            <rFont val="Segoe UI"/>
            <family val="2"/>
          </rPr>
          <t xml:space="preserve">
x = wäre gut
xx = auf jeden Fall</t>
        </r>
      </text>
    </comment>
    <comment ref="AT1" authorId="0" shapeId="0">
      <text>
        <r>
          <rPr>
            <b/>
            <sz val="9"/>
            <color indexed="81"/>
            <rFont val="Segoe UI"/>
            <family val="2"/>
          </rPr>
          <t>Thomschke, Friedrun:</t>
        </r>
        <r>
          <rPr>
            <sz val="9"/>
            <color indexed="81"/>
            <rFont val="Segoe UI"/>
            <family val="2"/>
          </rPr>
          <t xml:space="preserve">
diese Spalte eingefügt am 23.02. --&gt; Rest der Tabelle darauf prüfen/nachtragen</t>
        </r>
      </text>
    </comment>
    <comment ref="H11" authorId="0" shapeId="0">
      <text>
        <r>
          <rPr>
            <b/>
            <sz val="9"/>
            <color indexed="81"/>
            <rFont val="Segoe UI"/>
            <family val="2"/>
          </rPr>
          <t>Thomschke, Friedrun:</t>
        </r>
        <r>
          <rPr>
            <sz val="9"/>
            <color indexed="81"/>
            <rFont val="Segoe UI"/>
            <family val="2"/>
          </rPr>
          <t xml:space="preserve">
war mir zu schwer --&gt; zu zweit arbeiten</t>
        </r>
      </text>
    </comment>
    <comment ref="E16" authorId="0" shapeId="0">
      <text>
        <r>
          <rPr>
            <b/>
            <sz val="9"/>
            <color indexed="81"/>
            <rFont val="Segoe UI"/>
            <family val="2"/>
          </rPr>
          <t>Thomschke, Friedrun:</t>
        </r>
        <r>
          <rPr>
            <sz val="9"/>
            <color indexed="81"/>
            <rFont val="Segoe UI"/>
            <family val="2"/>
          </rPr>
          <t xml:space="preserve">
Achtung! Kursiv steht nicht auf dem Sig.-Schild</t>
        </r>
      </text>
    </comment>
    <comment ref="H19" authorId="0" shapeId="0">
      <text>
        <r>
          <rPr>
            <b/>
            <sz val="9"/>
            <color indexed="81"/>
            <rFont val="Segoe UI"/>
            <family val="2"/>
          </rPr>
          <t>Thomschke, Friedrun:</t>
        </r>
        <r>
          <rPr>
            <sz val="9"/>
            <color indexed="81"/>
            <rFont val="Segoe UI"/>
            <family val="2"/>
          </rPr>
          <t xml:space="preserve">
war mir zu schwer --&gt; zu zweit arbeiten</t>
        </r>
      </text>
    </comment>
    <comment ref="E26" authorId="0" shapeId="0">
      <text>
        <r>
          <rPr>
            <b/>
            <sz val="9"/>
            <color indexed="81"/>
            <rFont val="Segoe UI"/>
            <family val="2"/>
          </rPr>
          <t>Thomschke, Friedrun:</t>
        </r>
        <r>
          <rPr>
            <sz val="9"/>
            <color indexed="81"/>
            <rFont val="Segoe UI"/>
            <family val="2"/>
          </rPr>
          <t xml:space="preserve">
Achtung! Kursiv steht nicht auf dem Sig.-Schild</t>
        </r>
      </text>
    </comment>
    <comment ref="H30" authorId="0" shapeId="0">
      <text>
        <r>
          <rPr>
            <b/>
            <sz val="9"/>
            <color indexed="81"/>
            <rFont val="Segoe UI"/>
            <family val="2"/>
          </rPr>
          <t>Thomschke, Friedrun:</t>
        </r>
        <r>
          <rPr>
            <sz val="9"/>
            <color indexed="81"/>
            <rFont val="Segoe UI"/>
            <family val="2"/>
          </rPr>
          <t xml:space="preserve">
war mir zu schwer --&gt; zu zweit arbeiten</t>
        </r>
      </text>
    </comment>
    <comment ref="AS32" authorId="0" shapeId="0">
      <text>
        <r>
          <rPr>
            <b/>
            <sz val="9"/>
            <color indexed="81"/>
            <rFont val="Segoe UI"/>
            <family val="2"/>
          </rPr>
          <t>Thomschke, Friedrun:</t>
        </r>
        <r>
          <rPr>
            <sz val="9"/>
            <color indexed="81"/>
            <rFont val="Segoe UI"/>
            <family val="2"/>
          </rPr>
          <t xml:space="preserve">
BB sehr steif</t>
        </r>
      </text>
    </comment>
    <comment ref="AS75" authorId="0" shapeId="0">
      <text>
        <r>
          <rPr>
            <b/>
            <sz val="9"/>
            <color indexed="81"/>
            <rFont val="Segoe UI"/>
            <family val="2"/>
          </rPr>
          <t>Thomschke, Friedrun:</t>
        </r>
        <r>
          <rPr>
            <sz val="9"/>
            <color indexed="81"/>
            <rFont val="Segoe UI"/>
            <family val="2"/>
          </rPr>
          <t xml:space="preserve">
wegen Bauch, Digi-Grenzfall</t>
        </r>
      </text>
    </comment>
    <comment ref="BE126" authorId="0" shapeId="0">
      <text>
        <r>
          <rPr>
            <b/>
            <sz val="9"/>
            <color indexed="81"/>
            <rFont val="Segoe UI"/>
            <charset val="1"/>
          </rPr>
          <t>Thomschke, Friedrun:</t>
        </r>
        <r>
          <rPr>
            <sz val="9"/>
            <color indexed="81"/>
            <rFont val="Segoe UI"/>
            <charset val="1"/>
          </rPr>
          <t xml:space="preserve">
viel zu eng --&gt; nicht einschubern!</t>
        </r>
      </text>
    </comment>
    <comment ref="E144" authorId="0" shapeId="0">
      <text>
        <r>
          <rPr>
            <b/>
            <sz val="9"/>
            <color indexed="81"/>
            <rFont val="Segoe UI"/>
            <family val="2"/>
          </rPr>
          <t>Thomschke, Friedrun:</t>
        </r>
        <r>
          <rPr>
            <sz val="9"/>
            <color indexed="81"/>
            <rFont val="Segoe UI"/>
            <family val="2"/>
          </rPr>
          <t xml:space="preserve">
?? Ist eigenes Buch.</t>
        </r>
      </text>
    </comment>
    <comment ref="E154" authorId="0" shapeId="0">
      <text>
        <r>
          <rPr>
            <b/>
            <sz val="9"/>
            <color indexed="81"/>
            <rFont val="Segoe UI"/>
            <family val="2"/>
          </rPr>
          <t>Thomschke, Friedrun:</t>
        </r>
        <r>
          <rPr>
            <sz val="9"/>
            <color indexed="81"/>
            <rFont val="Segoe UI"/>
            <family val="2"/>
          </rPr>
          <t xml:space="preserve">
?? Ist eigenes Buch.</t>
        </r>
      </text>
    </comment>
    <comment ref="AS198" authorId="0" shapeId="0">
      <text>
        <r>
          <rPr>
            <b/>
            <sz val="9"/>
            <color indexed="81"/>
            <rFont val="Segoe UI"/>
            <family val="2"/>
          </rPr>
          <t>Thomschke, Friedrun:</t>
        </r>
        <r>
          <rPr>
            <sz val="9"/>
            <color indexed="81"/>
            <rFont val="Segoe UI"/>
            <family val="2"/>
          </rPr>
          <t xml:space="preserve">
wegen Welligkeit</t>
        </r>
      </text>
    </comment>
    <comment ref="E400" authorId="0" shapeId="0">
      <text>
        <r>
          <rPr>
            <b/>
            <sz val="9"/>
            <color indexed="81"/>
            <rFont val="Segoe UI"/>
            <family val="2"/>
          </rPr>
          <t>Thomschke, Friedrun:</t>
        </r>
        <r>
          <rPr>
            <sz val="9"/>
            <color indexed="81"/>
            <rFont val="Segoe UI"/>
            <family val="2"/>
          </rPr>
          <t xml:space="preserve">
ist laut beiliegendem Zettel bereits im Hs.-Projekt digitalisiert</t>
        </r>
      </text>
    </comment>
    <comment ref="BK565" authorId="0" shapeId="0">
      <text>
        <r>
          <rPr>
            <b/>
            <sz val="9"/>
            <color indexed="81"/>
            <rFont val="Segoe UI"/>
          </rPr>
          <t>Thomschke, Friedrun:</t>
        </r>
        <r>
          <rPr>
            <sz val="9"/>
            <color indexed="81"/>
            <rFont val="Segoe UI"/>
          </rPr>
          <t xml:space="preserve">
Gelenke sind kaputt</t>
        </r>
      </text>
    </comment>
    <comment ref="BK627" authorId="0" shapeId="0">
      <text>
        <r>
          <rPr>
            <b/>
            <sz val="9"/>
            <color indexed="81"/>
            <rFont val="Segoe UI"/>
            <charset val="1"/>
          </rPr>
          <t>Thomschke, Friedrun:</t>
        </r>
        <r>
          <rPr>
            <sz val="9"/>
            <color indexed="81"/>
            <rFont val="Segoe UI"/>
            <charset val="1"/>
          </rPr>
          <t xml:space="preserve">
mit saurem Füllmaterial</t>
        </r>
      </text>
    </comment>
    <comment ref="BK631" authorId="0" shapeId="0">
      <text>
        <r>
          <rPr>
            <b/>
            <sz val="9"/>
            <color indexed="81"/>
            <rFont val="Segoe UI"/>
            <family val="2"/>
          </rPr>
          <t>Thomschke, Friedrun:</t>
        </r>
        <r>
          <rPr>
            <sz val="9"/>
            <color indexed="81"/>
            <rFont val="Segoe UI"/>
            <family val="2"/>
          </rPr>
          <t xml:space="preserve">
mit saurem Füllmaterial, Gelenk vorn gebrochen</t>
        </r>
      </text>
    </comment>
    <comment ref="BK632" authorId="0" shapeId="0">
      <text>
        <r>
          <rPr>
            <b/>
            <sz val="9"/>
            <color indexed="81"/>
            <rFont val="Segoe UI"/>
            <family val="2"/>
          </rPr>
          <t>Thomschke, Friedrun:</t>
        </r>
        <r>
          <rPr>
            <sz val="9"/>
            <color indexed="81"/>
            <rFont val="Segoe UI"/>
            <family val="2"/>
          </rPr>
          <t xml:space="preserve">
Pg., beschädigt, koloriert</t>
        </r>
      </text>
    </comment>
    <comment ref="BK634" authorId="0" shapeId="0">
      <text>
        <r>
          <rPr>
            <b/>
            <sz val="9"/>
            <color indexed="81"/>
            <rFont val="Segoe UI"/>
            <family val="2"/>
          </rPr>
          <t>Thomschke, Friedrun:</t>
        </r>
        <r>
          <rPr>
            <sz val="9"/>
            <color indexed="81"/>
            <rFont val="Segoe UI"/>
            <family val="2"/>
          </rPr>
          <t xml:space="preserve">
Gelenke kaputt</t>
        </r>
      </text>
    </comment>
    <comment ref="E636" authorId="0" shapeId="0">
      <text>
        <r>
          <rPr>
            <b/>
            <sz val="9"/>
            <color indexed="81"/>
            <rFont val="Segoe UI"/>
            <family val="2"/>
          </rPr>
          <t>Thomschke, Friedrun:</t>
        </r>
        <r>
          <rPr>
            <sz val="9"/>
            <color indexed="81"/>
            <rFont val="Segoe UI"/>
            <family val="2"/>
          </rPr>
          <t xml:space="preserve">
ws. bei GF</t>
        </r>
      </text>
    </comment>
    <comment ref="E637" authorId="0" shapeId="0">
      <text>
        <r>
          <rPr>
            <b/>
            <sz val="9"/>
            <color indexed="81"/>
            <rFont val="Segoe UI"/>
            <family val="2"/>
          </rPr>
          <t>Thomschke, Friedrun:</t>
        </r>
        <r>
          <rPr>
            <sz val="9"/>
            <color indexed="81"/>
            <rFont val="Segoe UI"/>
            <family val="2"/>
          </rPr>
          <t xml:space="preserve">
ws. bei GF</t>
        </r>
      </text>
    </comment>
    <comment ref="E641" authorId="0" shapeId="0">
      <text>
        <r>
          <rPr>
            <b/>
            <sz val="9"/>
            <color indexed="81"/>
            <rFont val="Segoe UI"/>
            <family val="2"/>
          </rPr>
          <t>Thomschke, Friedrun:</t>
        </r>
        <r>
          <rPr>
            <sz val="9"/>
            <color indexed="81"/>
            <rFont val="Segoe UI"/>
            <family val="2"/>
          </rPr>
          <t xml:space="preserve">
ws. bei GF</t>
        </r>
      </text>
    </comment>
    <comment ref="E643" authorId="0" shapeId="0">
      <text>
        <r>
          <rPr>
            <b/>
            <sz val="9"/>
            <color indexed="81"/>
            <rFont val="Segoe UI"/>
            <family val="2"/>
          </rPr>
          <t>Thomschke, Friedrun:</t>
        </r>
        <r>
          <rPr>
            <sz val="9"/>
            <color indexed="81"/>
            <rFont val="Segoe UI"/>
            <family val="2"/>
          </rPr>
          <t xml:space="preserve">
ws. bei GF</t>
        </r>
      </text>
    </comment>
    <comment ref="E647" authorId="0" shapeId="0">
      <text>
        <r>
          <rPr>
            <b/>
            <sz val="9"/>
            <color indexed="81"/>
            <rFont val="Segoe UI"/>
            <family val="2"/>
          </rPr>
          <t>Thomschke, Friedrun:</t>
        </r>
        <r>
          <rPr>
            <sz val="9"/>
            <color indexed="81"/>
            <rFont val="Segoe UI"/>
            <family val="2"/>
          </rPr>
          <t xml:space="preserve">
ws. bei GF</t>
        </r>
      </text>
    </comment>
    <comment ref="E648" authorId="0" shapeId="0">
      <text>
        <r>
          <rPr>
            <b/>
            <sz val="9"/>
            <color indexed="81"/>
            <rFont val="Segoe UI"/>
            <family val="2"/>
          </rPr>
          <t>Thomschke, Friedrun:</t>
        </r>
        <r>
          <rPr>
            <sz val="9"/>
            <color indexed="81"/>
            <rFont val="Segoe UI"/>
            <family val="2"/>
          </rPr>
          <t xml:space="preserve">
ws. bei GF</t>
        </r>
      </text>
    </comment>
    <comment ref="E649" authorId="0" shapeId="0">
      <text>
        <r>
          <rPr>
            <b/>
            <sz val="9"/>
            <color indexed="81"/>
            <rFont val="Segoe UI"/>
            <family val="2"/>
          </rPr>
          <t>Thomschke, Friedrun:</t>
        </r>
        <r>
          <rPr>
            <sz val="9"/>
            <color indexed="81"/>
            <rFont val="Segoe UI"/>
            <family val="2"/>
          </rPr>
          <t xml:space="preserve">
ws. bei GF</t>
        </r>
      </text>
    </comment>
    <comment ref="E650" authorId="0" shapeId="0">
      <text>
        <r>
          <rPr>
            <b/>
            <sz val="9"/>
            <color indexed="81"/>
            <rFont val="Segoe UI"/>
            <family val="2"/>
          </rPr>
          <t>Thomschke, Friedrun:</t>
        </r>
        <r>
          <rPr>
            <sz val="9"/>
            <color indexed="81"/>
            <rFont val="Segoe UI"/>
            <family val="2"/>
          </rPr>
          <t xml:space="preserve">
ws bei GF</t>
        </r>
      </text>
    </comment>
    <comment ref="E651" authorId="0" shapeId="0">
      <text>
        <r>
          <rPr>
            <b/>
            <sz val="9"/>
            <color indexed="81"/>
            <rFont val="Segoe UI"/>
            <family val="2"/>
          </rPr>
          <t>Thomschke, Friedrun:</t>
        </r>
        <r>
          <rPr>
            <sz val="9"/>
            <color indexed="81"/>
            <rFont val="Segoe UI"/>
            <family val="2"/>
          </rPr>
          <t xml:space="preserve">
ws. bei GF</t>
        </r>
      </text>
    </comment>
    <comment ref="E653" authorId="0" shapeId="0">
      <text>
        <r>
          <rPr>
            <b/>
            <sz val="9"/>
            <color indexed="81"/>
            <rFont val="Segoe UI"/>
            <family val="2"/>
          </rPr>
          <t>Thomschke, Friedrun:</t>
        </r>
        <r>
          <rPr>
            <sz val="9"/>
            <color indexed="81"/>
            <rFont val="Segoe UI"/>
            <family val="2"/>
          </rPr>
          <t xml:space="preserve">
ws. bei GF</t>
        </r>
      </text>
    </comment>
    <comment ref="X658" authorId="0" shapeId="0">
      <text>
        <r>
          <rPr>
            <b/>
            <sz val="9"/>
            <color indexed="81"/>
            <rFont val="Segoe UI"/>
            <charset val="1"/>
          </rPr>
          <t>Thomschke, Friedrun:</t>
        </r>
        <r>
          <rPr>
            <sz val="9"/>
            <color indexed="81"/>
            <rFont val="Segoe UI"/>
            <charset val="1"/>
          </rPr>
          <t xml:space="preserve">
Erfurter Einband</t>
        </r>
      </text>
    </comment>
    <comment ref="BK659" authorId="0" shapeId="0">
      <text>
        <r>
          <rPr>
            <b/>
            <sz val="9"/>
            <color indexed="81"/>
            <rFont val="Segoe UI"/>
            <charset val="1"/>
          </rPr>
          <t>Thomschke, Friedrun:</t>
        </r>
        <r>
          <rPr>
            <sz val="9"/>
            <color indexed="81"/>
            <rFont val="Segoe UI"/>
            <charset val="1"/>
          </rPr>
          <t xml:space="preserve">
hat "Steckschließe" (Pergamentriemchen und Holzstift)</t>
        </r>
      </text>
    </comment>
    <comment ref="E660" authorId="0" shapeId="0">
      <text>
        <r>
          <rPr>
            <b/>
            <sz val="9"/>
            <color indexed="81"/>
            <rFont val="Segoe UI"/>
            <charset val="1"/>
          </rPr>
          <t>Thomschke, Friedrun:</t>
        </r>
        <r>
          <rPr>
            <sz val="9"/>
            <color indexed="81"/>
            <rFont val="Segoe UI"/>
            <charset val="1"/>
          </rPr>
          <t xml:space="preserve">
ws. bei GF</t>
        </r>
      </text>
    </comment>
    <comment ref="BK661" authorId="0" shapeId="0">
      <text>
        <r>
          <rPr>
            <b/>
            <sz val="9"/>
            <color indexed="81"/>
            <rFont val="Segoe UI"/>
            <charset val="1"/>
          </rPr>
          <t>Thomschke, Friedrun:</t>
        </r>
        <r>
          <rPr>
            <sz val="9"/>
            <color indexed="81"/>
            <rFont val="Segoe UI"/>
            <charset val="1"/>
          </rPr>
          <t xml:space="preserve">
mit Schließe (Klemm-)</t>
        </r>
      </text>
    </comment>
    <comment ref="BK663" authorId="0" shapeId="0">
      <text>
        <r>
          <rPr>
            <b/>
            <sz val="9"/>
            <color indexed="81"/>
            <rFont val="Segoe UI"/>
            <charset val="1"/>
          </rPr>
          <t>Thomschke, Friedrun:</t>
        </r>
        <r>
          <rPr>
            <sz val="9"/>
            <color indexed="81"/>
            <rFont val="Segoe UI"/>
            <charset val="1"/>
          </rPr>
          <t xml:space="preserve">
Gewebeeinband</t>
        </r>
      </text>
    </comment>
    <comment ref="E665" authorId="0" shapeId="0">
      <text>
        <r>
          <rPr>
            <b/>
            <sz val="9"/>
            <color indexed="81"/>
            <rFont val="Segoe UI"/>
            <charset val="1"/>
          </rPr>
          <t>Thomschke, Friedrun:</t>
        </r>
        <r>
          <rPr>
            <sz val="9"/>
            <color indexed="81"/>
            <rFont val="Segoe UI"/>
            <charset val="1"/>
          </rPr>
          <t xml:space="preserve">
ws. bei GF</t>
        </r>
      </text>
    </comment>
    <comment ref="E668" authorId="0" shapeId="0">
      <text>
        <r>
          <rPr>
            <b/>
            <sz val="9"/>
            <color indexed="81"/>
            <rFont val="Segoe UI"/>
            <charset val="1"/>
          </rPr>
          <t>Thomschke, Friedrun:</t>
        </r>
        <r>
          <rPr>
            <sz val="9"/>
            <color indexed="81"/>
            <rFont val="Segoe UI"/>
            <charset val="1"/>
          </rPr>
          <t xml:space="preserve">
ws. bei GF</t>
        </r>
      </text>
    </comment>
    <comment ref="E674" authorId="0" shapeId="0">
      <text>
        <r>
          <rPr>
            <b/>
            <sz val="9"/>
            <color indexed="81"/>
            <rFont val="Segoe UI"/>
            <charset val="1"/>
          </rPr>
          <t>Thomschke, Friedrun:</t>
        </r>
        <r>
          <rPr>
            <sz val="9"/>
            <color indexed="81"/>
            <rFont val="Segoe UI"/>
            <charset val="1"/>
          </rPr>
          <t xml:space="preserve">
ws. bei GF</t>
        </r>
      </text>
    </comment>
    <comment ref="E675" authorId="0" shapeId="0">
      <text>
        <r>
          <rPr>
            <b/>
            <sz val="9"/>
            <color indexed="81"/>
            <rFont val="Segoe UI"/>
            <charset val="1"/>
          </rPr>
          <t>Thomschke, Friedrun:</t>
        </r>
        <r>
          <rPr>
            <sz val="9"/>
            <color indexed="81"/>
            <rFont val="Segoe UI"/>
            <charset val="1"/>
          </rPr>
          <t xml:space="preserve">
ws. bei GF</t>
        </r>
      </text>
    </comment>
    <comment ref="BK677" authorId="0" shapeId="0">
      <text>
        <r>
          <rPr>
            <b/>
            <sz val="9"/>
            <color indexed="81"/>
            <rFont val="Segoe UI"/>
            <charset val="1"/>
          </rPr>
          <t>Thomschke, Friedrun:</t>
        </r>
        <r>
          <rPr>
            <sz val="9"/>
            <color indexed="81"/>
            <rFont val="Segoe UI"/>
            <charset val="1"/>
          </rPr>
          <t xml:space="preserve">
Neueinband</t>
        </r>
      </text>
    </comment>
    <comment ref="AU680" authorId="0" shapeId="0">
      <text>
        <r>
          <rPr>
            <b/>
            <sz val="9"/>
            <color indexed="81"/>
            <rFont val="Segoe UI"/>
          </rPr>
          <t>Thomschke, Friedrun:</t>
        </r>
        <r>
          <rPr>
            <sz val="9"/>
            <color indexed="81"/>
            <rFont val="Segoe UI"/>
          </rPr>
          <t xml:space="preserve">
ÖW nach Rest. ggf. überdenken</t>
        </r>
      </text>
    </comment>
    <comment ref="X683" authorId="0" shapeId="0">
      <text>
        <r>
          <rPr>
            <b/>
            <sz val="9"/>
            <color indexed="81"/>
            <rFont val="Segoe UI"/>
          </rPr>
          <t>Thomschke, Friedrun:</t>
        </r>
        <r>
          <rPr>
            <sz val="9"/>
            <color indexed="81"/>
            <rFont val="Segoe UI"/>
          </rPr>
          <t xml:space="preserve">
Erfurter Einband</t>
        </r>
      </text>
    </comment>
    <comment ref="BK687" authorId="0" shapeId="0">
      <text>
        <r>
          <rPr>
            <b/>
            <sz val="9"/>
            <color indexed="81"/>
            <rFont val="Segoe UI"/>
          </rPr>
          <t>Thomschke, Friedrun:</t>
        </r>
        <r>
          <rPr>
            <sz val="9"/>
            <color indexed="81"/>
            <rFont val="Segoe UI"/>
          </rPr>
          <t xml:space="preserve">
ist beschädigt</t>
        </r>
      </text>
    </comment>
    <comment ref="E688" authorId="0" shapeId="0">
      <text>
        <r>
          <rPr>
            <b/>
            <sz val="9"/>
            <color indexed="81"/>
            <rFont val="Segoe UI"/>
          </rPr>
          <t>Thomschke, Friedrun:</t>
        </r>
        <r>
          <rPr>
            <sz val="9"/>
            <color indexed="81"/>
            <rFont val="Segoe UI"/>
          </rPr>
          <t xml:space="preserve">
ws. bei GF</t>
        </r>
      </text>
    </comment>
    <comment ref="E691" authorId="0" shapeId="0">
      <text>
        <r>
          <rPr>
            <b/>
            <sz val="9"/>
            <color indexed="81"/>
            <rFont val="Segoe UI"/>
          </rPr>
          <t>Thomschke, Friedrun:</t>
        </r>
        <r>
          <rPr>
            <sz val="9"/>
            <color indexed="81"/>
            <rFont val="Segoe UI"/>
          </rPr>
          <t xml:space="preserve">
ws. bei GF</t>
        </r>
      </text>
    </comment>
    <comment ref="BK694" authorId="0" shapeId="0">
      <text>
        <r>
          <rPr>
            <b/>
            <sz val="9"/>
            <color indexed="81"/>
            <rFont val="Segoe UI"/>
          </rPr>
          <t>Thomschke, Friedrun:</t>
        </r>
        <r>
          <rPr>
            <sz val="9"/>
            <color indexed="81"/>
            <rFont val="Segoe UI"/>
          </rPr>
          <t xml:space="preserve">
Neueinband</t>
        </r>
      </text>
    </comment>
    <comment ref="AU696" authorId="0" shapeId="0">
      <text>
        <r>
          <rPr>
            <b/>
            <sz val="9"/>
            <color indexed="81"/>
            <rFont val="Segoe UI"/>
          </rPr>
          <t>Thomschke, Friedrun:</t>
        </r>
        <r>
          <rPr>
            <sz val="9"/>
            <color indexed="81"/>
            <rFont val="Segoe UI"/>
          </rPr>
          <t xml:space="preserve">
entgültig nach Rest. festlegen</t>
        </r>
      </text>
    </comment>
    <comment ref="E697" authorId="0" shapeId="0">
      <text>
        <r>
          <rPr>
            <b/>
            <sz val="9"/>
            <color indexed="81"/>
            <rFont val="Segoe UI"/>
          </rPr>
          <t>Thomschke, Friedrun:</t>
        </r>
        <r>
          <rPr>
            <sz val="9"/>
            <color indexed="81"/>
            <rFont val="Segoe UI"/>
          </rPr>
          <t xml:space="preserve">
ws. bei GF</t>
        </r>
      </text>
    </comment>
    <comment ref="BK700" authorId="0" shapeId="0">
      <text>
        <r>
          <rPr>
            <b/>
            <sz val="9"/>
            <color indexed="81"/>
            <rFont val="Segoe UI"/>
            <charset val="1"/>
          </rPr>
          <t>Thomschke, Friedrun:</t>
        </r>
        <r>
          <rPr>
            <sz val="9"/>
            <color indexed="81"/>
            <rFont val="Segoe UI"/>
            <charset val="1"/>
          </rPr>
          <t xml:space="preserve">
mit hist.(?) Schuber</t>
        </r>
      </text>
    </comment>
    <comment ref="BK702" authorId="0" shapeId="0">
      <text>
        <r>
          <rPr>
            <b/>
            <sz val="9"/>
            <color indexed="81"/>
            <rFont val="Segoe UI"/>
            <charset val="1"/>
          </rPr>
          <t>Thomschke, Friedrun:</t>
        </r>
        <r>
          <rPr>
            <sz val="9"/>
            <color indexed="81"/>
            <rFont val="Segoe UI"/>
            <charset val="1"/>
          </rPr>
          <t xml:space="preserve">
berührunugsfrei</t>
        </r>
      </text>
    </comment>
    <comment ref="BK707" authorId="0" shapeId="0">
      <text>
        <r>
          <rPr>
            <b/>
            <sz val="9"/>
            <color indexed="81"/>
            <rFont val="Segoe UI"/>
            <charset val="1"/>
          </rPr>
          <t>Thomschke, Friedrun:</t>
        </r>
        <r>
          <rPr>
            <sz val="9"/>
            <color indexed="81"/>
            <rFont val="Segoe UI"/>
            <charset val="1"/>
          </rPr>
          <t xml:space="preserve">
neigt zum Bauch, Einband separat</t>
        </r>
      </text>
    </comment>
    <comment ref="BK712" authorId="0" shapeId="0">
      <text>
        <r>
          <rPr>
            <b/>
            <sz val="9"/>
            <color indexed="81"/>
            <rFont val="Segoe UI"/>
            <charset val="1"/>
          </rPr>
          <t>Thomschke, Friedrun:</t>
        </r>
        <r>
          <rPr>
            <sz val="9"/>
            <color indexed="81"/>
            <rFont val="Segoe UI"/>
            <charset val="1"/>
          </rPr>
          <t xml:space="preserve">
max 110, Gelenke beschädigt</t>
        </r>
      </text>
    </comment>
    <comment ref="H715"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16"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17"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18"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19"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0"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1"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2"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3"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4"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5"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6"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7"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8"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29"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30"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31"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32"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33"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34"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35"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H736" authorId="0" shapeId="0">
      <text>
        <r>
          <rPr>
            <b/>
            <sz val="9"/>
            <color indexed="81"/>
            <rFont val="Segoe UI"/>
            <family val="2"/>
          </rPr>
          <t>Thomschke, Friedrun:</t>
        </r>
        <r>
          <rPr>
            <sz val="9"/>
            <color indexed="81"/>
            <rFont val="Segoe UI"/>
            <family val="2"/>
          </rPr>
          <t xml:space="preserve">
alle Fragmente sind auf Kartons (säurehaltig!!) 31,5x46 montiert</t>
        </r>
      </text>
    </comment>
    <comment ref="E737" authorId="0" shapeId="0">
      <text>
        <r>
          <rPr>
            <b/>
            <sz val="9"/>
            <color indexed="81"/>
            <rFont val="Segoe UI"/>
            <family val="2"/>
          </rPr>
          <t>Thomschke, Friedrun:</t>
        </r>
        <r>
          <rPr>
            <sz val="9"/>
            <color indexed="81"/>
            <rFont val="Segoe UI"/>
            <family val="2"/>
          </rPr>
          <t xml:space="preserve">
von FT neu aufgenommen</t>
        </r>
      </text>
    </comment>
    <comment ref="AU739" authorId="0" shapeId="0">
      <text>
        <r>
          <rPr>
            <b/>
            <sz val="9"/>
            <color indexed="81"/>
            <rFont val="Segoe UI"/>
            <family val="2"/>
          </rPr>
          <t>Thomschke, Friedrun:</t>
        </r>
        <r>
          <rPr>
            <sz val="9"/>
            <color indexed="81"/>
            <rFont val="Segoe UI"/>
            <family val="2"/>
          </rPr>
          <t xml:space="preserve">
Öffnungswinkel "0" bedeutet, das Buch ist nicht digitalisierbar</t>
        </r>
      </text>
    </comment>
  </commentList>
</comments>
</file>

<file path=xl/comments2.xml><?xml version="1.0" encoding="utf-8"?>
<comments xmlns="http://schemas.openxmlformats.org/spreadsheetml/2006/main">
  <authors>
    <author>Thomschke, Friedrun</author>
  </authors>
  <commentList>
    <comment ref="X662" authorId="0" shapeId="0">
      <text>
        <r>
          <rPr>
            <b/>
            <sz val="9"/>
            <color indexed="81"/>
            <rFont val="Segoe UI"/>
            <charset val="1"/>
          </rPr>
          <t>Thomschke, Friedrun:</t>
        </r>
        <r>
          <rPr>
            <sz val="9"/>
            <color indexed="81"/>
            <rFont val="Segoe UI"/>
            <charset val="1"/>
          </rPr>
          <t xml:space="preserve">
wenn Gelenke unterlegt werden mind. 3 Std., wenn Hülse reichen würde und nur Fragmente gesichert werden 1 Std.</t>
        </r>
      </text>
    </comment>
    <comment ref="X680" authorId="0" shapeId="0">
      <text>
        <r>
          <rPr>
            <b/>
            <sz val="9"/>
            <color indexed="81"/>
            <rFont val="Segoe UI"/>
          </rPr>
          <t>Thomschke, Friedrun:</t>
        </r>
        <r>
          <rPr>
            <sz val="9"/>
            <color indexed="81"/>
            <rFont val="Segoe UI"/>
          </rPr>
          <t xml:space="preserve">
wenn es bei der Hülse bleibt</t>
        </r>
      </text>
    </comment>
  </commentList>
</comments>
</file>

<file path=xl/comments3.xml><?xml version="1.0" encoding="utf-8"?>
<comments xmlns="http://schemas.openxmlformats.org/spreadsheetml/2006/main">
  <authors>
    <author>Thomschke, Friedrun</author>
  </authors>
  <commentList>
    <comment ref="A2" authorId="0" shapeId="0">
      <text>
        <r>
          <rPr>
            <b/>
            <sz val="9"/>
            <color indexed="81"/>
            <rFont val="Segoe UI"/>
            <family val="2"/>
          </rPr>
          <t>Thomschke, Friedrun:</t>
        </r>
        <r>
          <rPr>
            <sz val="9"/>
            <color indexed="81"/>
            <rFont val="Segoe UI"/>
            <family val="2"/>
          </rPr>
          <t xml:space="preserve">
</t>
        </r>
        <r>
          <rPr>
            <u/>
            <sz val="9"/>
            <color indexed="81"/>
            <rFont val="Segoe UI"/>
            <family val="2"/>
          </rPr>
          <t>alle</t>
        </r>
        <r>
          <rPr>
            <sz val="9"/>
            <color indexed="81"/>
            <rFont val="Segoe UI"/>
            <family val="2"/>
          </rPr>
          <t xml:space="preserve"> Signaturen, inkl. der angebundenen Werke und der ggf. noch nicht geprüften Bücher</t>
        </r>
      </text>
    </comment>
    <comment ref="A3" authorId="0" shapeId="0">
      <text>
        <r>
          <rPr>
            <b/>
            <sz val="9"/>
            <color indexed="81"/>
            <rFont val="Segoe UI"/>
            <family val="2"/>
          </rPr>
          <t>Thomschke, Friedrun:</t>
        </r>
        <r>
          <rPr>
            <sz val="9"/>
            <color indexed="81"/>
            <rFont val="Segoe UI"/>
            <family val="2"/>
          </rPr>
          <t xml:space="preserve">
Anzahl der </t>
        </r>
        <r>
          <rPr>
            <u/>
            <sz val="9"/>
            <color indexed="81"/>
            <rFont val="Segoe UI"/>
            <family val="2"/>
          </rPr>
          <t>tatsächlichen</t>
        </r>
        <r>
          <rPr>
            <sz val="9"/>
            <color indexed="81"/>
            <rFont val="Segoe UI"/>
            <family val="2"/>
          </rPr>
          <t xml:space="preserve"> Bücher, </t>
        </r>
        <r>
          <rPr>
            <b/>
            <sz val="9"/>
            <color indexed="81"/>
            <rFont val="Segoe UI"/>
            <family val="2"/>
          </rPr>
          <t>Achtung:</t>
        </r>
        <r>
          <rPr>
            <sz val="9"/>
            <color indexed="81"/>
            <rFont val="Segoe UI"/>
            <family val="2"/>
          </rPr>
          <t xml:space="preserve"> berücksichtigt sind nur die Bücher, die angeschaut wurden und für die somit ein Format angegeben wurde!! (daher ggf. große Differenz zur Gesamtanzahl der Signaturen oder auch zur Anzahl der geprüften Bücher durch F. Thomschke, denn hier zählen auch die Bücher mit, die vor der Bearbeitung von F. Thomschke erfasst wurden)</t>
        </r>
      </text>
    </comment>
  </commentList>
</comments>
</file>

<file path=xl/sharedStrings.xml><?xml version="1.0" encoding="utf-8"?>
<sst xmlns="http://schemas.openxmlformats.org/spreadsheetml/2006/main" count="6356" uniqueCount="1991">
  <si>
    <t>Materialien</t>
  </si>
  <si>
    <t>Kürzel</t>
  </si>
  <si>
    <t>Materialbezeichnung</t>
  </si>
  <si>
    <t>Halbledereinband</t>
  </si>
  <si>
    <t>Ledereinband</t>
  </si>
  <si>
    <t>Gewebeeinband</t>
  </si>
  <si>
    <t>Reparaturmaßnahmen</t>
  </si>
  <si>
    <t>Reparaturmaßnahme</t>
  </si>
  <si>
    <t>Einbandsicherung</t>
  </si>
  <si>
    <t>Lfd Nr.</t>
  </si>
  <si>
    <t>Signatur</t>
  </si>
  <si>
    <t>Schadensklasse</t>
  </si>
  <si>
    <t>Material</t>
  </si>
  <si>
    <t>Bemerkungen</t>
  </si>
  <si>
    <t xml:space="preserve">das verwendete Material und die bei Schadensklasse 1 und 2 </t>
  </si>
  <si>
    <t>notwendigen Reparaturmaßnahme(en) dokumentiert.</t>
  </si>
  <si>
    <t>Halbgewebeband</t>
  </si>
  <si>
    <t>Papier- oder Pappeinband</t>
  </si>
  <si>
    <t>Für die zu begutachtenden Objekte werden die Schadensklasse,</t>
  </si>
  <si>
    <t>Schadensklassen</t>
  </si>
  <si>
    <t>Klasse</t>
  </si>
  <si>
    <t>Beschreibung</t>
  </si>
  <si>
    <t>Objekt ist vollständig benutzbar</t>
  </si>
  <si>
    <t>eingeschränkte Benutzbarkeit, geringer Reparaturaufwand</t>
  </si>
  <si>
    <t>Zustandsbewertung Klemmsammlung</t>
  </si>
  <si>
    <t>insgesamt ca. 16.000 Bände</t>
  </si>
  <si>
    <t xml:space="preserve">insgesamt ca. X m Regalborde </t>
  </si>
  <si>
    <t>Begutachtet werden insgesamt mindestens 1500 Bände</t>
  </si>
  <si>
    <t>Verpackung</t>
  </si>
  <si>
    <t>Schuber</t>
  </si>
  <si>
    <t>Archivkarton</t>
  </si>
  <si>
    <t>Mappe</t>
  </si>
  <si>
    <t>Kapsel</t>
  </si>
  <si>
    <t xml:space="preserve">Papierumschlag </t>
  </si>
  <si>
    <t>Buchschuh</t>
  </si>
  <si>
    <t>Kassette</t>
  </si>
  <si>
    <t>Ja</t>
  </si>
  <si>
    <t>Nein</t>
  </si>
  <si>
    <t>Provenienzmerkmal</t>
  </si>
  <si>
    <t>Format</t>
  </si>
  <si>
    <t>Buchblock aus Pergament</t>
  </si>
  <si>
    <t>Schließen, erhabene Buchbeschläge</t>
  </si>
  <si>
    <t>Klemmsammlung</t>
  </si>
  <si>
    <t>lose Seiten befestigen</t>
  </si>
  <si>
    <t>Broschur</t>
  </si>
  <si>
    <t>Pergamentband</t>
  </si>
  <si>
    <t>Halbpergamentband</t>
  </si>
  <si>
    <t>Mappen</t>
  </si>
  <si>
    <t>Originale Schutzhülle</t>
  </si>
  <si>
    <t>Fragen an M. Steinberg</t>
  </si>
  <si>
    <t>bis 25 cm</t>
  </si>
  <si>
    <t>bis 35 cm</t>
  </si>
  <si>
    <t>bis 42 cm</t>
  </si>
  <si>
    <t>&gt; 42 cm</t>
  </si>
  <si>
    <t>Winkel</t>
  </si>
  <si>
    <t>180°</t>
  </si>
  <si>
    <t>eingeschränkte Benutzbarkeit, hoher Reparaturaufwand</t>
  </si>
  <si>
    <t>Objekt ist nicht benutzbar, größtmöglicher Aufwand</t>
  </si>
  <si>
    <t>Einschränkungen</t>
  </si>
  <si>
    <t>welliger Buchblock</t>
  </si>
  <si>
    <t>erhabene Illuminationen</t>
  </si>
  <si>
    <t>Tintenfraß</t>
  </si>
  <si>
    <t>Kupferfraß</t>
  </si>
  <si>
    <t>stark brüchiges Papier</t>
  </si>
  <si>
    <t>stark brüchiges Einbandmaterial</t>
  </si>
  <si>
    <t xml:space="preserve">Glasplatte </t>
  </si>
  <si>
    <t>Glasplatte</t>
  </si>
  <si>
    <t>nicht auflegen</t>
  </si>
  <si>
    <t>nicht verwenden</t>
  </si>
  <si>
    <t>Schrift bis in den Falz</t>
  </si>
  <si>
    <t>Trockenreinigung</t>
  </si>
  <si>
    <t>Risse schließen</t>
  </si>
  <si>
    <t>Heftung sichern</t>
  </si>
  <si>
    <t>Kapital sichern</t>
  </si>
  <si>
    <t>Bindung lösen</t>
  </si>
  <si>
    <t>Seiten glätten</t>
  </si>
  <si>
    <t>Verklebung lösen</t>
  </si>
  <si>
    <t>Klebestreifen entfernen</t>
  </si>
  <si>
    <t>Kupferfraß sichern</t>
  </si>
  <si>
    <t>Tintenfraß sichern</t>
  </si>
  <si>
    <t>Wer</t>
  </si>
  <si>
    <t>hohler Rücken</t>
  </si>
  <si>
    <t>Buchblock dicker als 20 cm</t>
  </si>
  <si>
    <t>seitliche Klammerung oder Bindung</t>
  </si>
  <si>
    <t>gefaltete Blätter</t>
  </si>
  <si>
    <t>ungewöhnliche Buchform (Dreieck usw.)</t>
  </si>
  <si>
    <t>nur sehr geringer Öffnungswinkel</t>
  </si>
  <si>
    <t>AKZ</t>
  </si>
  <si>
    <t>IDN</t>
  </si>
  <si>
    <t>X</t>
  </si>
  <si>
    <t>80° bis 110°, einseitig digitalisierbar?</t>
  </si>
  <si>
    <t>Kreide, Pastell oder Rußtinte</t>
  </si>
  <si>
    <t>Einband mit Schutz- oder Stoßkanten</t>
  </si>
  <si>
    <t>Unklar</t>
  </si>
  <si>
    <t>fester Rücken mit Schmuckprägung</t>
  </si>
  <si>
    <t>Mehrfacheinbände innerhalb eines Buches</t>
  </si>
  <si>
    <t>Buchblock nicht aufgeschnitten</t>
  </si>
  <si>
    <t>Kassette im Schuber</t>
  </si>
  <si>
    <t>Fragen/ Hinweise
an DBSM</t>
  </si>
  <si>
    <t>Öffnungswinkel</t>
  </si>
  <si>
    <t>Link zum Portal</t>
  </si>
  <si>
    <t>Signaturfahne austauschen</t>
  </si>
  <si>
    <t>Ungebunden</t>
  </si>
  <si>
    <t xml:space="preserve">Verpackung austauschen </t>
  </si>
  <si>
    <t>notwendige Reparatur(en) vor der Digitalisierung, notwendige Reparatur(en) vor der Digitalisierung</t>
  </si>
  <si>
    <t>stark deformiertes Objekt</t>
  </si>
  <si>
    <t>Folie</t>
  </si>
  <si>
    <t>L-1498-327681713</t>
  </si>
  <si>
    <t>107238311X</t>
  </si>
  <si>
    <t>II 86A,1a - Fragm.</t>
  </si>
  <si>
    <t>L-1454-315496827</t>
  </si>
  <si>
    <t>II 1,1ab - Fragm.</t>
  </si>
  <si>
    <t>L-1459-315498269</t>
  </si>
  <si>
    <t>II 1,2ba - Fragm.</t>
  </si>
  <si>
    <t>L-1462-31549669X</t>
  </si>
  <si>
    <t>II 1,2ca - Fragm.</t>
  </si>
  <si>
    <t>L-1467-315495871</t>
  </si>
  <si>
    <t>106696565X</t>
  </si>
  <si>
    <t>II 1,2e</t>
  </si>
  <si>
    <t>L-1468-315499850</t>
  </si>
  <si>
    <t>II 1,3b</t>
  </si>
  <si>
    <t>L-1492-315497408</t>
  </si>
  <si>
    <t>II 1,3ba kursiv - Fragm.</t>
  </si>
  <si>
    <t>L-1469-315503122</t>
  </si>
  <si>
    <t>II 1,3c</t>
  </si>
  <si>
    <t>L-1493-315501316</t>
  </si>
  <si>
    <t>II 1,3c kursiv</t>
  </si>
  <si>
    <t>L-1470-315499486</t>
  </si>
  <si>
    <t>II 1,3d</t>
  </si>
  <si>
    <t>L-1470-315497106</t>
  </si>
  <si>
    <t>106696680X</t>
  </si>
  <si>
    <t>II 1,3d kursiv</t>
  </si>
  <si>
    <t>L-1470-315499494</t>
  </si>
  <si>
    <t>II 1,3da - Fragm.</t>
  </si>
  <si>
    <t>L-1470-31550059X</t>
  </si>
  <si>
    <t>II 1,3e</t>
  </si>
  <si>
    <t>L-1471-315495219</t>
  </si>
  <si>
    <t>II 1,3g</t>
  </si>
  <si>
    <t>L-1489-315496444</t>
  </si>
  <si>
    <t>II 1,3g kursiv</t>
  </si>
  <si>
    <t>L-1472-315496711</t>
  </si>
  <si>
    <t>II 1,3h</t>
  </si>
  <si>
    <t>L-1474-316396664</t>
  </si>
  <si>
    <t>II 1,3h kursiv</t>
  </si>
  <si>
    <t>L-1472-315498781</t>
  </si>
  <si>
    <t>II 1,3i</t>
  </si>
  <si>
    <t>L-1481-315498307</t>
  </si>
  <si>
    <t>II 1,3i kursiv</t>
  </si>
  <si>
    <t>L-1473-315497300</t>
  </si>
  <si>
    <t>II 1,3k</t>
  </si>
  <si>
    <t>L-1473-315495936</t>
  </si>
  <si>
    <t>II 1,3l</t>
  </si>
  <si>
    <t>L-1489-352274506</t>
  </si>
  <si>
    <t>II 1,3l kursiv</t>
  </si>
  <si>
    <t>L-1473-315495944</t>
  </si>
  <si>
    <t>II 1,3la - Fragm.</t>
  </si>
  <si>
    <t>L-1473-31549901X</t>
  </si>
  <si>
    <t>II 1,3m</t>
  </si>
  <si>
    <t>L-1490-315501782</t>
  </si>
  <si>
    <t>II 1,3m kursiv</t>
  </si>
  <si>
    <t>L-1473-315499028</t>
  </si>
  <si>
    <t>II 1,3ma - Fragm.</t>
  </si>
  <si>
    <t>L-1474-315499389</t>
  </si>
  <si>
    <t>II 1,3n</t>
  </si>
  <si>
    <t>L-1474-315500409</t>
  </si>
  <si>
    <t>106697005X</t>
  </si>
  <si>
    <t>II 1,3o</t>
  </si>
  <si>
    <t>L-1475-315497912</t>
  </si>
  <si>
    <t>II 1,3p</t>
  </si>
  <si>
    <t>L-1475-315496576</t>
  </si>
  <si>
    <t>II 1,3q</t>
  </si>
  <si>
    <t>L-1476-315497319</t>
  </si>
  <si>
    <t>II 1,3r</t>
  </si>
  <si>
    <t>L-1476-315499885</t>
  </si>
  <si>
    <t>II 1,3t</t>
  </si>
  <si>
    <t>L-1476-315497742</t>
  </si>
  <si>
    <t>II 1,3u</t>
  </si>
  <si>
    <t>L-1477-315499893</t>
  </si>
  <si>
    <t>II 1,3v</t>
  </si>
  <si>
    <t>L-1478-315496401</t>
  </si>
  <si>
    <t>II 1,3x</t>
  </si>
  <si>
    <t>L-1479-315499087</t>
  </si>
  <si>
    <t>II 1,3y</t>
  </si>
  <si>
    <t>L-1469-315500522</t>
  </si>
  <si>
    <t>II 1,4ab - Fragm.</t>
  </si>
  <si>
    <t>L-1469-31550286X</t>
  </si>
  <si>
    <t>II 1,4b</t>
  </si>
  <si>
    <t>L-1480-315500719</t>
  </si>
  <si>
    <t>II 1,5a</t>
  </si>
  <si>
    <t>L-1491-315499540</t>
  </si>
  <si>
    <t>106696923X</t>
  </si>
  <si>
    <t>II 1,8ab - Fragm.</t>
  </si>
  <si>
    <t>L-1494-315503262</t>
  </si>
  <si>
    <t>II 1,9a</t>
  </si>
  <si>
    <t>L-1494-315503270</t>
  </si>
  <si>
    <t>II 1,9ab</t>
  </si>
  <si>
    <t>L-1494-315499095</t>
  </si>
  <si>
    <t>II 1,9b</t>
  </si>
  <si>
    <t>L-1494-315502177</t>
  </si>
  <si>
    <t>II 1,9c</t>
  </si>
  <si>
    <t>L-1494-315503254</t>
  </si>
  <si>
    <t>II 1,9d</t>
  </si>
  <si>
    <t>L-1495-315500867</t>
  </si>
  <si>
    <t>II 1,9e</t>
  </si>
  <si>
    <t>L-1495-315503289</t>
  </si>
  <si>
    <t>II 1,9f</t>
  </si>
  <si>
    <t>L-1495-315503335</t>
  </si>
  <si>
    <t>II 1,9g</t>
  </si>
  <si>
    <t>L-1498-315503319</t>
  </si>
  <si>
    <t>II 1,9h</t>
  </si>
  <si>
    <t>L-1495-315503246</t>
  </si>
  <si>
    <t>II 1,9i</t>
  </si>
  <si>
    <t>L-1493-315503297</t>
  </si>
  <si>
    <t>II 1,9k</t>
  </si>
  <si>
    <t>L-1497-326851682</t>
  </si>
  <si>
    <t>II 1,9l</t>
  </si>
  <si>
    <t>L-1493-315503300</t>
  </si>
  <si>
    <t>II 1,9m - 1. Ex.</t>
  </si>
  <si>
    <t>L-1493-478322305</t>
  </si>
  <si>
    <t>II 1,9m - 2. Ex.</t>
  </si>
  <si>
    <t>L-1493-315503580</t>
  </si>
  <si>
    <t>II 1,9n (angebunden)</t>
  </si>
  <si>
    <t>L-1468-31549722X</t>
  </si>
  <si>
    <t>II 2,1a</t>
  </si>
  <si>
    <t>L-1469-316397148</t>
  </si>
  <si>
    <t>II 2,1b - Fragm.</t>
  </si>
  <si>
    <t>L-1469-316397156</t>
  </si>
  <si>
    <t>II 2,1ba - Fragm.</t>
  </si>
  <si>
    <t>L-1469-315500271</t>
  </si>
  <si>
    <t>II 2,1c</t>
  </si>
  <si>
    <t>L-1470-315498153</t>
  </si>
  <si>
    <t>II 2,1d</t>
  </si>
  <si>
    <t>L-1471-315502436</t>
  </si>
  <si>
    <t>106697201X</t>
  </si>
  <si>
    <t>II 2,1e</t>
  </si>
  <si>
    <t>L-1472-31549980X</t>
  </si>
  <si>
    <t>II 2,1f</t>
  </si>
  <si>
    <t>L-1472-315499796</t>
  </si>
  <si>
    <t>II 2,1g</t>
  </si>
  <si>
    <t>L-1472-315499141</t>
  </si>
  <si>
    <t>106696887X</t>
  </si>
  <si>
    <t>II 2,1i</t>
  </si>
  <si>
    <t>L-1470-343702525</t>
  </si>
  <si>
    <t>II 2,1k</t>
  </si>
  <si>
    <t>L-1470-343702576</t>
  </si>
  <si>
    <t>107955016X</t>
  </si>
  <si>
    <t>II 2,1k (1. angeb. Werk)</t>
  </si>
  <si>
    <t>L-1470-343702606</t>
  </si>
  <si>
    <t>II 2,1k (2. angeb. Werk)</t>
  </si>
  <si>
    <t>L-1470-343702665</t>
  </si>
  <si>
    <t>II 2,1k (3.-4. angeb. Werk)</t>
  </si>
  <si>
    <t>L-1470-343702770</t>
  </si>
  <si>
    <t>II 2,1k (5. angeb. Werk)</t>
  </si>
  <si>
    <t>L-1470-343703084</t>
  </si>
  <si>
    <t>II 2,1k (6. angeb. Werk)</t>
  </si>
  <si>
    <t>L-1472-315502169</t>
  </si>
  <si>
    <t>II 2,1k (7. angeb. Werk)</t>
  </si>
  <si>
    <t>L-1470-34370322X</t>
  </si>
  <si>
    <t>II 2,1k (8. angeb. Werk)</t>
  </si>
  <si>
    <t>L-1470-343703203</t>
  </si>
  <si>
    <t>II 2,1k (9. angeb. Werk)</t>
  </si>
  <si>
    <t>L-1475-315502851</t>
  </si>
  <si>
    <t>II 2,1m</t>
  </si>
  <si>
    <t>L-1471-315500115</t>
  </si>
  <si>
    <t>II 2,1n - Pt. 2</t>
  </si>
  <si>
    <t>L-1470-343703238</t>
  </si>
  <si>
    <t>II 2,1o</t>
  </si>
  <si>
    <t>L-1470-343703262</t>
  </si>
  <si>
    <t>II 2,1p</t>
  </si>
  <si>
    <t>L-1470-34370269X</t>
  </si>
  <si>
    <t>II 2,1q</t>
  </si>
  <si>
    <t>L-1470-315500670</t>
  </si>
  <si>
    <t>II 2,2a</t>
  </si>
  <si>
    <t>L-1471-315495146</t>
  </si>
  <si>
    <t>II 2,2b - Fragm.</t>
  </si>
  <si>
    <t>L-1472-31549767X</t>
  </si>
  <si>
    <t>II 2,2c</t>
  </si>
  <si>
    <t>L-1472-315500042</t>
  </si>
  <si>
    <t>II 2,2d</t>
  </si>
  <si>
    <t>L-1474-315500204</t>
  </si>
  <si>
    <t>II 2,3b</t>
  </si>
  <si>
    <t>L-1474-315500956</t>
  </si>
  <si>
    <t>II 2,4a</t>
  </si>
  <si>
    <t>L-1474-315502509</t>
  </si>
  <si>
    <t>II 2,4b</t>
  </si>
  <si>
    <t>L-1475-315496150</t>
  </si>
  <si>
    <t>II 2,5a</t>
  </si>
  <si>
    <t>L-1476-315497831</t>
  </si>
  <si>
    <t>106696758X</t>
  </si>
  <si>
    <t>II 2,5b</t>
  </si>
  <si>
    <t>L-1476-315495413</t>
  </si>
  <si>
    <t>II 2,5c</t>
  </si>
  <si>
    <t>L-1486-315502827</t>
  </si>
  <si>
    <t>II 2,5g</t>
  </si>
  <si>
    <t>L-1488-315497483</t>
  </si>
  <si>
    <t>II 2,5h</t>
  </si>
  <si>
    <t>L-1489-326851933</t>
  </si>
  <si>
    <t>II 2,5k</t>
  </si>
  <si>
    <t>L-1490-315497548</t>
  </si>
  <si>
    <t>II 2,5l</t>
  </si>
  <si>
    <t>L-1476-315501839</t>
  </si>
  <si>
    <t>II 2,5n</t>
  </si>
  <si>
    <t>L-9999-316397652</t>
  </si>
  <si>
    <t>II 2,5o - Fragm</t>
  </si>
  <si>
    <t>L-1477-315497262</t>
  </si>
  <si>
    <t>II 2,5p</t>
  </si>
  <si>
    <t>L-1475-315498676</t>
  </si>
  <si>
    <t>106696842X</t>
  </si>
  <si>
    <t>II 2,6a</t>
  </si>
  <si>
    <t>L-1477-315499346</t>
  </si>
  <si>
    <t>II 2,7a</t>
  </si>
  <si>
    <t>L-1477-315497076</t>
  </si>
  <si>
    <t>II 2,7b</t>
  </si>
  <si>
    <t>L-1478-31550353X</t>
  </si>
  <si>
    <t>II 2,9a</t>
  </si>
  <si>
    <t>L-1484-315500123</t>
  </si>
  <si>
    <t>II 2,10a</t>
  </si>
  <si>
    <t>L-1495-315497416</t>
  </si>
  <si>
    <t>II 2,11a</t>
  </si>
  <si>
    <t>L-1497-315502525</t>
  </si>
  <si>
    <t>II 2,11d</t>
  </si>
  <si>
    <t>L-1491-326852190</t>
  </si>
  <si>
    <t>107205194X</t>
  </si>
  <si>
    <t>II 2,15c</t>
  </si>
  <si>
    <t>L-1499-315502207</t>
  </si>
  <si>
    <t>II 2,15d</t>
  </si>
  <si>
    <t>L-1488-315500735</t>
  </si>
  <si>
    <t>II 2,16b</t>
  </si>
  <si>
    <t>L-1488-315500743</t>
  </si>
  <si>
    <t>II 2,16ba</t>
  </si>
  <si>
    <t>L-1495-326852484</t>
  </si>
  <si>
    <t>II 2,17a</t>
  </si>
  <si>
    <t>L-1496-315501251</t>
  </si>
  <si>
    <t>II 2,18a</t>
  </si>
  <si>
    <t>L-1461-315496819</t>
  </si>
  <si>
    <t>II 3,1a - Fragm.</t>
  </si>
  <si>
    <t>L-1488-315501332</t>
  </si>
  <si>
    <t>II 3,2b</t>
  </si>
  <si>
    <t>L-1483-343703483</t>
  </si>
  <si>
    <t>II 3,2d</t>
  </si>
  <si>
    <t>L-1474-31549672X</t>
  </si>
  <si>
    <t>II 4,1a</t>
  </si>
  <si>
    <t>L-1472-315498900</t>
  </si>
  <si>
    <t>II 4,1b</t>
  </si>
  <si>
    <t>L-1475-31549784X</t>
  </si>
  <si>
    <t>II 4,1c</t>
  </si>
  <si>
    <t>L-1489-315500468</t>
  </si>
  <si>
    <t>II 4,1d - 2</t>
  </si>
  <si>
    <t>L-1479-315495901</t>
  </si>
  <si>
    <t>II 4,2b</t>
  </si>
  <si>
    <t>L-1479-315501286</t>
  </si>
  <si>
    <t>II 4,2c</t>
  </si>
  <si>
    <t>L-1481-315498811</t>
  </si>
  <si>
    <t>106696856X</t>
  </si>
  <si>
    <t>II 4,2d</t>
  </si>
  <si>
    <t>L-1472-315498579</t>
  </si>
  <si>
    <t>II 4,2e</t>
  </si>
  <si>
    <t>L-1475-315497378</t>
  </si>
  <si>
    <t>II 4,2f</t>
  </si>
  <si>
    <t>L-1474-315503076</t>
  </si>
  <si>
    <t>II 4,2g</t>
  </si>
  <si>
    <t>L-1474-315500131</t>
  </si>
  <si>
    <t>II 4,2h</t>
  </si>
  <si>
    <t>L-1476-315498803</t>
  </si>
  <si>
    <t>II 4,3a</t>
  </si>
  <si>
    <t>L-1482-315499648</t>
  </si>
  <si>
    <t>II 4,3c</t>
  </si>
  <si>
    <t>L-1482-315502479</t>
  </si>
  <si>
    <t>II 4,3d</t>
  </si>
  <si>
    <t>L-1474-315496940</t>
  </si>
  <si>
    <t>L-1474-336752105</t>
  </si>
  <si>
    <t>II 4,3f</t>
  </si>
  <si>
    <t>L-1475-315502444</t>
  </si>
  <si>
    <t>II 4,4a</t>
  </si>
  <si>
    <t>L-1472-315494921</t>
  </si>
  <si>
    <t>106696470X</t>
  </si>
  <si>
    <t>II 4,4b</t>
  </si>
  <si>
    <t>L-1473-315500190</t>
  </si>
  <si>
    <t>II 4,4c</t>
  </si>
  <si>
    <t>L-1474-315498587</t>
  </si>
  <si>
    <t>II 4,4d</t>
  </si>
  <si>
    <t>L-1472-315496614</t>
  </si>
  <si>
    <t>II 4,4e</t>
  </si>
  <si>
    <t>L-1475-326852794</t>
  </si>
  <si>
    <t>II 4,4f</t>
  </si>
  <si>
    <t>L-1472-315498978</t>
  </si>
  <si>
    <t>II 4,4g</t>
  </si>
  <si>
    <t>L-1474-315500018</t>
  </si>
  <si>
    <t>II 4,4h</t>
  </si>
  <si>
    <t>L-1489-31549610X</t>
  </si>
  <si>
    <t>II 4,5a</t>
  </si>
  <si>
    <t>L-1490-31549591X</t>
  </si>
  <si>
    <t>II 4,5b</t>
  </si>
  <si>
    <t>L-1490-315496010</t>
  </si>
  <si>
    <t>II 4,5c (angebunden an II 4,5b)</t>
  </si>
  <si>
    <t>L-1491-315497661</t>
  </si>
  <si>
    <t>II 4,5d</t>
  </si>
  <si>
    <t>L-1492-329246070</t>
  </si>
  <si>
    <t>II 4,5e - 2</t>
  </si>
  <si>
    <t>L-1492-352777192</t>
  </si>
  <si>
    <t>II 4,5e - 3</t>
  </si>
  <si>
    <t>L-1492-315495448</t>
  </si>
  <si>
    <t>II 4,5ea - Fragm.</t>
  </si>
  <si>
    <t>L-1493-31549493X</t>
  </si>
  <si>
    <t>II 4,5f</t>
  </si>
  <si>
    <t>L-1496-315501774</t>
  </si>
  <si>
    <t>II 4,5g</t>
  </si>
  <si>
    <t>L-1483-315501367</t>
  </si>
  <si>
    <t>II 4,6a</t>
  </si>
  <si>
    <t>L-1486-315501936</t>
  </si>
  <si>
    <t>II 4,7a</t>
  </si>
  <si>
    <t>L-1487-315500654</t>
  </si>
  <si>
    <t>II 4,7b</t>
  </si>
  <si>
    <t>L-1486-465330959</t>
  </si>
  <si>
    <t>II 4,7b (angebunden)</t>
  </si>
  <si>
    <t>L-1487-315496770</t>
  </si>
  <si>
    <t>II 4,7c</t>
  </si>
  <si>
    <t>L-1489-315496363</t>
  </si>
  <si>
    <t>II 4,7d</t>
  </si>
  <si>
    <t>L-1489-315501944</t>
  </si>
  <si>
    <t>II 4,7e</t>
  </si>
  <si>
    <t>L-1492-315502975</t>
  </si>
  <si>
    <t>II 4,7f</t>
  </si>
  <si>
    <t>L-1495-315496568</t>
  </si>
  <si>
    <t>II 4,7g</t>
  </si>
  <si>
    <t>L-1496-315498986</t>
  </si>
  <si>
    <t>106696873X</t>
  </si>
  <si>
    <t>II 4,8a</t>
  </si>
  <si>
    <t>L-1496-315498897</t>
  </si>
  <si>
    <t>II 4,8c</t>
  </si>
  <si>
    <t>L-1490-315502339</t>
  </si>
  <si>
    <t>II 4,8d</t>
  </si>
  <si>
    <t>L-1495-315496983</t>
  </si>
  <si>
    <t>II 4,9a</t>
  </si>
  <si>
    <t>L-1499-315500395</t>
  </si>
  <si>
    <t>II 4,9b</t>
  </si>
  <si>
    <t>L-1497-315501030</t>
  </si>
  <si>
    <t>II 4,10a</t>
  </si>
  <si>
    <t>L-1497-315497432</t>
  </si>
  <si>
    <t>II 4,10c</t>
  </si>
  <si>
    <t>L-1475-315500026</t>
  </si>
  <si>
    <t>106696968X</t>
  </si>
  <si>
    <t>II 6,1a</t>
  </si>
  <si>
    <t>L-1477-315503505</t>
  </si>
  <si>
    <t>II 6,1b</t>
  </si>
  <si>
    <t>L-1477-315503513</t>
  </si>
  <si>
    <t>II 6,1ba - Fragm.</t>
  </si>
  <si>
    <t>L-1474-326853480</t>
  </si>
  <si>
    <t>II 7,1a</t>
  </si>
  <si>
    <t>L-1467-315496061</t>
  </si>
  <si>
    <t>II 8,1a</t>
  </si>
  <si>
    <t>L-1477-31549509X</t>
  </si>
  <si>
    <t>II 8,1b</t>
  </si>
  <si>
    <t>L-1482-315499265</t>
  </si>
  <si>
    <t>II 8,1c</t>
  </si>
  <si>
    <t>L-1473-315495227</t>
  </si>
  <si>
    <t>II 8,1d</t>
  </si>
  <si>
    <t>L-1470-315496525</t>
  </si>
  <si>
    <t>II 8,1e</t>
  </si>
  <si>
    <t>L-1473-315496606</t>
  </si>
  <si>
    <t>106696632X</t>
  </si>
  <si>
    <t>II 8,1f</t>
  </si>
  <si>
    <t>L-1472-31549865X</t>
  </si>
  <si>
    <t>II 8,1g</t>
  </si>
  <si>
    <t>L-1472-315498692</t>
  </si>
  <si>
    <t>II 8,1h</t>
  </si>
  <si>
    <t>L-1470-315498684</t>
  </si>
  <si>
    <t>II 8,1i</t>
  </si>
  <si>
    <t>L-1471-315498994</t>
  </si>
  <si>
    <t>II 8,1k</t>
  </si>
  <si>
    <t>L-1485-327855061</t>
  </si>
  <si>
    <t>II 8,1l - 2</t>
  </si>
  <si>
    <t>L-1485-32785524X</t>
  </si>
  <si>
    <t>107249423X</t>
  </si>
  <si>
    <t>II 8,1l - 4</t>
  </si>
  <si>
    <t>L-1470-315501596</t>
  </si>
  <si>
    <t>II 8,1m</t>
  </si>
  <si>
    <t>L-1467-343703882</t>
  </si>
  <si>
    <t>107955310X</t>
  </si>
  <si>
    <t>II 8,1n</t>
  </si>
  <si>
    <t>L-1486-315495162</t>
  </si>
  <si>
    <t>II 8,2a</t>
  </si>
  <si>
    <t>L-1476-315498641</t>
  </si>
  <si>
    <t>106696839X</t>
  </si>
  <si>
    <t>II 8,2b</t>
  </si>
  <si>
    <t>L-1471-315502908</t>
  </si>
  <si>
    <t>II 8,2c</t>
  </si>
  <si>
    <t>L-1476-315502878</t>
  </si>
  <si>
    <t>II 8,2d</t>
  </si>
  <si>
    <t>L-1470-315498315</t>
  </si>
  <si>
    <t>II 8,3a</t>
  </si>
  <si>
    <t>L-1471-315499311</t>
  </si>
  <si>
    <t>II 8,3b</t>
  </si>
  <si>
    <t>L-9999-315503734</t>
  </si>
  <si>
    <t>II 8,4a</t>
  </si>
  <si>
    <t>L-1474-315496169</t>
  </si>
  <si>
    <t>II 8,5a</t>
  </si>
  <si>
    <t>L-1474-315495189</t>
  </si>
  <si>
    <t>II 8,6a</t>
  </si>
  <si>
    <t>L-1474-315499230</t>
  </si>
  <si>
    <t>II 8,6b</t>
  </si>
  <si>
    <t>L-1475-315502916</t>
  </si>
  <si>
    <t>II 8,6c</t>
  </si>
  <si>
    <t>L-1475-315502924</t>
  </si>
  <si>
    <t>II 8,6ca</t>
  </si>
  <si>
    <t>L-1481-315330953</t>
  </si>
  <si>
    <t>II 8,6d</t>
  </si>
  <si>
    <t>L-1481-326853847</t>
  </si>
  <si>
    <t>II 8,6e</t>
  </si>
  <si>
    <t>L-1484-31550076X</t>
  </si>
  <si>
    <t>II 8,6f</t>
  </si>
  <si>
    <t>L-1465-315500778</t>
  </si>
  <si>
    <t>II 8,6g</t>
  </si>
  <si>
    <t>L-1485-315502967</t>
  </si>
  <si>
    <t>II 8,6h</t>
  </si>
  <si>
    <t>L-1486-315500239</t>
  </si>
  <si>
    <t>II 8,6i (angebunden an II 8, 6k)</t>
  </si>
  <si>
    <t>L-1487-315503823</t>
  </si>
  <si>
    <t>106697344X</t>
  </si>
  <si>
    <t>II 8,6k</t>
  </si>
  <si>
    <t>L-1473-315497637</t>
  </si>
  <si>
    <t>II 8,6m - 2</t>
  </si>
  <si>
    <t>L-1473-315499699</t>
  </si>
  <si>
    <t>II 8,7a</t>
  </si>
  <si>
    <t>L-1480-315496002</t>
  </si>
  <si>
    <t>II 8,8a</t>
  </si>
  <si>
    <t>L-1483-315497904</t>
  </si>
  <si>
    <t>II 8,10a</t>
  </si>
  <si>
    <t>L-1480-343704323</t>
  </si>
  <si>
    <t>II 8,10b</t>
  </si>
  <si>
    <t>L-1476-326854657</t>
  </si>
  <si>
    <t>II 8,11 a</t>
  </si>
  <si>
    <t>L-1476-315500603</t>
  </si>
  <si>
    <t>II 8,11 b</t>
  </si>
  <si>
    <t>L-1475-315500972</t>
  </si>
  <si>
    <t>II 8,11c</t>
  </si>
  <si>
    <t>L-1486-315500514</t>
  </si>
  <si>
    <t>II 8,12a</t>
  </si>
  <si>
    <t>L-1487-315495839</t>
  </si>
  <si>
    <t>II 8,12b</t>
  </si>
  <si>
    <t>L-1485-315495200</t>
  </si>
  <si>
    <t>II 8,12c</t>
  </si>
  <si>
    <t>L-1478-327278625</t>
  </si>
  <si>
    <t>II 8,12d</t>
  </si>
  <si>
    <t>L-1479-315495820</t>
  </si>
  <si>
    <t>II 8,13a</t>
  </si>
  <si>
    <t>L-1484-315495049</t>
  </si>
  <si>
    <t>II 8,13b</t>
  </si>
  <si>
    <t>L-1492-315498625</t>
  </si>
  <si>
    <t>II 8,13c</t>
  </si>
  <si>
    <t>L-1495-315502096</t>
  </si>
  <si>
    <t>II 8,13d</t>
  </si>
  <si>
    <t>L-1497-315497122</t>
  </si>
  <si>
    <t>II 8,13e</t>
  </si>
  <si>
    <t>L-1497-315495243</t>
  </si>
  <si>
    <t>II 8,13f</t>
  </si>
  <si>
    <t>L-1498-315495251</t>
  </si>
  <si>
    <t>II 8,13g</t>
  </si>
  <si>
    <t>L-1490-326854908</t>
  </si>
  <si>
    <t>II 8,13k</t>
  </si>
  <si>
    <t>L-1500-315502894</t>
  </si>
  <si>
    <t>II 8,13l</t>
  </si>
  <si>
    <t>L-1494-315499273</t>
  </si>
  <si>
    <t>II 8,13m</t>
  </si>
  <si>
    <t>L-1498-315501103</t>
  </si>
  <si>
    <t>II 8,15a</t>
  </si>
  <si>
    <t>L-1498-315501111</t>
  </si>
  <si>
    <t>II 8,15ab</t>
  </si>
  <si>
    <t>L-1485-315502215</t>
  </si>
  <si>
    <t>II 9,1a</t>
  </si>
  <si>
    <t>L-1472-315503556</t>
  </si>
  <si>
    <t>II 10,1a</t>
  </si>
  <si>
    <t>L-1483-315495715</t>
  </si>
  <si>
    <t>II 11,1a</t>
  </si>
  <si>
    <t>L-1500-315503181</t>
  </si>
  <si>
    <t>106697277X</t>
  </si>
  <si>
    <t>II 11,2a</t>
  </si>
  <si>
    <t>L-1472-31550305X</t>
  </si>
  <si>
    <t>106697263X</t>
  </si>
  <si>
    <t>II 12,1a</t>
  </si>
  <si>
    <t>L-1474-315502940</t>
  </si>
  <si>
    <t>II 12,1b</t>
  </si>
  <si>
    <t>L-1477-315501650</t>
  </si>
  <si>
    <t>II 12,1c</t>
  </si>
  <si>
    <t>L-1475-315496045</t>
  </si>
  <si>
    <t>106696579X</t>
  </si>
  <si>
    <t>II 12,1d</t>
  </si>
  <si>
    <t>L-1478-315503610</t>
  </si>
  <si>
    <t>II 12,1f</t>
  </si>
  <si>
    <t>L-1494-315495928</t>
  </si>
  <si>
    <t>II 13,1a</t>
  </si>
  <si>
    <t>L-1494-315495030</t>
  </si>
  <si>
    <t>II 13,1b</t>
  </si>
  <si>
    <t>L-1491-315499214</t>
  </si>
  <si>
    <t>II 13,1c</t>
  </si>
  <si>
    <t>L-1491-315498331</t>
  </si>
  <si>
    <t>II 13,1d</t>
  </si>
  <si>
    <t>L-1493-315502401</t>
  </si>
  <si>
    <t>II 13,2a</t>
  </si>
  <si>
    <t>L-1489-326854983</t>
  </si>
  <si>
    <t>107205812X</t>
  </si>
  <si>
    <t>II 14,1a</t>
  </si>
  <si>
    <t>L-1494-315502428</t>
  </si>
  <si>
    <t>II 14,1b</t>
  </si>
  <si>
    <t>L-1499-315503572</t>
  </si>
  <si>
    <t>II 14,1c</t>
  </si>
  <si>
    <t>L-1500-315501006</t>
  </si>
  <si>
    <t>II 14,1d</t>
  </si>
  <si>
    <t>L-1494-315501243</t>
  </si>
  <si>
    <t>II 14,1e</t>
  </si>
  <si>
    <t>L-1485-326855106</t>
  </si>
  <si>
    <t>II 15,1a</t>
  </si>
  <si>
    <t>L-1488-315498471</t>
  </si>
  <si>
    <t>II 15,1b</t>
  </si>
  <si>
    <t>L-1489-315499109</t>
  </si>
  <si>
    <t>II 15,1c</t>
  </si>
  <si>
    <t>L-1485-315496398</t>
  </si>
  <si>
    <t>II 15,1d</t>
  </si>
  <si>
    <t>L-1488-315501065</t>
  </si>
  <si>
    <t>II 15,2a</t>
  </si>
  <si>
    <t>L-1487-315503661</t>
  </si>
  <si>
    <t>II 16,1a</t>
  </si>
  <si>
    <t>L-1487-315503688</t>
  </si>
  <si>
    <t>106697330X</t>
  </si>
  <si>
    <t>II 16,2a</t>
  </si>
  <si>
    <t>L-1472-315503742</t>
  </si>
  <si>
    <t>II 17,1a</t>
  </si>
  <si>
    <t>L-1472-315494891</t>
  </si>
  <si>
    <t>106696467X</t>
  </si>
  <si>
    <t>II 17,1b</t>
  </si>
  <si>
    <t>L-1494-315502584</t>
  </si>
  <si>
    <t>II 18,1a</t>
  </si>
  <si>
    <t>L-1489-315500328</t>
  </si>
  <si>
    <t>II 18,1b</t>
  </si>
  <si>
    <t>L-1710-174001320</t>
  </si>
  <si>
    <t>II 18,1b (angebunden)</t>
  </si>
  <si>
    <t>L-1494-31549624X</t>
  </si>
  <si>
    <t>II 18,1c</t>
  </si>
  <si>
    <t>L-1488-315501081</t>
  </si>
  <si>
    <t>II 18,2a</t>
  </si>
  <si>
    <t>L-1494-327279281</t>
  </si>
  <si>
    <t>II 18,2b</t>
  </si>
  <si>
    <t>L-1493-326855459</t>
  </si>
  <si>
    <t>107205888X</t>
  </si>
  <si>
    <t>II 18,3a</t>
  </si>
  <si>
    <t>L-1494-315495235</t>
  </si>
  <si>
    <t>II 18,3b</t>
  </si>
  <si>
    <t>L-1496-31550000X</t>
  </si>
  <si>
    <t>II 18,4a</t>
  </si>
  <si>
    <t>L-1497-315503602</t>
  </si>
  <si>
    <t>II 18,4b</t>
  </si>
  <si>
    <t>L-1498-327280026</t>
  </si>
  <si>
    <t>II 18,5a</t>
  </si>
  <si>
    <t>L-1499-327280115</t>
  </si>
  <si>
    <t>II 18,5b</t>
  </si>
  <si>
    <t>L-1476-32685570X</t>
  </si>
  <si>
    <t>II 19,1a</t>
  </si>
  <si>
    <t>L-1488-316402206</t>
  </si>
  <si>
    <t>II 19,2a - Fragm.</t>
  </si>
  <si>
    <t>L-1487-316402281</t>
  </si>
  <si>
    <t>II 19,2c - Fragm.</t>
  </si>
  <si>
    <t>L-1487-316402540</t>
  </si>
  <si>
    <t>II 19,2d - Fragm.</t>
  </si>
  <si>
    <t>L-1493-326855874</t>
  </si>
  <si>
    <t>II 20,1a</t>
  </si>
  <si>
    <t>L-1474-315497467</t>
  </si>
  <si>
    <t>II 21,1a</t>
  </si>
  <si>
    <t>L-1476-316067881</t>
  </si>
  <si>
    <t>II 21,1b - Fragm.</t>
  </si>
  <si>
    <t>L-1474-315497882</t>
  </si>
  <si>
    <t>II 21,1c</t>
  </si>
  <si>
    <t>L-1475-316068217</t>
  </si>
  <si>
    <t>II 21,1d - Fragm.</t>
  </si>
  <si>
    <t>L-1483-315494964</t>
  </si>
  <si>
    <t>II 22,1b</t>
  </si>
  <si>
    <t>L-1483-343704935</t>
  </si>
  <si>
    <t>II 22,1b (angebundenes Werk)</t>
  </si>
  <si>
    <t>L-1492-315501537</t>
  </si>
  <si>
    <t>II 22,1d</t>
  </si>
  <si>
    <t>L-1488-326856064</t>
  </si>
  <si>
    <t>II 23,1a</t>
  </si>
  <si>
    <t>L-1500-343707918</t>
  </si>
  <si>
    <t>II 23,2a</t>
  </si>
  <si>
    <t>L-1470-315498706</t>
  </si>
  <si>
    <t>II 24,1a</t>
  </si>
  <si>
    <t>L-1472-315497181</t>
  </si>
  <si>
    <t>II 24,1b</t>
  </si>
  <si>
    <t>L-1473-287114600</t>
  </si>
  <si>
    <t>L-1471-315498668</t>
  </si>
  <si>
    <t>II 24,1d</t>
  </si>
  <si>
    <t>L-1474-315502959</t>
  </si>
  <si>
    <t>II 24,2a</t>
  </si>
  <si>
    <t>L-1475-316068608</t>
  </si>
  <si>
    <t>II 24,2ba - Fragm.</t>
  </si>
  <si>
    <t>L-1476-315500859</t>
  </si>
  <si>
    <t>II 24,2c</t>
  </si>
  <si>
    <t>L-1475-315496754</t>
  </si>
  <si>
    <t>106696646X</t>
  </si>
  <si>
    <t>II 24,3 a</t>
  </si>
  <si>
    <t>L-1481-315498129</t>
  </si>
  <si>
    <t>II 24,3 k</t>
  </si>
  <si>
    <t>L-1498-315495499</t>
  </si>
  <si>
    <t>II 24,3a kursiv</t>
  </si>
  <si>
    <t>L-1478-315495537</t>
  </si>
  <si>
    <t>II 24,3b</t>
  </si>
  <si>
    <t>L-1478-315495545</t>
  </si>
  <si>
    <t>II 24,3c</t>
  </si>
  <si>
    <t>L-1473-31549753X</t>
  </si>
  <si>
    <t>106696727X</t>
  </si>
  <si>
    <t>II 24,3c kursiv</t>
  </si>
  <si>
    <t>L-1472-343956888</t>
  </si>
  <si>
    <t>II 24,3c kursiv (angebunden)</t>
  </si>
  <si>
    <t>L-1478-315495553</t>
  </si>
  <si>
    <t>II 24,3d</t>
  </si>
  <si>
    <t>L-1480-316101710</t>
  </si>
  <si>
    <t>II 24,3d kursiv</t>
  </si>
  <si>
    <t>L-1478-315495561</t>
  </si>
  <si>
    <t>II 24,3da - Fragm.</t>
  </si>
  <si>
    <t>L-1478-31549557X</t>
  </si>
  <si>
    <t>II 24,3e</t>
  </si>
  <si>
    <t>L-1481-315501928</t>
  </si>
  <si>
    <t>II 24,3e kursiv</t>
  </si>
  <si>
    <t>L-1480-315498226</t>
  </si>
  <si>
    <t>II 24,3ea</t>
  </si>
  <si>
    <t>L-1481-315501472</t>
  </si>
  <si>
    <t>L-1497-315496916</t>
  </si>
  <si>
    <t>L-1481-315498234</t>
  </si>
  <si>
    <t>II 24,3i</t>
  </si>
  <si>
    <t>L-1483-315500573</t>
  </si>
  <si>
    <t>II 24,3o</t>
  </si>
  <si>
    <t>L-1485-315495073</t>
  </si>
  <si>
    <t>II 24,3q</t>
  </si>
  <si>
    <t>L-1486-315500565</t>
  </si>
  <si>
    <t>106697022X</t>
  </si>
  <si>
    <t>II 24,3r</t>
  </si>
  <si>
    <t>L-1487-315501227</t>
  </si>
  <si>
    <t>II 24,3s</t>
  </si>
  <si>
    <t>L-1492-315496320</t>
  </si>
  <si>
    <t>II 24,3ta</t>
  </si>
  <si>
    <t>L-1492-315496339</t>
  </si>
  <si>
    <t>II 24,3tab</t>
  </si>
  <si>
    <t>L-1492-315503386</t>
  </si>
  <si>
    <t>II 24,3u</t>
  </si>
  <si>
    <t>L-1493-315502568</t>
  </si>
  <si>
    <t>II 24,3v</t>
  </si>
  <si>
    <t>L-1494-315499745</t>
  </si>
  <si>
    <t>II 24,3w</t>
  </si>
  <si>
    <t>L-1496-315501995</t>
  </si>
  <si>
    <t>II 24,3x</t>
  </si>
  <si>
    <t>L-1496-315495332</t>
  </si>
  <si>
    <t>II 24,3y</t>
  </si>
  <si>
    <t>L-1497-31549994X</t>
  </si>
  <si>
    <t>II 24,3z</t>
  </si>
  <si>
    <t>L-1482-302645780</t>
  </si>
  <si>
    <t>II 24,4 f</t>
  </si>
  <si>
    <t>L-1485-302645535</t>
  </si>
  <si>
    <t>II 24,4 h</t>
  </si>
  <si>
    <t>L-1472-315495197</t>
  </si>
  <si>
    <t>II 24,4a</t>
  </si>
  <si>
    <t>L-1476-315499397</t>
  </si>
  <si>
    <t>II 24,4b</t>
  </si>
  <si>
    <t>L-1478-315500166</t>
  </si>
  <si>
    <t>II 24,4c</t>
  </si>
  <si>
    <t>L-1481-315502290</t>
  </si>
  <si>
    <t>II 24,4d</t>
  </si>
  <si>
    <t>L-1482-315503211</t>
  </si>
  <si>
    <t>106697280X</t>
  </si>
  <si>
    <t>II 24,4e</t>
  </si>
  <si>
    <t>L-1474-315502304</t>
  </si>
  <si>
    <t>II 24,5a</t>
  </si>
  <si>
    <t>L-1480-326856560</t>
  </si>
  <si>
    <t>II 24,6a</t>
  </si>
  <si>
    <t>L-1483-315503483</t>
  </si>
  <si>
    <t>II 24,6b</t>
  </si>
  <si>
    <t>L-1481-315503238</t>
  </si>
  <si>
    <t>II 24,7a</t>
  </si>
  <si>
    <t>L-1481-315503475</t>
  </si>
  <si>
    <t>II 24,7b</t>
  </si>
  <si>
    <t>L-1486-315503491</t>
  </si>
  <si>
    <t>II 24,7c</t>
  </si>
  <si>
    <t>L-1483-315501235</t>
  </si>
  <si>
    <t>II 24,8a</t>
  </si>
  <si>
    <t>L-1495-315498056</t>
  </si>
  <si>
    <t>II 24,8b</t>
  </si>
  <si>
    <t>L-1489-315503394</t>
  </si>
  <si>
    <t>II 24,8c</t>
  </si>
  <si>
    <t>L-1484-286786508</t>
  </si>
  <si>
    <t>II 24,9a</t>
  </si>
  <si>
    <t>L-1489-31550062X</t>
  </si>
  <si>
    <t>II 24,9b</t>
  </si>
  <si>
    <t>L-1492-32685682X</t>
  </si>
  <si>
    <t>II 24,9c</t>
  </si>
  <si>
    <t>L-1493-316402567</t>
  </si>
  <si>
    <t>II 24,9d - Fragm.</t>
  </si>
  <si>
    <t>L-1498-316402575</t>
  </si>
  <si>
    <t>II 24,9e - Fragm.</t>
  </si>
  <si>
    <t>L-1496-315499184</t>
  </si>
  <si>
    <t>106696890X</t>
  </si>
  <si>
    <t>II 24,9f</t>
  </si>
  <si>
    <t>L-1498-315495014</t>
  </si>
  <si>
    <t>106696484X</t>
  </si>
  <si>
    <t>II 24,10a</t>
  </si>
  <si>
    <t>L-1497-315499516</t>
  </si>
  <si>
    <t>II 24,10b</t>
  </si>
  <si>
    <t>L-1496-315497629</t>
  </si>
  <si>
    <t>II 25,1a</t>
  </si>
  <si>
    <t>L-1482-315498390</t>
  </si>
  <si>
    <t>II 26,1a</t>
  </si>
  <si>
    <t>L-1482-327280239</t>
  </si>
  <si>
    <t>II 26,1b</t>
  </si>
  <si>
    <t>L-9999-343686457</t>
  </si>
  <si>
    <t>II 26,2a</t>
  </si>
  <si>
    <t>L-1477-315498013</t>
  </si>
  <si>
    <t>106696775X</t>
  </si>
  <si>
    <t>II 27,1a</t>
  </si>
  <si>
    <t>L-1486-315503165</t>
  </si>
  <si>
    <t>II 28,1a</t>
  </si>
  <si>
    <t>L-1478-31549526X</t>
  </si>
  <si>
    <t>II 28,1b</t>
  </si>
  <si>
    <t>L-1476-32685729X</t>
  </si>
  <si>
    <t>II 28,1c</t>
  </si>
  <si>
    <t>L-1478-315499192</t>
  </si>
  <si>
    <t>II 28,1d</t>
  </si>
  <si>
    <t>L-1478-315497815</t>
  </si>
  <si>
    <t>II 28,1e</t>
  </si>
  <si>
    <t>L-1496-315502681</t>
  </si>
  <si>
    <t>II 28,1f</t>
  </si>
  <si>
    <t>L-1482-315501391</t>
  </si>
  <si>
    <t>106697103X</t>
  </si>
  <si>
    <t>II 28,2a</t>
  </si>
  <si>
    <t>L-1488-315497033</t>
  </si>
  <si>
    <t>II 28,2b</t>
  </si>
  <si>
    <t>L-1481-315497866</t>
  </si>
  <si>
    <t>106696761X</t>
  </si>
  <si>
    <t>II 28,2c</t>
  </si>
  <si>
    <t>L-1479-315501626</t>
  </si>
  <si>
    <t>II 28,2d</t>
  </si>
  <si>
    <t>L-1482-315502649</t>
  </si>
  <si>
    <t>II 28,2e</t>
  </si>
  <si>
    <t>L-1489-315503564</t>
  </si>
  <si>
    <t>II 28,2f</t>
  </si>
  <si>
    <t>L-1473-315503726</t>
  </si>
  <si>
    <t>II 29,1a</t>
  </si>
  <si>
    <t>L-1472-315494913</t>
  </si>
  <si>
    <t>II 29,1b</t>
  </si>
  <si>
    <t>L-1477-31550014X</t>
  </si>
  <si>
    <t>II 29,2a</t>
  </si>
  <si>
    <t>L-1477-315495618</t>
  </si>
  <si>
    <t>II 29,2b</t>
  </si>
  <si>
    <t>L-1477-315502460</t>
  </si>
  <si>
    <t>II 29,2c</t>
  </si>
  <si>
    <t>L-1479-315500964</t>
  </si>
  <si>
    <t>II 29,2d</t>
  </si>
  <si>
    <t>L-1480-315501812</t>
  </si>
  <si>
    <t>II 29,2e</t>
  </si>
  <si>
    <t>L-1480-315501820</t>
  </si>
  <si>
    <t>II 29,2ea - Fragm.</t>
  </si>
  <si>
    <t>L-1489-315496797</t>
  </si>
  <si>
    <t>II 29,2f</t>
  </si>
  <si>
    <t>L-1475-315494875</t>
  </si>
  <si>
    <t>II 29,2g</t>
  </si>
  <si>
    <t>L-1476-31549820X</t>
  </si>
  <si>
    <t>II 29,2h</t>
  </si>
  <si>
    <t>L-1490-315499737</t>
  </si>
  <si>
    <t>II 29,2k</t>
  </si>
  <si>
    <t>L-1498-315498110</t>
  </si>
  <si>
    <t>II 29,3a</t>
  </si>
  <si>
    <t>L-1496-315500875</t>
  </si>
  <si>
    <t>II 29,3b</t>
  </si>
  <si>
    <t>L-1499-315503548</t>
  </si>
  <si>
    <t>II 29,3c</t>
  </si>
  <si>
    <t>L-1496-327280298</t>
  </si>
  <si>
    <t>II 29,3d</t>
  </si>
  <si>
    <t>L-1473-315495812</t>
  </si>
  <si>
    <t>II 30,1 f</t>
  </si>
  <si>
    <t>L-1473-315503416</t>
  </si>
  <si>
    <t>L-1473-315502371</t>
  </si>
  <si>
    <t>106697196X</t>
  </si>
  <si>
    <t>II 30,1c (angebunden an II 30,1d)</t>
  </si>
  <si>
    <t>L-1474-326859233</t>
  </si>
  <si>
    <t>II 30,1d (an II 30,1c vorgebunden)</t>
  </si>
  <si>
    <t>L-1471-315495081</t>
  </si>
  <si>
    <t>II 30,1e</t>
  </si>
  <si>
    <t>L-1470-315495855</t>
  </si>
  <si>
    <t>II 30,1g</t>
  </si>
  <si>
    <t>L-1466-315495863</t>
  </si>
  <si>
    <t>II 30,1h</t>
  </si>
  <si>
    <t>L-1471-31549607X</t>
  </si>
  <si>
    <t>106696582X</t>
  </si>
  <si>
    <t>II 30,1i</t>
  </si>
  <si>
    <t>L-1474-315497858</t>
  </si>
  <si>
    <t>II 30,1k</t>
  </si>
  <si>
    <t>L-1473-315499117</t>
  </si>
  <si>
    <t>II 30,1l</t>
  </si>
  <si>
    <t>L-1469-315499451</t>
  </si>
  <si>
    <t>II 30,1m</t>
  </si>
  <si>
    <t>L-1473-286787504</t>
  </si>
  <si>
    <t>II 30,1n</t>
  </si>
  <si>
    <t>L-1466-315500247</t>
  </si>
  <si>
    <t>II 30,1o</t>
  </si>
  <si>
    <t>L-1472-315501464</t>
  </si>
  <si>
    <t>II 30,1p</t>
  </si>
  <si>
    <t>L-1470-315501723</t>
  </si>
  <si>
    <t>II 30,1q</t>
  </si>
  <si>
    <t>L-1463-315503041</t>
  </si>
  <si>
    <t>II 30,1r</t>
  </si>
  <si>
    <t>L-1470-315503343</t>
  </si>
  <si>
    <t>II 30,1s</t>
  </si>
  <si>
    <t>L-1476-315503440</t>
  </si>
  <si>
    <t>II 30,1t</t>
  </si>
  <si>
    <t>L-1466-311999433</t>
  </si>
  <si>
    <t>106478058X</t>
  </si>
  <si>
    <t>II 30,1u</t>
  </si>
  <si>
    <t>L-1480-315493186</t>
  </si>
  <si>
    <t>106696291X</t>
  </si>
  <si>
    <t>II 30,2 i</t>
  </si>
  <si>
    <t>L-1475-315500530</t>
  </si>
  <si>
    <t>106697019X</t>
  </si>
  <si>
    <t>II 30,2a</t>
  </si>
  <si>
    <t>L-1475-315497602</t>
  </si>
  <si>
    <t>II 30,2c</t>
  </si>
  <si>
    <t>L-1467-315499575</t>
  </si>
  <si>
    <t>II 30,2d</t>
  </si>
  <si>
    <t>L-1470-315502053</t>
  </si>
  <si>
    <t>L-1477-315503408</t>
  </si>
  <si>
    <t>II 30,2f</t>
  </si>
  <si>
    <t>L-1476-315503424</t>
  </si>
  <si>
    <t>L-1476-315503467</t>
  </si>
  <si>
    <t>L-1480-316102806</t>
  </si>
  <si>
    <t>II 30,2ia - Fragm.</t>
  </si>
  <si>
    <t>L-1471-315498870</t>
  </si>
  <si>
    <t>II 30,3a</t>
  </si>
  <si>
    <t>L-1472-315499877</t>
  </si>
  <si>
    <t>II 30,3b</t>
  </si>
  <si>
    <t>L-1472-31549879X</t>
  </si>
  <si>
    <t>II 30,3c</t>
  </si>
  <si>
    <t>L-1474-315501014</t>
  </si>
  <si>
    <t>II 30,3d</t>
  </si>
  <si>
    <t>L-1474-315496541</t>
  </si>
  <si>
    <t>II 30,3e</t>
  </si>
  <si>
    <t>L-1468-315496703</t>
  </si>
  <si>
    <t>II 30,3f - Fragm.</t>
  </si>
  <si>
    <t>L-1474-315497254</t>
  </si>
  <si>
    <t>II 30,3h</t>
  </si>
  <si>
    <t>L-1470-315497297</t>
  </si>
  <si>
    <t>II 30,3i</t>
  </si>
  <si>
    <t>L-1473-315498560</t>
  </si>
  <si>
    <t>II 30,3k</t>
  </si>
  <si>
    <t>L-1470-315499001</t>
  </si>
  <si>
    <t>II 30,3l</t>
  </si>
  <si>
    <t>L-1473-315499729</t>
  </si>
  <si>
    <t>106696940X</t>
  </si>
  <si>
    <t>II 30,3m</t>
  </si>
  <si>
    <t>L-1475-315501022</t>
  </si>
  <si>
    <t>106697067X</t>
  </si>
  <si>
    <t>II 30,3n</t>
  </si>
  <si>
    <t>L-1471-31550191X</t>
  </si>
  <si>
    <t>II 30,3o</t>
  </si>
  <si>
    <t>L-1473-315496118</t>
  </si>
  <si>
    <t>II 30,5a</t>
  </si>
  <si>
    <t>L-1474-315496517</t>
  </si>
  <si>
    <t>II 30,5b</t>
  </si>
  <si>
    <t>L-1473-453522459</t>
  </si>
  <si>
    <t>II 30,5c</t>
  </si>
  <si>
    <t>L-1473-315499303</t>
  </si>
  <si>
    <t>II 30,5c (angebunden)</t>
  </si>
  <si>
    <t>L-1473-315501790</t>
  </si>
  <si>
    <t>II 30,5e</t>
  </si>
  <si>
    <t>L-1474-315501456</t>
  </si>
  <si>
    <t>II 30,5f</t>
  </si>
  <si>
    <t>L-1474-315502983</t>
  </si>
  <si>
    <t>II 30,5g</t>
  </si>
  <si>
    <t>L-1474-315496460</t>
  </si>
  <si>
    <t>II 30,6a</t>
  </si>
  <si>
    <t>L-1474-315494956</t>
  </si>
  <si>
    <t>II 30,6b</t>
  </si>
  <si>
    <t>L-1473-315499656</t>
  </si>
  <si>
    <t>II 30,6c</t>
  </si>
  <si>
    <t>L-1473-326859624</t>
  </si>
  <si>
    <t>II 30,7a</t>
  </si>
  <si>
    <t>L-1476-315501618</t>
  </si>
  <si>
    <t>II 30,7b</t>
  </si>
  <si>
    <t>L-1475-315495979</t>
  </si>
  <si>
    <t>II 30,7c</t>
  </si>
  <si>
    <t>L-1476-315499427</t>
  </si>
  <si>
    <t>II 30,7e</t>
  </si>
  <si>
    <t>L-1474-352276495</t>
  </si>
  <si>
    <t>II 30,7f</t>
  </si>
  <si>
    <t>L-1474-315494859</t>
  </si>
  <si>
    <t>II 30,7f (angebunden)</t>
  </si>
  <si>
    <t>L-1415-315497157</t>
  </si>
  <si>
    <t>II 30,7g</t>
  </si>
  <si>
    <t>L-1493-315496215</t>
  </si>
  <si>
    <t>II 30,7h</t>
  </si>
  <si>
    <t>L-1493-315496207</t>
  </si>
  <si>
    <t>II 30,7ha</t>
  </si>
  <si>
    <t>L-1483-315500093</t>
  </si>
  <si>
    <t>II 30,7i</t>
  </si>
  <si>
    <t>L-1482-315500212</t>
  </si>
  <si>
    <t>II 30,8b</t>
  </si>
  <si>
    <t>L-1490-31548862X</t>
  </si>
  <si>
    <t>II 30,9b</t>
  </si>
  <si>
    <t>L-1498-315503599</t>
  </si>
  <si>
    <t>II 30,9c</t>
  </si>
  <si>
    <t>L-1484-315497610</t>
  </si>
  <si>
    <t>II 30,9d</t>
  </si>
  <si>
    <t>L-1481-315500417</t>
  </si>
  <si>
    <t>II 30,10a</t>
  </si>
  <si>
    <t>L-1484-315501847</t>
  </si>
  <si>
    <t>II 30,11a</t>
  </si>
  <si>
    <t>L-1484-315497823</t>
  </si>
  <si>
    <t>II 30,12a</t>
  </si>
  <si>
    <t>L-1486-315498242</t>
  </si>
  <si>
    <t>II 30,12b</t>
  </si>
  <si>
    <t>L-1490-31550143X</t>
  </si>
  <si>
    <t>II 30,12c</t>
  </si>
  <si>
    <t>L-1492-460784927</t>
  </si>
  <si>
    <t>II 30,12d</t>
  </si>
  <si>
    <t>L-1496-315495057</t>
  </si>
  <si>
    <t>II 30,12e</t>
  </si>
  <si>
    <t>L-1500-315493674</t>
  </si>
  <si>
    <t>II 30,13 m</t>
  </si>
  <si>
    <t>L-1487-315498455</t>
  </si>
  <si>
    <t>II 30,13b</t>
  </si>
  <si>
    <t>L-1488-315502487</t>
  </si>
  <si>
    <t>II 30,13c</t>
  </si>
  <si>
    <t>L-1489-315499605</t>
  </si>
  <si>
    <t>II 30,13d</t>
  </si>
  <si>
    <t>L-1489-352277181</t>
  </si>
  <si>
    <t>II 30,13d (angebunden)</t>
  </si>
  <si>
    <t>L-1488-315498633</t>
  </si>
  <si>
    <t>II 30,13e</t>
  </si>
  <si>
    <t>L-1498-352277645</t>
  </si>
  <si>
    <t>II 30,13g</t>
  </si>
  <si>
    <t>L-1497-315499567</t>
  </si>
  <si>
    <t>II 30,13gb</t>
  </si>
  <si>
    <t>L-1484-315502665</t>
  </si>
  <si>
    <t>II 30,13i</t>
  </si>
  <si>
    <t>L-1490-315499435</t>
  </si>
  <si>
    <t>II 30,13k</t>
  </si>
  <si>
    <t>L-1483-315499761</t>
  </si>
  <si>
    <t>II 30,14a</t>
  </si>
  <si>
    <t>L-1483-315496312</t>
  </si>
  <si>
    <t>106696601X</t>
  </si>
  <si>
    <t>II 30,14b</t>
  </si>
  <si>
    <t>L-1483-315501804</t>
  </si>
  <si>
    <t>II 30,14c</t>
  </si>
  <si>
    <t>L-1483-315500441</t>
  </si>
  <si>
    <t>II 30,14d</t>
  </si>
  <si>
    <t>L-1483-315500425</t>
  </si>
  <si>
    <t>II 30,14e</t>
  </si>
  <si>
    <t>L-1483-315497955</t>
  </si>
  <si>
    <t>II 30,14f</t>
  </si>
  <si>
    <t>L-1483-315499524</t>
  </si>
  <si>
    <t>II 30,14h</t>
  </si>
  <si>
    <t>L-1484-315502657</t>
  </si>
  <si>
    <t>II 30,14i</t>
  </si>
  <si>
    <t>L-1489-315495065</t>
  </si>
  <si>
    <t>II 30,14k</t>
  </si>
  <si>
    <t>L-1483-31550045X</t>
  </si>
  <si>
    <t>II 30,14l</t>
  </si>
  <si>
    <t>L-1483-315500506</t>
  </si>
  <si>
    <t>II 30,14m</t>
  </si>
  <si>
    <t>L-1483-315501340</t>
  </si>
  <si>
    <t>106697098X</t>
  </si>
  <si>
    <t>II 30,14o</t>
  </si>
  <si>
    <t>L-1483-315501561</t>
  </si>
  <si>
    <t>II 30,14oa</t>
  </si>
  <si>
    <t>L-1483-315497246</t>
  </si>
  <si>
    <t>106696694X</t>
  </si>
  <si>
    <t>II 30,14p</t>
  </si>
  <si>
    <t>L-1483-315497785</t>
  </si>
  <si>
    <t>II 30,14q</t>
  </si>
  <si>
    <t>L-1488-315495510</t>
  </si>
  <si>
    <t>106696534X</t>
  </si>
  <si>
    <t>II 30,15a</t>
  </si>
  <si>
    <t>L-1489-315495472</t>
  </si>
  <si>
    <t>II 30,15b</t>
  </si>
  <si>
    <t>L-1489-315497238</t>
  </si>
  <si>
    <t>II 30,15c</t>
  </si>
  <si>
    <t>L-1491-315496134</t>
  </si>
  <si>
    <t>II 30,15d</t>
  </si>
  <si>
    <t>L-1491-315501855</t>
  </si>
  <si>
    <t>II 30,15f</t>
  </si>
  <si>
    <t>L-1491-352278366</t>
  </si>
  <si>
    <t>II 30,15f (angebunden)</t>
  </si>
  <si>
    <t>L-1493-315499133</t>
  </si>
  <si>
    <t>II 30,15g</t>
  </si>
  <si>
    <t>L-1493-31550238X</t>
  </si>
  <si>
    <t>II 30,15h</t>
  </si>
  <si>
    <t>L-1493-315501863</t>
  </si>
  <si>
    <t>106697148X</t>
  </si>
  <si>
    <t>II 30,15ha</t>
  </si>
  <si>
    <t>L-1495-315495480</t>
  </si>
  <si>
    <t>II 30,15i</t>
  </si>
  <si>
    <t>L-1496-315502274</t>
  </si>
  <si>
    <t>II 30,15k</t>
  </si>
  <si>
    <t>L-1496-315496509</t>
  </si>
  <si>
    <t>II 30,15l</t>
  </si>
  <si>
    <t>L-1497-315496592</t>
  </si>
  <si>
    <t>II 30,15m</t>
  </si>
  <si>
    <t>L-1499-327280379</t>
  </si>
  <si>
    <t>II 30,15o</t>
  </si>
  <si>
    <t>L-1487-327280646</t>
  </si>
  <si>
    <t>II 30,15p</t>
  </si>
  <si>
    <t>L-1489-315498072</t>
  </si>
  <si>
    <t>II 30,16a</t>
  </si>
  <si>
    <t>L-1500-315501693</t>
  </si>
  <si>
    <t>II 30,18a</t>
  </si>
  <si>
    <t>L-1500-315497149</t>
  </si>
  <si>
    <t>II 30,18b</t>
  </si>
  <si>
    <t>L-1499-315499249</t>
  </si>
  <si>
    <t>II 31,1a</t>
  </si>
  <si>
    <t>L-1500-315497025</t>
  </si>
  <si>
    <t>II 31,1b</t>
  </si>
  <si>
    <t>L-1498-315502789</t>
  </si>
  <si>
    <t>II 31,1c</t>
  </si>
  <si>
    <t>L-1474-315496479</t>
  </si>
  <si>
    <t>II 32,1 b</t>
  </si>
  <si>
    <t>L-1473-315498161</t>
  </si>
  <si>
    <t>II 32,1a</t>
  </si>
  <si>
    <t>L-1475-315498188</t>
  </si>
  <si>
    <t>106696792X</t>
  </si>
  <si>
    <t>II 32,1c</t>
  </si>
  <si>
    <t>L-1475-315498196</t>
  </si>
  <si>
    <t>II 32,1ca - Fragm.</t>
  </si>
  <si>
    <t>L-1475-31549705X</t>
  </si>
  <si>
    <t>II 32,1d</t>
  </si>
  <si>
    <t>L-1480-315500476</t>
  </si>
  <si>
    <t>II 32,1e</t>
  </si>
  <si>
    <t>L-1481-315502622</t>
  </si>
  <si>
    <t>II 32,1f</t>
  </si>
  <si>
    <t>L-1473-31550028X</t>
  </si>
  <si>
    <t>II 32,1h</t>
  </si>
  <si>
    <t>L-1481-315499591</t>
  </si>
  <si>
    <t>II 32,1i</t>
  </si>
  <si>
    <t>L-1484-315500301</t>
  </si>
  <si>
    <t>II 32,2ab</t>
  </si>
  <si>
    <t>L-1486-315499206</t>
  </si>
  <si>
    <t>II 32,2b</t>
  </si>
  <si>
    <t>L-1488-315500107</t>
  </si>
  <si>
    <t>II 32,2c</t>
  </si>
  <si>
    <t>L-1488-315499664</t>
  </si>
  <si>
    <t>II 32,2d</t>
  </si>
  <si>
    <t>L-1488-444452109</t>
  </si>
  <si>
    <t>II 32,2da</t>
  </si>
  <si>
    <t>L-1499-315502738</t>
  </si>
  <si>
    <t>106697229X</t>
  </si>
  <si>
    <t>II 32,4a</t>
  </si>
  <si>
    <t>L-1499-31550109X</t>
  </si>
  <si>
    <t>II 32,5a</t>
  </si>
  <si>
    <t>L-1494-315500581</t>
  </si>
  <si>
    <t>II 33,1a</t>
  </si>
  <si>
    <t>L-1484-315495278</t>
  </si>
  <si>
    <t>II 34,1a</t>
  </si>
  <si>
    <t>L-1479-316402591</t>
  </si>
  <si>
    <t>II 35,1a - Fragm.</t>
  </si>
  <si>
    <t>L-1499-316402605</t>
  </si>
  <si>
    <t>II 35,2a - Fragm.</t>
  </si>
  <si>
    <t>L-1474-315495456</t>
  </si>
  <si>
    <t>II 36,1a</t>
  </si>
  <si>
    <t>L-2019-323537</t>
  </si>
  <si>
    <t>II 37,1a</t>
  </si>
  <si>
    <t>L-1472-327281049</t>
  </si>
  <si>
    <t>II 43,1a</t>
  </si>
  <si>
    <t>L-1486-315497173</t>
  </si>
  <si>
    <t>II 43,2a</t>
  </si>
  <si>
    <t>L-1496-315495340</t>
  </si>
  <si>
    <t>II 43,2b</t>
  </si>
  <si>
    <t>L-1482-31640263X</t>
  </si>
  <si>
    <t>II 43,3ab - Fragm.</t>
  </si>
  <si>
    <t>L-1495-315496649</t>
  </si>
  <si>
    <t>II 43,5a</t>
  </si>
  <si>
    <t>L-1498-315496622</t>
  </si>
  <si>
    <t>II 43,6a</t>
  </si>
  <si>
    <t>L-1485-315498595</t>
  </si>
  <si>
    <t>II 44,1a</t>
  </si>
  <si>
    <t>L-1486-315496177</t>
  </si>
  <si>
    <t>II 44,2a</t>
  </si>
  <si>
    <t>L-1499-327281251</t>
  </si>
  <si>
    <t>II 44,2b</t>
  </si>
  <si>
    <t>L-1490-315494018</t>
  </si>
  <si>
    <t>II 44,3a</t>
  </si>
  <si>
    <t>L-1473-32690154X</t>
  </si>
  <si>
    <t>II 44,4a</t>
  </si>
  <si>
    <t>L-1475-315498099</t>
  </si>
  <si>
    <t>II 44,5a</t>
  </si>
  <si>
    <t>L-1476-315495782</t>
  </si>
  <si>
    <t>II 45,1a</t>
  </si>
  <si>
    <t>L-1481-31549655X</t>
  </si>
  <si>
    <t>II 45,1b</t>
  </si>
  <si>
    <t>L-1475-326901868</t>
  </si>
  <si>
    <t>II 46,1a</t>
  </si>
  <si>
    <t>L-1480-315502002</t>
  </si>
  <si>
    <t>II 48,1a</t>
  </si>
  <si>
    <t>L-1492-315501766</t>
  </si>
  <si>
    <t>II 49,1a</t>
  </si>
  <si>
    <t>L-1484-327281405</t>
  </si>
  <si>
    <t>II 50,1b</t>
  </si>
  <si>
    <t>L-1480-327281618</t>
  </si>
  <si>
    <t>II 51,1b</t>
  </si>
  <si>
    <t>L-1476-315497963</t>
  </si>
  <si>
    <t>II 51,1b (angebunden)</t>
  </si>
  <si>
    <t>L-1480-315502282</t>
  </si>
  <si>
    <t>II 51,1c</t>
  </si>
  <si>
    <t>L-1480-315501715</t>
  </si>
  <si>
    <t>106697134X</t>
  </si>
  <si>
    <t>II 52,2a</t>
  </si>
  <si>
    <t>L-1493-315495359</t>
  </si>
  <si>
    <t>106696520X</t>
  </si>
  <si>
    <t>II 52,2b</t>
  </si>
  <si>
    <t>L-1470-315497491</t>
  </si>
  <si>
    <t>II 54,1a</t>
  </si>
  <si>
    <t>L-1481-326902260</t>
  </si>
  <si>
    <t>II 56,1a</t>
  </si>
  <si>
    <t>L-1491-326902686</t>
  </si>
  <si>
    <t>II 61,1a</t>
  </si>
  <si>
    <t>L-1480-315496304</t>
  </si>
  <si>
    <t>II 62,1a</t>
  </si>
  <si>
    <t>L-1482-315499834</t>
  </si>
  <si>
    <t>II 62,2a</t>
  </si>
  <si>
    <t>L-1497-31550336X</t>
  </si>
  <si>
    <t>II 62,3a</t>
  </si>
  <si>
    <t>L-1496-326902872</t>
  </si>
  <si>
    <t>II 62,4a</t>
  </si>
  <si>
    <t>L-1497-315496126</t>
  </si>
  <si>
    <t>II 62,4b</t>
  </si>
  <si>
    <t>L-1499-327281782</t>
  </si>
  <si>
    <t>II 62,5a</t>
  </si>
  <si>
    <t>L-1476-327679115</t>
  </si>
  <si>
    <t>107237806X</t>
  </si>
  <si>
    <t>L-1478-315497734</t>
  </si>
  <si>
    <t>II 63,2 d</t>
  </si>
  <si>
    <t>L-1475-315501049</t>
  </si>
  <si>
    <t>II 63,2a</t>
  </si>
  <si>
    <t>L-1479-326902988</t>
  </si>
  <si>
    <t>II 63,2b</t>
  </si>
  <si>
    <t>L-1477-326903305</t>
  </si>
  <si>
    <t>II 63,2c</t>
  </si>
  <si>
    <t>L-1476-31550174X</t>
  </si>
  <si>
    <t>II 63,3a</t>
  </si>
  <si>
    <t>L-1476-315496231</t>
  </si>
  <si>
    <t>II 63,3b</t>
  </si>
  <si>
    <t>L-1483-315495774</t>
  </si>
  <si>
    <t>II 63,3c</t>
  </si>
  <si>
    <t>L-1478-31549638X</t>
  </si>
  <si>
    <t>II 63,4a</t>
  </si>
  <si>
    <t>L-1482-326903461</t>
  </si>
  <si>
    <t>II 63,5a</t>
  </si>
  <si>
    <t>L-1489-315502266</t>
  </si>
  <si>
    <t>II 63,5b</t>
  </si>
  <si>
    <t>L-1480-326905863</t>
  </si>
  <si>
    <t>II 63,6a</t>
  </si>
  <si>
    <t>L-1495-315501294</t>
  </si>
  <si>
    <t>II 63,8a</t>
  </si>
  <si>
    <t>L-1479-315498382</t>
  </si>
  <si>
    <t>106696811X</t>
  </si>
  <si>
    <t>II 64,1b</t>
  </si>
  <si>
    <t>L-1477-326906126</t>
  </si>
  <si>
    <t>II 65,1a</t>
  </si>
  <si>
    <t>L-1480-327008083</t>
  </si>
  <si>
    <t>II 65,2</t>
  </si>
  <si>
    <t>L-1473-31549848X</t>
  </si>
  <si>
    <t>II 66,2a</t>
  </si>
  <si>
    <t>L-1479-315497939</t>
  </si>
  <si>
    <t>II 66,3a</t>
  </si>
  <si>
    <t>L-1486-327679239</t>
  </si>
  <si>
    <t>107237840X</t>
  </si>
  <si>
    <t>II 66,4a</t>
  </si>
  <si>
    <t>L-1475-326906487</t>
  </si>
  <si>
    <t>II 67,1a</t>
  </si>
  <si>
    <t>L-1494-326906622</t>
  </si>
  <si>
    <t>II 67,2a</t>
  </si>
  <si>
    <t>L-1499-315496053</t>
  </si>
  <si>
    <t>II 67,4a</t>
  </si>
  <si>
    <t>L-1480-32690672X</t>
  </si>
  <si>
    <t>II 67,6a</t>
  </si>
  <si>
    <t>L-1499-315496223</t>
  </si>
  <si>
    <t>II 67,7a</t>
  </si>
  <si>
    <t>L-1495-315501448</t>
  </si>
  <si>
    <t>II 67,9a</t>
  </si>
  <si>
    <t>L-1493-315495367</t>
  </si>
  <si>
    <t>II 67,10a</t>
  </si>
  <si>
    <t>L-1493-32767928X</t>
  </si>
  <si>
    <t>II 67,10b</t>
  </si>
  <si>
    <t>L-1475-327679387</t>
  </si>
  <si>
    <t>II 67,11a</t>
  </si>
  <si>
    <t>L-1481-315501057</t>
  </si>
  <si>
    <t>106697070X</t>
  </si>
  <si>
    <t>II 68,1a</t>
  </si>
  <si>
    <t>L-1482-343708523</t>
  </si>
  <si>
    <t>II 68,1b</t>
  </si>
  <si>
    <t>L-1481-326907726</t>
  </si>
  <si>
    <t>II 69,1a</t>
  </si>
  <si>
    <t>L-1498-315495375</t>
  </si>
  <si>
    <t>II 69,2a</t>
  </si>
  <si>
    <t>L-1484-327679522</t>
  </si>
  <si>
    <t>II 69,3a</t>
  </si>
  <si>
    <t>L-1498-326910484</t>
  </si>
  <si>
    <t>II 70,1a</t>
  </si>
  <si>
    <t>L-1485-326910751</t>
  </si>
  <si>
    <t>II 72,1a</t>
  </si>
  <si>
    <t>L-1481-315497114</t>
  </si>
  <si>
    <t>II 74,1a</t>
  </si>
  <si>
    <t>L-1494-315495693</t>
  </si>
  <si>
    <t>II 74,2a</t>
  </si>
  <si>
    <t>L-1498-315497718</t>
  </si>
  <si>
    <t>II 74,3a</t>
  </si>
  <si>
    <t>L-1470-320163695</t>
  </si>
  <si>
    <t>II 75,1b - 1</t>
  </si>
  <si>
    <t>L-1470-320163733</t>
  </si>
  <si>
    <t>106901494X</t>
  </si>
  <si>
    <t>II 75,1b - 2</t>
  </si>
  <si>
    <t>L-1476-315502517</t>
  </si>
  <si>
    <t>II 75,2e</t>
  </si>
  <si>
    <t>L-1495-326993355</t>
  </si>
  <si>
    <t>II 76,1a</t>
  </si>
  <si>
    <t>L-1492-326993479</t>
  </si>
  <si>
    <t>II 80,1a</t>
  </si>
  <si>
    <t>L-1476-326993541</t>
  </si>
  <si>
    <t>II 80,2a</t>
  </si>
  <si>
    <t>L-1477-326993959</t>
  </si>
  <si>
    <t>II 80,3a</t>
  </si>
  <si>
    <t>L-1480-326998527</t>
  </si>
  <si>
    <t>II 80,5a</t>
  </si>
  <si>
    <t>L-1480-326998683</t>
  </si>
  <si>
    <t>II 80,6a</t>
  </si>
  <si>
    <t>L-1470-326999035</t>
  </si>
  <si>
    <t>II 82,1 c</t>
  </si>
  <si>
    <t>L-1470-326998888</t>
  </si>
  <si>
    <t>II 82,1b</t>
  </si>
  <si>
    <t>L-1472-315497645</t>
  </si>
  <si>
    <t>II 82,1e</t>
  </si>
  <si>
    <t>L-1471-315496428</t>
  </si>
  <si>
    <t>II 82,1g (I)</t>
  </si>
  <si>
    <t>L-1471-315496436</t>
  </si>
  <si>
    <t>II 82,1g (II)</t>
  </si>
  <si>
    <t>L-1476-315501669</t>
  </si>
  <si>
    <t>II 82,2c</t>
  </si>
  <si>
    <t>L-1477-315495669</t>
  </si>
  <si>
    <t>II 82,2d</t>
  </si>
  <si>
    <t>L-1478-315499842</t>
  </si>
  <si>
    <t>II 82,2e</t>
  </si>
  <si>
    <t>L-1478-31549641X</t>
  </si>
  <si>
    <t>II 82,2f</t>
  </si>
  <si>
    <t>L-1478-343708906</t>
  </si>
  <si>
    <t>II 82,2f (angebunden)</t>
  </si>
  <si>
    <t>L-1471-327006366</t>
  </si>
  <si>
    <t>II 82,3a</t>
  </si>
  <si>
    <t>L-1476-315501278</t>
  </si>
  <si>
    <t>II 82,4b</t>
  </si>
  <si>
    <t>L-1482-315494972</t>
  </si>
  <si>
    <t>II 82,4c</t>
  </si>
  <si>
    <t>L-1479-315497696</t>
  </si>
  <si>
    <t>II 82,5a</t>
  </si>
  <si>
    <t>L-1476-315495723</t>
  </si>
  <si>
    <t>106696548X</t>
  </si>
  <si>
    <t>II 82,6a</t>
  </si>
  <si>
    <t>L-1468-315501197</t>
  </si>
  <si>
    <t>II 82,7b</t>
  </si>
  <si>
    <t>L-1483-327015608</t>
  </si>
  <si>
    <t>II 82,7d</t>
  </si>
  <si>
    <t>L-1483-315501162</t>
  </si>
  <si>
    <t>II 82,7e</t>
  </si>
  <si>
    <t>L-1485-315498447</t>
  </si>
  <si>
    <t>II 82,7f</t>
  </si>
  <si>
    <t>L-1480-315499982</t>
  </si>
  <si>
    <t>II 82,7g</t>
  </si>
  <si>
    <t>L-2013-316396</t>
  </si>
  <si>
    <t>II 82,7h</t>
  </si>
  <si>
    <t>L-1485-266425038</t>
  </si>
  <si>
    <t>II 82,7h (angebunden)</t>
  </si>
  <si>
    <t>L-1476-315498021</t>
  </si>
  <si>
    <t>II 82,9a</t>
  </si>
  <si>
    <t>L-1478-315500832</t>
  </si>
  <si>
    <t>II 82,9b</t>
  </si>
  <si>
    <t>L-1478-315496762</t>
  </si>
  <si>
    <t>II 82,10 b</t>
  </si>
  <si>
    <t>L-1480-315498919</t>
  </si>
  <si>
    <t>II 82,10a</t>
  </si>
  <si>
    <t>L-1482-327679670</t>
  </si>
  <si>
    <t>II 82,11a</t>
  </si>
  <si>
    <t>L-1493-31550224X</t>
  </si>
  <si>
    <t>II 82,11a [angebunden]</t>
  </si>
  <si>
    <t>L-1480-315498528</t>
  </si>
  <si>
    <t>II 82,12a</t>
  </si>
  <si>
    <t>L-1496-327016809</t>
  </si>
  <si>
    <t>II 82,13a</t>
  </si>
  <si>
    <t>L-1482-315501308</t>
  </si>
  <si>
    <t>II 82,14 a</t>
  </si>
  <si>
    <t>L-1486-315503114</t>
  </si>
  <si>
    <t>II 82,15a</t>
  </si>
  <si>
    <t>L-1489-315503017</t>
  </si>
  <si>
    <t>II 82,15b</t>
  </si>
  <si>
    <t>L-1490-327679786</t>
  </si>
  <si>
    <t>107237935X</t>
  </si>
  <si>
    <t>II 82,15b [angebunden]</t>
  </si>
  <si>
    <t>L-2013-303556</t>
  </si>
  <si>
    <t>II 82,15c</t>
  </si>
  <si>
    <t>L-1496-327017139</t>
  </si>
  <si>
    <t>II 82,16 a</t>
  </si>
  <si>
    <t>L-1497-315498404</t>
  </si>
  <si>
    <t>II 82,16 b</t>
  </si>
  <si>
    <t>L-1496-315498846</t>
  </si>
  <si>
    <t>II 82,16ab - Fragm.</t>
  </si>
  <si>
    <t>L-1481-31549851X</t>
  </si>
  <si>
    <t>106696825X</t>
  </si>
  <si>
    <t>II 82,17 a</t>
  </si>
  <si>
    <t>L-1481-315499125</t>
  </si>
  <si>
    <t>II 82,17 b</t>
  </si>
  <si>
    <t>L-1481-315503130</t>
  </si>
  <si>
    <t>II 82,17c</t>
  </si>
  <si>
    <t>L-1481-315499052</t>
  </si>
  <si>
    <t>II 82,17d</t>
  </si>
  <si>
    <t>L-1481-315498137</t>
  </si>
  <si>
    <t>II 82,17e</t>
  </si>
  <si>
    <t>L-1486-315502363</t>
  </si>
  <si>
    <t>II 82,19a</t>
  </si>
  <si>
    <t>L-1485-315497599</t>
  </si>
  <si>
    <t>II 82,20a</t>
  </si>
  <si>
    <t>L-1486-315503084</t>
  </si>
  <si>
    <t>II 82,21a</t>
  </si>
  <si>
    <t>L-1494-315502258</t>
  </si>
  <si>
    <t>II 82,23a</t>
  </si>
  <si>
    <t>L-1497-315502037</t>
  </si>
  <si>
    <t>106697165X</t>
  </si>
  <si>
    <t>II 82,24a</t>
  </si>
  <si>
    <t>L-1492-315499907</t>
  </si>
  <si>
    <t>II 82,24b</t>
  </si>
  <si>
    <t>L-1483-315499818</t>
  </si>
  <si>
    <t>II 82,25a</t>
  </si>
  <si>
    <t>L-1495-315496274</t>
  </si>
  <si>
    <t>II 82,26a</t>
  </si>
  <si>
    <t>L-1489-315495960</t>
  </si>
  <si>
    <t>II 82,27a</t>
  </si>
  <si>
    <t>L-1489-315496878</t>
  </si>
  <si>
    <t>II 82,27b</t>
  </si>
  <si>
    <t>L-1493-315503351</t>
  </si>
  <si>
    <t>II 82,27c</t>
  </si>
  <si>
    <t>L-1490-315501073</t>
  </si>
  <si>
    <t>II 82,28a</t>
  </si>
  <si>
    <t>L-1477-315497920</t>
  </si>
  <si>
    <t>II 82,28b</t>
  </si>
  <si>
    <t>L-1487-31549770X</t>
  </si>
  <si>
    <t>106696744X</t>
  </si>
  <si>
    <t>II 82,29a</t>
  </si>
  <si>
    <t>L-1487-315497726</t>
  </si>
  <si>
    <t>II 82,29b</t>
  </si>
  <si>
    <t>L-1489-315499508</t>
  </si>
  <si>
    <t>II 82,30a</t>
  </si>
  <si>
    <t>L-1489-315496037</t>
  </si>
  <si>
    <t>II 82,30a (1. angeb. Werk)</t>
  </si>
  <si>
    <t>L-1489-315497165</t>
  </si>
  <si>
    <t>II 82,30a (2. angeb. Werk)</t>
  </si>
  <si>
    <t>L-1496-315502312</t>
  </si>
  <si>
    <t>II 82,31a</t>
  </si>
  <si>
    <t>L-1496-343709120</t>
  </si>
  <si>
    <t>II 82,31a - Fragm.</t>
  </si>
  <si>
    <t>L-1491-315502010</t>
  </si>
  <si>
    <t>II 82,32a</t>
  </si>
  <si>
    <t>L-1490-315500824</t>
  </si>
  <si>
    <t>II 82,33b</t>
  </si>
  <si>
    <t>L-1495-343709317</t>
  </si>
  <si>
    <t>II 82,33b (angebunden)</t>
  </si>
  <si>
    <t>L-1496-327017562</t>
  </si>
  <si>
    <t>II 82,34a</t>
  </si>
  <si>
    <t>L-1497-315498048</t>
  </si>
  <si>
    <t>II 82,34c</t>
  </si>
  <si>
    <t>L-1491-315501189</t>
  </si>
  <si>
    <t>II 82,34d</t>
  </si>
  <si>
    <t>L-1499-315500336</t>
  </si>
  <si>
    <t>106696999X</t>
  </si>
  <si>
    <t>II 82,35a</t>
  </si>
  <si>
    <t>L-1495-327679948</t>
  </si>
  <si>
    <t>II 82,36a</t>
  </si>
  <si>
    <t>L-1496-315501375</t>
  </si>
  <si>
    <t>II 82,36a [angebunden]</t>
  </si>
  <si>
    <t>L-1496-315497521</t>
  </si>
  <si>
    <t>II 82,36b</t>
  </si>
  <si>
    <t>L-1499-327680911</t>
  </si>
  <si>
    <t>II 82,36c</t>
  </si>
  <si>
    <t>L-1497-31549798X</t>
  </si>
  <si>
    <t>II 82,37b</t>
  </si>
  <si>
    <t>L-1498-315502495</t>
  </si>
  <si>
    <t>II 82,38a</t>
  </si>
  <si>
    <t>L-1497-315499680</t>
  </si>
  <si>
    <t>II 82,38b</t>
  </si>
  <si>
    <t>L-1497-315765119</t>
  </si>
  <si>
    <t>106707564X</t>
  </si>
  <si>
    <t>II 82,39a</t>
  </si>
  <si>
    <t>L-1500-327681209</t>
  </si>
  <si>
    <t>II 82,39b</t>
  </si>
  <si>
    <t>L-1499-315496290</t>
  </si>
  <si>
    <t>II 82,40a</t>
  </si>
  <si>
    <t>L-1500-315498412</t>
  </si>
  <si>
    <t>II 82,41a</t>
  </si>
  <si>
    <t>L-1491-327019425</t>
  </si>
  <si>
    <t>II 82,42a</t>
  </si>
  <si>
    <t>L-1493-32702013X</t>
  </si>
  <si>
    <t>II 82,42a [angebunden]</t>
  </si>
  <si>
    <t>L-1485-31550093X</t>
  </si>
  <si>
    <t>II 82,43a</t>
  </si>
  <si>
    <t>L-1480-315501421</t>
  </si>
  <si>
    <t>II 82,44</t>
  </si>
  <si>
    <t>L-1480-315500697</t>
  </si>
  <si>
    <t>II 83,1a</t>
  </si>
  <si>
    <t>L-1480-315500689</t>
  </si>
  <si>
    <t>II 83,1b</t>
  </si>
  <si>
    <t>L-1481-315497092</t>
  </si>
  <si>
    <t>L-1477-315495677</t>
  </si>
  <si>
    <t>II 84,1a</t>
  </si>
  <si>
    <t>L-1479-327681535</t>
  </si>
  <si>
    <t>II 84,1b</t>
  </si>
  <si>
    <t>L-1476-327020814</t>
  </si>
  <si>
    <t>107218866X</t>
  </si>
  <si>
    <t>II 84,2a</t>
  </si>
  <si>
    <t>L-1476-327155663</t>
  </si>
  <si>
    <t>II 84,2b</t>
  </si>
  <si>
    <t>L-1475-327156120</t>
  </si>
  <si>
    <t>II 84,2c</t>
  </si>
  <si>
    <t>L-1479-327021136</t>
  </si>
  <si>
    <t>II 84,3a</t>
  </si>
  <si>
    <t>L-1488-315495707</t>
  </si>
  <si>
    <t>II 84,4a</t>
  </si>
  <si>
    <t>L-1478-327021756</t>
  </si>
  <si>
    <t>107218981X</t>
  </si>
  <si>
    <t>II 85,1a - Fragm.</t>
  </si>
  <si>
    <t>L-1478-327679166</t>
  </si>
  <si>
    <t>II 85,1b [angebunden an II 63,1a]</t>
  </si>
  <si>
    <t>L-1481-315500433</t>
  </si>
  <si>
    <t>II 86,1a</t>
  </si>
  <si>
    <t>L-1481-315501685</t>
  </si>
  <si>
    <t>II 86,1b</t>
  </si>
  <si>
    <t>L-1479-315502630</t>
  </si>
  <si>
    <t>II 87,1a</t>
  </si>
  <si>
    <t>L-1486-327682124</t>
  </si>
  <si>
    <t>II 87,1c</t>
  </si>
  <si>
    <t>L-1474-375087958</t>
  </si>
  <si>
    <t>II 90,1a - [1] Fragm.</t>
  </si>
  <si>
    <t>L-1477-375088350</t>
  </si>
  <si>
    <t>110977575X</t>
  </si>
  <si>
    <t>II 90,1a - [2] Fragm.</t>
  </si>
  <si>
    <t>L-1477-375088466</t>
  </si>
  <si>
    <t>II 90,1a - [3] Fragm.</t>
  </si>
  <si>
    <t>L-1477-375088474</t>
  </si>
  <si>
    <t>II 90,1a - [4] Fragm.</t>
  </si>
  <si>
    <t>L-1478-375324100</t>
  </si>
  <si>
    <t>II 90,1a - [5] Fragm.</t>
  </si>
  <si>
    <t>L-1496-375327509</t>
  </si>
  <si>
    <t>II 90,1a - [6] Fragm.</t>
  </si>
  <si>
    <t>L-1474-375328378</t>
  </si>
  <si>
    <t>II 90,1a - [7] Fragm.</t>
  </si>
  <si>
    <t>L-1498-375329048</t>
  </si>
  <si>
    <t>II 90,1a - [8] Fragm.</t>
  </si>
  <si>
    <t>L-1498-375329684</t>
  </si>
  <si>
    <t>II 90,1a - [9] Fragm.</t>
  </si>
  <si>
    <t>L-1498-375330437</t>
  </si>
  <si>
    <t>II 90,1a - [10] Fragm.</t>
  </si>
  <si>
    <t>L-1482-375330852</t>
  </si>
  <si>
    <t>II 90,1a - [11] Fragm.</t>
  </si>
  <si>
    <t>L-1487-375331115</t>
  </si>
  <si>
    <t>II 90,1a - [12] Fragm.</t>
  </si>
  <si>
    <t>L-1495-375331980</t>
  </si>
  <si>
    <t>110982050X</t>
  </si>
  <si>
    <t>II 90,1a - [13] Fragm.</t>
  </si>
  <si>
    <t>L-1490-375417559</t>
  </si>
  <si>
    <t>II 90,1a - [14] Fragm.</t>
  </si>
  <si>
    <t>L-1491-375563911</t>
  </si>
  <si>
    <t>II 90,1a - [15] Fragm.</t>
  </si>
  <si>
    <t>L-1493-375566767</t>
  </si>
  <si>
    <t>II 90,1a - [16] Fragm.</t>
  </si>
  <si>
    <t>II 90,1a - [17] Fragm.</t>
  </si>
  <si>
    <t>L-1495-375567593</t>
  </si>
  <si>
    <t>II 90,1a - [20] Fragm.</t>
  </si>
  <si>
    <t>L-1489-375567704</t>
  </si>
  <si>
    <t>111007414X</t>
  </si>
  <si>
    <t>II 90,1a - [21] Fragm.</t>
  </si>
  <si>
    <t>L-1489-375567712</t>
  </si>
  <si>
    <t>II 90,1a - [22] Fragm.</t>
  </si>
  <si>
    <t>L-1489-375567720</t>
  </si>
  <si>
    <t>II 90,1a - [23] Fragm.</t>
  </si>
  <si>
    <t>L-1489-375567739</t>
  </si>
  <si>
    <t>II 90,1a - [24] Fragm.</t>
  </si>
  <si>
    <t>fester Rücken mit Schmuckprägung, erhabene Illuminationen</t>
  </si>
  <si>
    <t>Halbledereinband, Schließen, erhabene Buchbeschläge</t>
  </si>
  <si>
    <t>Ledereinband, Schließen, erhabene Buchbeschläge</t>
  </si>
  <si>
    <t>hohler Rücken, erhabene Illuminationen</t>
  </si>
  <si>
    <t>hohler Rücken, welliger Buchblock, erhabene Illuminationen</t>
  </si>
  <si>
    <t>schwerer Holzdeckel</t>
  </si>
  <si>
    <t>stark brüchiges Einbandmaterial, erhabene Illuminationen</t>
  </si>
  <si>
    <t>fester Rücken mit Schmuckprägung, Tintenfraß, erhabene Illuminationen</t>
  </si>
  <si>
    <t>hohler Rücken, stark brüchiges Einbandmaterial, erhabene Illuminationen</t>
  </si>
  <si>
    <t>fester Rücken mit Schmuckprägung, erhabene Illuminationen, stark brüchiges Einbandmaterial</t>
  </si>
  <si>
    <t xml:space="preserve">Signaturgruppe II </t>
  </si>
  <si>
    <t>Standorte</t>
  </si>
  <si>
    <t>Normalformate 4. OG R 43-44</t>
  </si>
  <si>
    <t>Großformate 4. OG R 37- 38</t>
  </si>
  <si>
    <t xml:space="preserve">Überformate 4. OG R 73A/10/1 </t>
  </si>
  <si>
    <t>neue DA</t>
  </si>
  <si>
    <t>Kassette enth. zusätzlich Originaleinbd.</t>
  </si>
  <si>
    <t>Papier- oder Pappeinband, Schließen, erhabene Buchbeschläge</t>
  </si>
  <si>
    <t>Pergamentband, Schließen, erhabene Buchbeschläge</t>
  </si>
  <si>
    <t>hohler Rücken, Einband mit Schutz- oder Stoßkanten</t>
  </si>
  <si>
    <t>Originaleinband separat</t>
  </si>
  <si>
    <t>hohler Rücken, stark brüchiges Einbandmaterial</t>
  </si>
  <si>
    <t>hohler Rücken, Schrift bis in den Falz, welliger Buchblock</t>
  </si>
  <si>
    <t>fester Rücken mit Schmuckprägung, welliger Buchblock, stark brüchiges Einbandmaterial</t>
  </si>
  <si>
    <t>Gewebeeinband, Schließen, erhabene Buchbeschläge</t>
  </si>
  <si>
    <t>hohler Rücken, welliger Buchblock</t>
  </si>
  <si>
    <t>II 2,7a - 1</t>
  </si>
  <si>
    <t>II 2,7a - 2</t>
  </si>
  <si>
    <t>II 2,7a - 5</t>
  </si>
  <si>
    <t>fester Rücken mit Schmuckprägung, welliger Buchblock, erhabene Illuminationen</t>
  </si>
  <si>
    <t>fester Rücken mit Schmuckprägung, welliger Buchblock, Schrift bis in den Falz</t>
  </si>
  <si>
    <t>welliger Buchblock, Schrift bis in den Falz, stark brüchiges Einbandmaterial, erhabene Illuminationen</t>
  </si>
  <si>
    <t>fester Rücken mit Schmuckprägung, welliger Buchblock, Schrift bis in den Falz, erhabene Illuminationen</t>
  </si>
  <si>
    <t>welliger Buchblock, erhabene Illuminationen</t>
  </si>
  <si>
    <t>fester Rücken mit Schmuckprägung, welliger Buchblock, Schrift bis in den Falz, stark brüchiges Einbandmaterial, erhabene Illuminationen</t>
  </si>
  <si>
    <t>fester Rücken mit Schmuckprägung, welliger Buchblock, Schrift bis in den Falz, erhabene Illuminationen, stark brüchiges Einbandmaterial</t>
  </si>
  <si>
    <t>fester Rücken mit Schmuckprägung, welliger Buchblock, stark brüchiges Einbandmaterial, erhabene Illuminationen</t>
  </si>
  <si>
    <t>fester Rücken mit Schmuckprägung, welliger Buchblock, erhabene Illuminationen, Schrift bis in den Falz</t>
  </si>
  <si>
    <t>fester Rücken mit Schmuckprägung, Schrift bis in den Falz, stark brüchiges Einbandmaterial</t>
  </si>
  <si>
    <t>II 4,9c</t>
  </si>
  <si>
    <t>II 4,10b</t>
  </si>
  <si>
    <t>umgebunden,Originaleinband mit Blindmaterial liegt bei</t>
  </si>
  <si>
    <t>fester Rücken mit Schmuckprägung, stark brüchiges Einbandmaterial, erhabene Illuminationen</t>
  </si>
  <si>
    <t>hohler Rücken, Einband mit Schutz- oder Stoßkanten, erhabene Illuminationen</t>
  </si>
  <si>
    <t>Schrift bis in den Falz, erhabene Illuminationen</t>
  </si>
  <si>
    <t>erhabene Illuminationen, welliger Buchblock</t>
  </si>
  <si>
    <t>Nein, Signaturfahne austauschen</t>
  </si>
  <si>
    <t>hohler Rücken, erhabene Illuminationen, Einband mit Schutz- oder Stoßkanten</t>
  </si>
  <si>
    <t>hohler Rücken, welliger Buchblock, erhabene Illuminationen, stark brüchiges Einbandmaterial</t>
  </si>
  <si>
    <t>hohler Rücken, erhabene Illuminationen, stark brüchiges Einbandmaterial</t>
  </si>
  <si>
    <t>x</t>
  </si>
  <si>
    <t>ja</t>
  </si>
  <si>
    <t>II 8,16a</t>
  </si>
  <si>
    <t>Schließen, erhabene Buchbeschläge, Ledereinband</t>
  </si>
  <si>
    <t>hohler Rücken, Tintenfraß</t>
  </si>
  <si>
    <t>Holzdeckel</t>
  </si>
  <si>
    <t>Illuminationen??</t>
  </si>
  <si>
    <t>18 cm dick</t>
  </si>
  <si>
    <t>hohler Rücken, Schrift bis in den Falz, erhabene Illuminationen</t>
  </si>
  <si>
    <t xml:space="preserve"> </t>
  </si>
  <si>
    <t>fester Rücken mit Schmuckprägung, gefaltete Blätter, Schrift bis in den Falz</t>
  </si>
  <si>
    <t>Originaleinband/Blindmaterial</t>
  </si>
  <si>
    <t>II 24,3f kursiv - P1</t>
  </si>
  <si>
    <t>mit Stahlkette</t>
  </si>
  <si>
    <t>erhabene Illuminationen, Schrift bis in den Falz</t>
  </si>
  <si>
    <t>hohler Rücken, Einband mit Schutz- oder Stoßkanten, seitliche Klammerung oder Bindung, erhabene Illuminationen</t>
  </si>
  <si>
    <t>Ledereinband, Buchblock aus Pergament</t>
  </si>
  <si>
    <t>fester Rücken mit Schmuckprägung, welliger Buchblock</t>
  </si>
  <si>
    <t>Buchrücken fehlt bereits bei Erfassg.</t>
  </si>
  <si>
    <t>hohler Rücken, erhabene Illuminationen, welliger Buchblock</t>
  </si>
  <si>
    <t>fester Rücken mit Schmuckprägung, erhabene Illuminationen, welliger Buchblock</t>
  </si>
  <si>
    <t>erhabene Illuminationen, fester Rücken mit Schmuckprägung</t>
  </si>
  <si>
    <t>erhabene Illuminationen, welliger Buchblock, fester Rücken mit Schmuckprägung</t>
  </si>
  <si>
    <t>erhabene Illuminationen, welliger Buchblock, hohler Rücken</t>
  </si>
  <si>
    <t>II 30,2e - 1</t>
  </si>
  <si>
    <t>welliger Buchblock, fester Rücken mit Schmuckprägung, erhabene Illuminationen</t>
  </si>
  <si>
    <t>II 30,2e - 2</t>
  </si>
  <si>
    <t>welliger Buchblock, fester Rücken mit Schmuckprägung, stark brüchiges Einbandmaterial</t>
  </si>
  <si>
    <t>II 30,2g - 1/2</t>
  </si>
  <si>
    <t>II 30,2g - 3/4</t>
  </si>
  <si>
    <t>II 30,2h - 1</t>
  </si>
  <si>
    <t>II 30,2h - 2</t>
  </si>
  <si>
    <t>II 30,2i - 1</t>
  </si>
  <si>
    <t>II 30,2i - 2</t>
  </si>
  <si>
    <t>fester Rücken mit Schmuckprägung, Schrift bis in den Falz, erhabene Illuminationen</t>
  </si>
  <si>
    <t>II 30,2i - 3</t>
  </si>
  <si>
    <t>II 30,2i - 4</t>
  </si>
  <si>
    <t>Lesezeichen an Seiten angebracht</t>
  </si>
  <si>
    <t>erhabene Illuminationen, hohler Rücken</t>
  </si>
  <si>
    <t>fester Rücken mit Schmuckprägung, welliger Buchblock, stark brüchiges Einbandmaterial, fester Rücken mit Schmuckprägung, erhabene Illuminationen, welliger Buchblock</t>
  </si>
  <si>
    <t>fester Rücken mit Schmuckprägung, erhabene Illuminationen, erhabene Illuminationen, Schrift bis in den Falz</t>
  </si>
  <si>
    <t>stark brüchiges Einbandmaterial, fester Rücken mit Schmuckprägung, erhabene Illuminationen</t>
  </si>
  <si>
    <t>erhabene Illuminationen, welliger Buchblock, fester Rücken mit Schmuckprägung, erhabene Illuminationen</t>
  </si>
  <si>
    <t>Reinigung</t>
  </si>
  <si>
    <t>Halbgewebeband, Schließen, erhabene Buchbeschläge</t>
  </si>
  <si>
    <t>erhabene Illuminationen, stark brüchiges Einbandmaterial</t>
  </si>
  <si>
    <t>II 30,12g</t>
  </si>
  <si>
    <t>nein</t>
  </si>
  <si>
    <t>Fragment in Sammelbox</t>
  </si>
  <si>
    <t>fester Rücken mit Schmuckprägung, welliger Buchblock, erhabene Illuminationen, stark brüchiges Einbandmaterial</t>
  </si>
  <si>
    <t>alte Vorsätze+Rücken mit in Kassette</t>
  </si>
  <si>
    <t>hohler Rücken, welliger Buchblock, Schrift bis in den Falz</t>
  </si>
  <si>
    <t>II 36,1b</t>
  </si>
  <si>
    <t>gereinigt, Fragmanet in Sammelbox</t>
  </si>
  <si>
    <t>fester Rücken mit Schmuckprägung, welliger Buchblock, erhabene Illuminationen, Schrift bis in den Falz, Tintenfraß</t>
  </si>
  <si>
    <t>Holzdeckel, gereinigt,Fragment in Sammelbox</t>
  </si>
  <si>
    <t>hohler Rücken, erhabene Illuminationen, hohler Rücken, erhabene Illuminationen, hohler Rücken, erhabene Illuminationen, hohler Rücken, erhabene Illuminationen</t>
  </si>
  <si>
    <t>hohler Rücken, welliger Buchblock, Tintenfraß, erhabene Illuminationen, Schrift bis in den Falz</t>
  </si>
  <si>
    <t>hohler Rücken, Schrift bis in den Falz</t>
  </si>
  <si>
    <t>hohler Rücken, stark brüchiges Einbandmaterial, Schrift bis in den Falz</t>
  </si>
  <si>
    <t>Schrift bis in den Falz, hohler Rücken</t>
  </si>
  <si>
    <t>fester Rücken mit Schmuckprägung, stark brüchiges Einbandmaterial, welliger Buchblock</t>
  </si>
  <si>
    <t xml:space="preserve">3 Bd. Jeweils Einzeln in e. Kassette </t>
  </si>
  <si>
    <t>Buchrückenteile extra in Sammelbox</t>
  </si>
  <si>
    <t>Einband provisorisch gesichert, 
Kassette wird durch BE.1.2 bestellt, liegend lagern</t>
  </si>
  <si>
    <t>erhabene Illuminationen, fester Rücken mit Schmuckprägung, welliger Buchblock</t>
  </si>
  <si>
    <t>Holzdeckel, seitliche Lesezeichen</t>
  </si>
  <si>
    <t>gereinigt</t>
  </si>
  <si>
    <t>Holzdeckel, gereinigt</t>
  </si>
  <si>
    <t>Buchrücken vollständig abgelöst, gereinigt</t>
  </si>
  <si>
    <t>II 30,1a -Vol.1/2</t>
  </si>
  <si>
    <t>II 30,1a -Vol.3/4</t>
  </si>
  <si>
    <t>gefaltete Blätter, erhabene Illuminationen</t>
  </si>
  <si>
    <t>II 24,3f -1</t>
  </si>
  <si>
    <t>II 24,3f -2</t>
  </si>
  <si>
    <t>II 24,3f -3</t>
  </si>
  <si>
    <t>II 4,3e -1</t>
  </si>
  <si>
    <t>II 4,3e -2</t>
  </si>
  <si>
    <t>II 24,1c -1</t>
  </si>
  <si>
    <t>II 24,1c -2</t>
  </si>
  <si>
    <r>
      <t xml:space="preserve">Breite
</t>
    </r>
    <r>
      <rPr>
        <sz val="9"/>
        <color theme="1"/>
        <rFont val="Verdana"/>
        <family val="2"/>
      </rPr>
      <t>(nur Ausreißer)</t>
    </r>
  </si>
  <si>
    <r>
      <t xml:space="preserve">Dicke
</t>
    </r>
    <r>
      <rPr>
        <sz val="9"/>
        <color theme="1"/>
        <rFont val="Verdana"/>
        <family val="2"/>
      </rPr>
      <t>(&gt;12 cm)</t>
    </r>
  </si>
  <si>
    <t>Einbandart</t>
  </si>
  <si>
    <t>Register-marken</t>
  </si>
  <si>
    <t>seitliche Heftung</t>
  </si>
  <si>
    <t>Falttafeln</t>
  </si>
  <si>
    <t xml:space="preserve">Mappe </t>
  </si>
  <si>
    <t>SB neu</t>
  </si>
  <si>
    <t>DA</t>
  </si>
  <si>
    <t>L</t>
  </si>
  <si>
    <t>h/E</t>
  </si>
  <si>
    <t>Pa</t>
  </si>
  <si>
    <t>B/I/R</t>
  </si>
  <si>
    <t>max 110</t>
  </si>
  <si>
    <t>n</t>
  </si>
  <si>
    <t>HL</t>
  </si>
  <si>
    <t>I/R</t>
  </si>
  <si>
    <t>Pg</t>
  </si>
  <si>
    <t>max 60</t>
  </si>
  <si>
    <t>ja nach</t>
  </si>
  <si>
    <t>ja vor</t>
  </si>
  <si>
    <t>ggf. wg. Ausgleich hohler Rücken</t>
  </si>
  <si>
    <t>Holzdeckel mit Intarsienarbeit (s. Foto)</t>
  </si>
  <si>
    <t>xx</t>
  </si>
  <si>
    <t>h</t>
  </si>
  <si>
    <t>f</t>
  </si>
  <si>
    <t>G</t>
  </si>
  <si>
    <t>Klemm-Einband liegt der Kassette bei</t>
  </si>
  <si>
    <t>HD</t>
  </si>
  <si>
    <t>f/V</t>
  </si>
  <si>
    <t>nur bei Treventus</t>
  </si>
  <si>
    <t>v</t>
  </si>
  <si>
    <t>0-2</t>
  </si>
  <si>
    <t>x, wg. Bauch</t>
  </si>
  <si>
    <t>extremer Bauch --&gt; Digi-Grenzfall</t>
  </si>
  <si>
    <t>max 180</t>
  </si>
  <si>
    <t>geringerer Öffnungswinkel mindert "Bauch"</t>
  </si>
  <si>
    <t>Originaleinband</t>
  </si>
  <si>
    <t>ggf., wg. Schließe</t>
  </si>
  <si>
    <t>Originaleinband; es gibt 2 Bücher unter dieser Signatur</t>
  </si>
  <si>
    <t>K/I</t>
  </si>
  <si>
    <t>K</t>
  </si>
  <si>
    <t>Buch riecht extrem nach Chemie</t>
  </si>
  <si>
    <t>R</t>
  </si>
  <si>
    <t>I</t>
  </si>
  <si>
    <t>f/E</t>
  </si>
  <si>
    <t xml:space="preserve">I/R </t>
  </si>
  <si>
    <t>trotzt 180° Öffnungswinkel Textverlust (Marginalien)</t>
  </si>
  <si>
    <t>Klemmeinband in separater Box erhalten</t>
  </si>
  <si>
    <t>Kleimmeinband liegt der Kassette bei</t>
  </si>
  <si>
    <t>max 45</t>
  </si>
  <si>
    <t>II 1,1 a</t>
  </si>
  <si>
    <t>x Silberschließen des Einbandes (4 Teilstücke)</t>
  </si>
  <si>
    <t>Narben spaltet sich ab</t>
  </si>
  <si>
    <t>v/h</t>
  </si>
  <si>
    <t>u</t>
  </si>
  <si>
    <t>o/u</t>
  </si>
  <si>
    <t>o</t>
  </si>
  <si>
    <t>Heftung zerstört</t>
  </si>
  <si>
    <t>Risse am Rand</t>
  </si>
  <si>
    <t>Falten / Knicke</t>
  </si>
  <si>
    <t>Register-marken fragil</t>
  </si>
  <si>
    <t>15 Seiten</t>
  </si>
  <si>
    <t>25 Seiten</t>
  </si>
  <si>
    <t>Informationen zu dieser Mappe</t>
  </si>
  <si>
    <t>Veränderungen an dieser Mappe:</t>
  </si>
  <si>
    <t>wann</t>
  </si>
  <si>
    <t>wer</t>
  </si>
  <si>
    <t>was</t>
  </si>
  <si>
    <t>F. Thomschke</t>
  </si>
  <si>
    <t>zusätzlich Zebra in Signaturspalte eingefügt</t>
  </si>
  <si>
    <t>grundsätzlich alle Spalten ausgeblendet, die F. Thomschke für die Erfassung nicht benötigt</t>
  </si>
  <si>
    <t>neue Tabellenblätter in die Mappe eingefügt (Infos zu dieser Mappe, Legende_Thomschke, Schäden_Einband, Schäden_Buchblock)</t>
  </si>
  <si>
    <t>Wichtig! Bitte alle relevanten Veränderungen (Einfügen von Zellbezügen, neuen Spalten...) ergänzen, da verschiedene Leute mit der Tabelle arbeiten!!!</t>
  </si>
  <si>
    <t>Die Mappe basiert auf der Excelliste, die 2020 erstellt worde. Veränderungen/Ergänzungen ab 2022 sind unten aufgeführt.</t>
  </si>
  <si>
    <t>unten</t>
  </si>
  <si>
    <t>oben</t>
  </si>
  <si>
    <t>Rückdeckel</t>
  </si>
  <si>
    <t>RD</t>
  </si>
  <si>
    <t>Vorderdeckel</t>
  </si>
  <si>
    <t>VD</t>
  </si>
  <si>
    <t>hinten</t>
  </si>
  <si>
    <t>vorn</t>
  </si>
  <si>
    <t>Schäden/
Restaurierung</t>
  </si>
  <si>
    <t>Rubrikation</t>
  </si>
  <si>
    <t>Initalien</t>
  </si>
  <si>
    <t>Buchmalerei</t>
  </si>
  <si>
    <t>B</t>
  </si>
  <si>
    <t>Kolorierung</t>
  </si>
  <si>
    <t>Ausstattung</t>
  </si>
  <si>
    <t>hohler Rücken mit Einlage</t>
  </si>
  <si>
    <t>fester Rücken mit Vergoldung</t>
  </si>
  <si>
    <t>fester Rücken</t>
  </si>
  <si>
    <t>Rücken</t>
  </si>
  <si>
    <t>Einzelblätter</t>
  </si>
  <si>
    <t>EB</t>
  </si>
  <si>
    <t>ohne Einband (ungebunden)</t>
  </si>
  <si>
    <t>oE</t>
  </si>
  <si>
    <t>HPg</t>
  </si>
  <si>
    <t>Holzdeckelband</t>
  </si>
  <si>
    <t>HG</t>
  </si>
  <si>
    <t>Br</t>
  </si>
  <si>
    <t>Schutzbehältnis</t>
  </si>
  <si>
    <t>SB</t>
  </si>
  <si>
    <t>Überformat</t>
  </si>
  <si>
    <t>ÜF</t>
  </si>
  <si>
    <t>allg.</t>
  </si>
  <si>
    <t>Auflösung</t>
  </si>
  <si>
    <t>Abkürzung</t>
  </si>
  <si>
    <t>Einfügen neuer Spalten in das Hauptblatt "II_Inkunabeln+". Diese worden mit Zebra versehen.</t>
  </si>
  <si>
    <t>relative Zellbezüge eingefügt (auf II_Inkunabeln+, Schäden_Einband, Schäden_Buchblock)</t>
  </si>
  <si>
    <t>nicht
am Stand-ort</t>
  </si>
  <si>
    <r>
      <t xml:space="preserve">Größe ÜF
</t>
    </r>
    <r>
      <rPr>
        <sz val="9"/>
        <color theme="1"/>
        <rFont val="Verdana"/>
        <family val="2"/>
      </rPr>
      <t>(BxH)</t>
    </r>
  </si>
  <si>
    <r>
      <t xml:space="preserve">12° Format
</t>
    </r>
    <r>
      <rPr>
        <sz val="9"/>
        <color theme="1"/>
        <rFont val="Verdana"/>
        <family val="2"/>
      </rPr>
      <t>(&lt;15 cm)</t>
    </r>
  </si>
  <si>
    <t>Einband-
art</t>
  </si>
  <si>
    <r>
      <t xml:space="preserve">Einband über-
formt </t>
    </r>
    <r>
      <rPr>
        <sz val="9"/>
        <color theme="1"/>
        <rFont val="Verdana"/>
        <family val="2"/>
      </rPr>
      <t>(ganz od. teilweise)</t>
    </r>
  </si>
  <si>
    <t>Buch bereits restau-riert</t>
  </si>
  <si>
    <r>
      <t xml:space="preserve">hohler/
fester Rücken </t>
    </r>
    <r>
      <rPr>
        <sz val="10"/>
        <color theme="1"/>
        <rFont val="Verdana"/>
        <family val="2"/>
      </rPr>
      <t>(mit Einlage/
Vergoldung?)</t>
    </r>
  </si>
  <si>
    <r>
      <t xml:space="preserve">Steh-
kanten
</t>
    </r>
    <r>
      <rPr>
        <sz val="9"/>
        <color theme="1"/>
        <rFont val="Verdana"/>
        <family val="2"/>
      </rPr>
      <t>(bei Perg.)</t>
    </r>
  </si>
  <si>
    <r>
      <t xml:space="preserve">Leder pudert ab/roter Zerfall </t>
    </r>
    <r>
      <rPr>
        <sz val="9"/>
        <color theme="1"/>
        <rFont val="Verdana"/>
        <family val="2"/>
      </rPr>
      <t>(extrem)</t>
    </r>
  </si>
  <si>
    <t>Einband stark defor-miert</t>
  </si>
  <si>
    <t>Be-schläge bes. auftra-gend</t>
  </si>
  <si>
    <t>Buch-schließe steif</t>
  </si>
  <si>
    <t>Buch-block Pa./Perg.</t>
  </si>
  <si>
    <t>saures Füll-material</t>
  </si>
  <si>
    <t>Buch-block sehr wellig</t>
  </si>
  <si>
    <t>Buch-block neigt zum "Bauch"</t>
  </si>
  <si>
    <t>ge-schloss-ene Lagen</t>
  </si>
  <si>
    <r>
      <t xml:space="preserve">Größe Buch+
Falttafeln </t>
    </r>
    <r>
      <rPr>
        <sz val="9"/>
        <color theme="1"/>
        <rFont val="Verdana"/>
        <family val="2"/>
      </rPr>
      <t>(BxH)</t>
    </r>
  </si>
  <si>
    <t>Original-grafik</t>
  </si>
  <si>
    <t>Kolorier-ung / Buch-malerei / Initialen / Rubri-kation</t>
  </si>
  <si>
    <t>berühr-ungsfreie Digit.</t>
  </si>
  <si>
    <r>
      <t xml:space="preserve">Schrift weit bis in den Falz </t>
    </r>
    <r>
      <rPr>
        <sz val="9"/>
        <color theme="1"/>
        <rFont val="Verdana"/>
        <family val="2"/>
      </rPr>
      <t xml:space="preserve">(Bund-steg in mm) </t>
    </r>
    <r>
      <rPr>
        <b/>
        <sz val="10"/>
        <color theme="1"/>
        <rFont val="Verdana"/>
        <family val="2"/>
      </rPr>
      <t>Text-verlust</t>
    </r>
  </si>
  <si>
    <r>
      <t xml:space="preserve">nicht digitali-sierbar wegen Bund-steg </t>
    </r>
    <r>
      <rPr>
        <sz val="9"/>
        <color theme="1"/>
        <rFont val="Verdana"/>
        <family val="2"/>
      </rPr>
      <t>(vorraus-sichtlich)</t>
    </r>
  </si>
  <si>
    <t>max. Öffnungs-winkel</t>
  </si>
  <si>
    <t>Digit. mit Begleit-ung</t>
  </si>
  <si>
    <r>
      <t xml:space="preserve">Ver-schmutz-ung </t>
    </r>
    <r>
      <rPr>
        <sz val="10"/>
        <color theme="1"/>
        <rFont val="Verdana"/>
        <family val="2"/>
      </rPr>
      <t>(Vorsatz / Ränder /
ges. BB)</t>
    </r>
  </si>
  <si>
    <t>mikro-bieller Befall</t>
  </si>
  <si>
    <t>Rest.-Bericht einge-klebt</t>
  </si>
  <si>
    <r>
      <t xml:space="preserve">Rest.
not-wendig </t>
    </r>
    <r>
      <rPr>
        <sz val="10"/>
        <color theme="1"/>
        <rFont val="Verdana"/>
        <family val="2"/>
      </rPr>
      <t>(ja/nein) (vor/nach der Digit.)</t>
    </r>
  </si>
  <si>
    <r>
      <t xml:space="preserve">Rest.-
Aufwand gesamt
</t>
    </r>
    <r>
      <rPr>
        <sz val="9"/>
        <color theme="1"/>
        <rFont val="Verdana"/>
        <family val="2"/>
      </rPr>
      <t>(in Std.)</t>
    </r>
  </si>
  <si>
    <t>Rest.
erfolgt</t>
  </si>
  <si>
    <t>Buch-schuh</t>
  </si>
  <si>
    <t>Um-schlag</t>
  </si>
  <si>
    <t>Anmerkungen (allg.)</t>
  </si>
  <si>
    <t>Einband-art</t>
  </si>
  <si>
    <r>
      <t xml:space="preserve">hohler
/fester Rücken </t>
    </r>
    <r>
      <rPr>
        <sz val="10"/>
        <color theme="1"/>
        <rFont val="Verdana"/>
        <family val="2"/>
      </rPr>
      <t>(mit Einlage/
Vergoldung?)</t>
    </r>
  </si>
  <si>
    <t>feuchte-empfind-liches Leder</t>
  </si>
  <si>
    <r>
      <t>Material am Rücken/
Einband lose / eingeris-sen</t>
    </r>
    <r>
      <rPr>
        <sz val="10"/>
        <color theme="1"/>
        <rFont val="Verdana"/>
        <family val="2"/>
      </rPr>
      <t xml:space="preserve"> (auch Titelschild)</t>
    </r>
  </si>
  <si>
    <t>Gelenk(e) 
an/durch-gebro-chen</t>
  </si>
  <si>
    <r>
      <t xml:space="preserve">Bünde gebro-chen </t>
    </r>
    <r>
      <rPr>
        <sz val="9"/>
        <color theme="1"/>
        <rFont val="Verdana"/>
        <family val="2"/>
      </rPr>
      <t>(Anzahl)</t>
    </r>
  </si>
  <si>
    <t>Rücken lose/
halb lose</t>
  </si>
  <si>
    <t>Be-schläge locker</t>
  </si>
  <si>
    <t>Buch
schließe fragil</t>
  </si>
  <si>
    <t>Deckel spaltet sich / Fehlstelle im Deckel</t>
  </si>
  <si>
    <t>Deckel gebro-chen</t>
  </si>
  <si>
    <t>Deckel lose / halb lose</t>
  </si>
  <si>
    <t>Kapital fragil/
lose</t>
  </si>
  <si>
    <r>
      <t xml:space="preserve">Rest. 
not-wendig </t>
    </r>
    <r>
      <rPr>
        <sz val="10"/>
        <color theme="1"/>
        <rFont val="Verdana"/>
        <family val="2"/>
      </rPr>
      <t>(ja/nein) (vor/nach der Digit.)</t>
    </r>
  </si>
  <si>
    <r>
      <t xml:space="preserve">Rest.-Aufwand </t>
    </r>
    <r>
      <rPr>
        <sz val="9"/>
        <color theme="1"/>
        <rFont val="Verdana"/>
        <family val="2"/>
      </rPr>
      <t>(in Std.)</t>
    </r>
  </si>
  <si>
    <t>Anmerkungen für die Restaurierung</t>
  </si>
  <si>
    <t>Farb-schicht pudert</t>
  </si>
  <si>
    <r>
      <t xml:space="preserve">Ver-schmutz-ung </t>
    </r>
    <r>
      <rPr>
        <sz val="10"/>
        <color theme="1"/>
        <rFont val="Verdana"/>
        <family val="2"/>
      </rPr>
      <t>(Vorsatz / Ränder/
ges. BB)</t>
    </r>
  </si>
  <si>
    <t>Buch-block / Seiten verblockt</t>
  </si>
  <si>
    <t>erste / letzte Lage oder Seiten lose</t>
  </si>
  <si>
    <t>(halb-) lose Seiten im BB</t>
  </si>
  <si>
    <t>Risse / Fehl-stellen im Vorsatz</t>
  </si>
  <si>
    <r>
      <t xml:space="preserve">Risse im Text-bereich / an exponier-ter Stelle </t>
    </r>
    <r>
      <rPr>
        <sz val="10"/>
        <color theme="1"/>
        <rFont val="Verdana"/>
        <family val="2"/>
      </rPr>
      <t>(z.B. Ecke)</t>
    </r>
  </si>
  <si>
    <r>
      <t xml:space="preserve">Fehl-stellen im BB
</t>
    </r>
    <r>
      <rPr>
        <sz val="10"/>
        <color theme="1"/>
        <rFont val="Verdana"/>
        <family val="2"/>
      </rPr>
      <t>(groß)</t>
    </r>
    <r>
      <rPr>
        <b/>
        <sz val="10"/>
        <color theme="1"/>
        <rFont val="Verdana"/>
        <family val="2"/>
      </rPr>
      <t xml:space="preserve"> </t>
    </r>
  </si>
  <si>
    <r>
      <t xml:space="preserve">Insekten-fraß </t>
    </r>
    <r>
      <rPr>
        <sz val="10"/>
        <color theme="1"/>
        <rFont val="Verdana"/>
        <family val="2"/>
      </rPr>
      <t>(stark)</t>
    </r>
  </si>
  <si>
    <t>saures /
brüchiges Papier</t>
  </si>
  <si>
    <r>
      <t xml:space="preserve">Tinten-/ Farbfraß </t>
    </r>
    <r>
      <rPr>
        <sz val="10"/>
        <color theme="1"/>
        <rFont val="Verdana"/>
        <family val="2"/>
      </rPr>
      <t>(akut)</t>
    </r>
  </si>
  <si>
    <t>Klebe-
streifen ablösen</t>
  </si>
  <si>
    <t>Gewebe</t>
  </si>
  <si>
    <t>Wellpappe</t>
  </si>
  <si>
    <t>Pg (Mak.)</t>
  </si>
  <si>
    <t>Pergamentband (Makulatur)</t>
  </si>
  <si>
    <t>Öffnungswinkel (ÖW)</t>
  </si>
  <si>
    <t>nur 110</t>
  </si>
  <si>
    <t xml:space="preserve">wirklich nur bei 110 digitalisieren, z.B. wegen Schaden, weil kein Einband vorhanden ist o.ä. </t>
  </si>
  <si>
    <t>max 45/60/110/180</t>
  </si>
  <si>
    <t>Vorteilhafter wäre aus konservatorischer Sicht ein geringerer ÖW, was aber wegen z.B. Faltkarten ws. nicht möglich ist.
Bei der Winkelangabe ist i.d.R. ein Spielraum von ca. 5° möglich, aber bei einigen Büchern eben tatsächlich nicht.</t>
  </si>
  <si>
    <t>für Testphase
vorsehen</t>
  </si>
  <si>
    <t xml:space="preserve">Blatt mit Notizen zum Buch eingeklebt </t>
  </si>
  <si>
    <t>Signaturen Gesamtanzahl</t>
  </si>
  <si>
    <t>Buchbinderische Einheiten</t>
  </si>
  <si>
    <t>Anzahl geprüfte Bücher durch Thomschke</t>
  </si>
  <si>
    <t>nicht
am Standort (DA)</t>
  </si>
  <si>
    <t>Anzahl Überformat</t>
  </si>
  <si>
    <t>Anzahl Querformat</t>
  </si>
  <si>
    <t>Dicke
(&gt;12 cm)</t>
  </si>
  <si>
    <t>12° Format
(&lt;15 cm)</t>
  </si>
  <si>
    <t>Besonderheiten (z.B. Perlen)</t>
  </si>
  <si>
    <t>Einband überformt (ganz od. teilweise)</t>
  </si>
  <si>
    <t>Buch bereits restauriert</t>
  </si>
  <si>
    <t>fester Rücken (mit und ohne Vergoldung)</t>
  </si>
  <si>
    <t>hohler Rücken (mit und ohne Einlage)</t>
  </si>
  <si>
    <t>Stehkanten
(bei Perg.)</t>
  </si>
  <si>
    <t>Leder pudert ab/
roter Zerfall (extrem)</t>
  </si>
  <si>
    <t>Einband stark deformiert</t>
  </si>
  <si>
    <t>Beschläge bes. auftragend</t>
  </si>
  <si>
    <t>Buchschließe steif</t>
  </si>
  <si>
    <t>Buchblock</t>
  </si>
  <si>
    <t>Papier</t>
  </si>
  <si>
    <t>Pergament</t>
  </si>
  <si>
    <t>Registermarken</t>
  </si>
  <si>
    <t>Buchblock sehr wellig</t>
  </si>
  <si>
    <t>Buchblock neigt zum "Bauch"</t>
  </si>
  <si>
    <t>geschlossene Lagen</t>
  </si>
  <si>
    <t>Anzahl Bücher mit Falttafeln</t>
  </si>
  <si>
    <t>Größe Buch+
Falttafeln (BxH)</t>
  </si>
  <si>
    <t>Originalgrafik</t>
  </si>
  <si>
    <t>Kolorierung / Buchmalerei / Initialen / Rubrikation</t>
  </si>
  <si>
    <t>berührungsfreie Digit.</t>
  </si>
  <si>
    <t>Schrift weit bis in den Falz (Bundsteg in mm) Textverlust</t>
  </si>
  <si>
    <t>nicht digitalisierbar wegen Bundsteg (vorraussichtlich)</t>
  </si>
  <si>
    <t>max. Öffnungswinkel</t>
  </si>
  <si>
    <t>max 80</t>
  </si>
  <si>
    <t>Digit. mit Begleitung</t>
  </si>
  <si>
    <t>Verschmutzung (Vorsatz / Ränder /
ges. BB)</t>
  </si>
  <si>
    <t>mikrobieller Befall</t>
  </si>
  <si>
    <t>Rest.-Bericht eingeklebt</t>
  </si>
  <si>
    <t>Rest.
notwendig</t>
  </si>
  <si>
    <t>gesamt</t>
  </si>
  <si>
    <t>vor Digit.</t>
  </si>
  <si>
    <t>nach Digit.</t>
  </si>
  <si>
    <t>vor und nach Digit.</t>
  </si>
  <si>
    <t>ggf. nach Digit.</t>
  </si>
  <si>
    <t>Rest.-Aufwand gesamt
(in Std.)</t>
  </si>
  <si>
    <t>Anzahl erfolgter Restaurierung</t>
  </si>
  <si>
    <t>Umschlag</t>
  </si>
  <si>
    <t>Öffnungswinkel 45</t>
  </si>
  <si>
    <t>Öffnungswinkel 110</t>
  </si>
  <si>
    <t>Schutzbehältnis empfohlen</t>
  </si>
  <si>
    <t>auf dem Hauptblatt alle Zeilen oberhalb der Tabelle (=Angaben zur Aufstellung) auf das Blatt "Infos zu dieser Mappe" übernommen und auf dem Hauptblatt gelöscht --&gt; ist einfacher in Bezug auf 
die relativen Zellbezüge, wenn z.B. Zeilen eingefügt werden</t>
  </si>
  <si>
    <t>Tabellenblatt "Datentransfer" angelegt, damit eine Gesamtauswertung aller Erfassungstabellen erfolgen kann in der Arbeitsmappe "Auswertung_Erfassungstabellen_ab2022" (über dieses "Hilfsmittel" bleiben die relativen Zellbezüge in der Auswertungstabelle erhalten, wenn in den Erfassungstabellen noch Änderungen vorgenommen werden, wie Einfügen oder Löschen von Zeilen / Spalten)</t>
  </si>
  <si>
    <t>Datentransferblatt für II Inkunabeln+</t>
  </si>
  <si>
    <t>saures
Füllmaterial</t>
  </si>
  <si>
    <t>W</t>
  </si>
  <si>
    <t>x 110</t>
  </si>
  <si>
    <t>VD/RD</t>
  </si>
  <si>
    <t xml:space="preserve">Kanten stabilisieren und ggf. mit JP einfassen (Form beigehalten), Gelenk schließen, </t>
  </si>
  <si>
    <t>Schaden ist stabil genug</t>
  </si>
  <si>
    <t>Rücken zusammensetzen, Hülse anbringen und Rest belassen</t>
  </si>
  <si>
    <t>Gelenk vorn festigen u. mit JP überfangen</t>
  </si>
  <si>
    <t>Umschlag (Leder pudert)</t>
  </si>
  <si>
    <t>nach Rest. festlegen</t>
  </si>
  <si>
    <t>x ? (noch festlegen)</t>
  </si>
  <si>
    <t>Rückeneinlage furchtbar dick und steif --&gt; Rest.maßnahme sehr gut überlegen</t>
  </si>
  <si>
    <t>evtl. ist Hülse eine Lösung, die den Rücken wenigstens am Buch hält --&gt; über max.ÖW nach Anbringen der Hülse entscheiden</t>
  </si>
  <si>
    <t>II 82,19b</t>
  </si>
  <si>
    <t>II 63,1a (daran angebunden ist II 85,1b)</t>
  </si>
  <si>
    <t>Schaden ist stabil genug für Digit.</t>
  </si>
  <si>
    <t>x 60</t>
  </si>
  <si>
    <t>Erfurter Einband, leider völlig überarbeitet/überformt</t>
  </si>
  <si>
    <t>lose schließe anbringen</t>
  </si>
  <si>
    <t>K/I/R</t>
  </si>
  <si>
    <t>sehr steife Rückeneinlage, reicht Hülse und Fragmente sichern? Oder Gelenke mit Gewebe unterlegen? Genauer Bedenken!</t>
  </si>
  <si>
    <t>x max 110</t>
  </si>
  <si>
    <t>nur loses Leder fixieren und Ecken stabilisieren, Gelenk belassen (ist stabil)</t>
  </si>
  <si>
    <t>Hülse sollte aus jetziger Sicht reichen</t>
  </si>
  <si>
    <t>Erfurter Einband, leider überarbeitet</t>
  </si>
  <si>
    <t>beiliegende Makulatur/Einbandreste besser versorgen, Gefahr des Verlorengehens</t>
  </si>
  <si>
    <t>x 45</t>
  </si>
  <si>
    <t>Einbandfragment in Wellpappbox daneben</t>
  </si>
  <si>
    <t>Rücken durch JP-Gewebe-Laminat unterstützen (Leder trägt ws. zu sehr auf), Schließe richten</t>
  </si>
  <si>
    <t>x historisch?</t>
  </si>
  <si>
    <t>Schuber defekt</t>
  </si>
  <si>
    <t>II 83,2a - 1</t>
  </si>
  <si>
    <t>II 83,2a - 2</t>
  </si>
  <si>
    <t>bröseliges Leder Gelenk vorn oben sichern, Rest belassen</t>
  </si>
  <si>
    <t>Fragmente des Klemmeinbandes werden extra in Wellpappbox daneben aufbewahrt</t>
  </si>
  <si>
    <t>Schaden in den Gelenken ist stabil genug</t>
  </si>
  <si>
    <t>Gelenke außen stabilisieren, Gelenke innen (Gewebe) belassen (Bünde sind tiptop)</t>
  </si>
  <si>
    <t>Box</t>
  </si>
  <si>
    <t>Box (wg. Schließe)</t>
  </si>
  <si>
    <t>Trockenreinigung Vorsätze und erste und letzte Blätter am Rand</t>
  </si>
  <si>
    <t>Schuber viel zu eng --&gt; auf keinen Fall wieder einschubern!!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</si>
</sst>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20" x14ac:knownFonts="1">
    <font>
      <sz val="9"/>
      <color theme="1"/>
      <name val="Verdana"/>
      <family val="2"/>
    </font>
    <font>
      <b/>
      <sz val="11"/>
      <color theme="1"/>
      <name val="Verdana"/>
      <family val="2"/>
    </font>
    <font>
      <b/>
      <sz val="9"/>
      <color theme="1"/>
      <name val="Verdana"/>
      <family val="2"/>
    </font>
    <font>
      <b/>
      <sz val="10"/>
      <color theme="1"/>
      <name val="Verdana"/>
      <family val="2"/>
    </font>
    <font>
      <sz val="10"/>
      <color theme="1"/>
      <name val="Verdana"/>
      <family val="2"/>
    </font>
    <font>
      <sz val="9"/>
      <color theme="1"/>
      <name val="Verdana"/>
      <family val="2"/>
    </font>
    <font>
      <sz val="9"/>
      <name val="Verdana"/>
      <family val="2"/>
    </font>
    <font>
      <b/>
      <sz val="9"/>
      <name val="Verdana"/>
      <family val="2"/>
    </font>
    <font>
      <u/>
      <sz val="9"/>
      <color theme="10"/>
      <name val="Verdana"/>
      <family val="2"/>
    </font>
    <font>
      <b/>
      <sz val="9"/>
      <color indexed="81"/>
      <name val="Segoe UI"/>
      <family val="2"/>
    </font>
    <font>
      <sz val="9"/>
      <color indexed="81"/>
      <name val="Segoe UI"/>
      <family val="2"/>
    </font>
    <font>
      <b/>
      <i/>
      <sz val="9"/>
      <color theme="1"/>
      <name val="Verdana"/>
      <family val="2"/>
    </font>
    <font>
      <b/>
      <sz val="9"/>
      <color rgb="FFFF0000"/>
      <name val="Verdana"/>
      <family val="2"/>
    </font>
    <font>
      <i/>
      <sz val="9"/>
      <color theme="1"/>
      <name val="Verdana"/>
      <family val="2"/>
    </font>
    <font>
      <sz val="9"/>
      <color rgb="FFFF0000"/>
      <name val="Verdana"/>
      <family val="2"/>
    </font>
    <font>
      <u/>
      <sz val="9"/>
      <color indexed="81"/>
      <name val="Segoe UI"/>
      <family val="2"/>
    </font>
    <font>
      <sz val="9"/>
      <color indexed="81"/>
      <name val="Segoe UI"/>
      <charset val="1"/>
    </font>
    <font>
      <b/>
      <sz val="9"/>
      <color indexed="81"/>
      <name val="Segoe UI"/>
      <charset val="1"/>
    </font>
    <font>
      <sz val="9"/>
      <color indexed="81"/>
      <name val="Segoe UI"/>
    </font>
    <font>
      <b/>
      <sz val="9"/>
      <color indexed="81"/>
      <name val="Segoe UI"/>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s>
  <cellStyleXfs count="3">
    <xf numFmtId="0" fontId="0" fillId="0" borderId="0"/>
    <xf numFmtId="9" fontId="5" fillId="0" borderId="0" applyFont="0" applyFill="0" applyBorder="0" applyAlignment="0" applyProtection="0"/>
    <xf numFmtId="0" fontId="8" fillId="0" borderId="0" applyNumberFormat="0" applyFill="0" applyBorder="0" applyAlignment="0" applyProtection="0"/>
  </cellStyleXfs>
  <cellXfs count="143">
    <xf numFmtId="0" fontId="0" fillId="0" borderId="0" xfId="0"/>
    <xf numFmtId="0" fontId="1" fillId="0" borderId="0" xfId="0" applyFont="1"/>
    <xf numFmtId="0" fontId="2" fillId="0" borderId="0" xfId="0" applyFont="1"/>
    <xf numFmtId="0" fontId="0" fillId="0" borderId="2" xfId="0" applyBorder="1"/>
    <xf numFmtId="0" fontId="0" fillId="0" borderId="3" xfId="0" applyBorder="1"/>
    <xf numFmtId="0" fontId="0" fillId="0" borderId="1" xfId="0" applyBorder="1"/>
    <xf numFmtId="0" fontId="0" fillId="0" borderId="0" xfId="0" applyFont="1"/>
    <xf numFmtId="0" fontId="0" fillId="0" borderId="1" xfId="0" applyFill="1" applyBorder="1"/>
    <xf numFmtId="0" fontId="0" fillId="0" borderId="0" xfId="0" applyBorder="1"/>
    <xf numFmtId="0" fontId="4" fillId="0" borderId="11" xfId="0" applyFont="1" applyBorder="1"/>
    <xf numFmtId="0" fontId="4" fillId="0" borderId="6" xfId="0" applyFont="1" applyBorder="1"/>
    <xf numFmtId="0" fontId="4" fillId="0" borderId="6" xfId="0" applyFont="1" applyFill="1" applyBorder="1"/>
    <xf numFmtId="0" fontId="4" fillId="0" borderId="7" xfId="0" applyFont="1" applyFill="1" applyBorder="1"/>
    <xf numFmtId="3" fontId="0" fillId="0" borderId="1" xfId="0" applyNumberFormat="1" applyBorder="1"/>
    <xf numFmtId="0" fontId="0" fillId="0" borderId="1" xfId="0" applyBorder="1" applyAlignment="1">
      <alignment horizontal="right"/>
    </xf>
    <xf numFmtId="3" fontId="0" fillId="0" borderId="1" xfId="0" applyNumberFormat="1" applyBorder="1" applyAlignment="1">
      <alignment horizontal="right"/>
    </xf>
    <xf numFmtId="0" fontId="0" fillId="0" borderId="0" xfId="0" applyAlignment="1">
      <alignment horizontal="right"/>
    </xf>
    <xf numFmtId="9" fontId="0" fillId="0" borderId="7" xfId="1" applyFont="1" applyBorder="1" applyAlignment="1">
      <alignment horizontal="right"/>
    </xf>
    <xf numFmtId="0" fontId="0" fillId="0" borderId="0" xfId="0" applyBorder="1" applyAlignment="1">
      <alignment horizontal="right"/>
    </xf>
    <xf numFmtId="9" fontId="0" fillId="0" borderId="3" xfId="1" applyFont="1" applyBorder="1" applyAlignment="1">
      <alignment horizontal="right"/>
    </xf>
    <xf numFmtId="3" fontId="0" fillId="0" borderId="0" xfId="0" applyNumberFormat="1" applyBorder="1" applyAlignment="1">
      <alignment horizontal="right"/>
    </xf>
    <xf numFmtId="3" fontId="0" fillId="0" borderId="0" xfId="0" applyNumberFormat="1"/>
    <xf numFmtId="0" fontId="0" fillId="0" borderId="0" xfId="0" applyAlignment="1">
      <alignment horizontal="left"/>
    </xf>
    <xf numFmtId="164" fontId="0" fillId="0" borderId="6" xfId="1" applyNumberFormat="1" applyFont="1" applyBorder="1" applyAlignment="1">
      <alignment horizontal="right"/>
    </xf>
    <xf numFmtId="164" fontId="0" fillId="0" borderId="7" xfId="1" applyNumberFormat="1" applyFont="1" applyBorder="1" applyAlignment="1">
      <alignment horizontal="right"/>
    </xf>
    <xf numFmtId="164" fontId="0" fillId="0" borderId="0" xfId="0" applyNumberFormat="1" applyAlignment="1">
      <alignment horizontal="right"/>
    </xf>
    <xf numFmtId="164" fontId="0" fillId="0" borderId="11" xfId="1" applyNumberFormat="1" applyFont="1" applyBorder="1" applyAlignment="1">
      <alignment horizontal="right"/>
    </xf>
    <xf numFmtId="164" fontId="0" fillId="0" borderId="8" xfId="1" applyNumberFormat="1" applyFont="1" applyBorder="1" applyAlignment="1">
      <alignment horizontal="right"/>
    </xf>
    <xf numFmtId="164" fontId="0" fillId="0" borderId="2" xfId="1" applyNumberFormat="1" applyFont="1" applyBorder="1" applyAlignment="1">
      <alignment horizontal="right"/>
    </xf>
    <xf numFmtId="164" fontId="0" fillId="0" borderId="3" xfId="1" applyNumberFormat="1" applyFont="1" applyBorder="1" applyAlignment="1">
      <alignment horizontal="right"/>
    </xf>
    <xf numFmtId="3" fontId="0" fillId="0" borderId="11" xfId="0" applyNumberFormat="1" applyBorder="1"/>
    <xf numFmtId="3" fontId="0" fillId="0" borderId="6" xfId="0" applyNumberFormat="1" applyBorder="1"/>
    <xf numFmtId="3" fontId="0" fillId="0" borderId="7" xfId="0" applyNumberFormat="1" applyBorder="1"/>
    <xf numFmtId="164" fontId="6" fillId="0" borderId="0" xfId="1" applyNumberFormat="1" applyFont="1" applyBorder="1" applyAlignment="1">
      <alignment horizontal="right"/>
    </xf>
    <xf numFmtId="164" fontId="6" fillId="0" borderId="9" xfId="1" applyNumberFormat="1" applyFont="1" applyBorder="1" applyAlignment="1">
      <alignment horizontal="right"/>
    </xf>
    <xf numFmtId="164" fontId="6" fillId="0" borderId="0" xfId="0" applyNumberFormat="1" applyFont="1" applyAlignment="1">
      <alignment horizontal="right"/>
    </xf>
    <xf numFmtId="0" fontId="2" fillId="0" borderId="1" xfId="0" applyFont="1" applyBorder="1"/>
    <xf numFmtId="0" fontId="2" fillId="0" borderId="1" xfId="0" applyFont="1" applyBorder="1" applyAlignment="1">
      <alignment horizontal="right"/>
    </xf>
    <xf numFmtId="3" fontId="2" fillId="0" borderId="1" xfId="0" applyNumberFormat="1" applyFont="1" applyFill="1" applyBorder="1" applyAlignment="1">
      <alignment horizontal="right"/>
    </xf>
    <xf numFmtId="0" fontId="2" fillId="0" borderId="4" xfId="0" applyFont="1" applyBorder="1"/>
    <xf numFmtId="0" fontId="2" fillId="0" borderId="10" xfId="0" applyFont="1" applyBorder="1" applyAlignment="1">
      <alignment horizontal="right"/>
    </xf>
    <xf numFmtId="3" fontId="2" fillId="0" borderId="11" xfId="0" applyNumberFormat="1" applyFont="1" applyFill="1" applyBorder="1" applyAlignment="1">
      <alignment horizontal="right"/>
    </xf>
    <xf numFmtId="164" fontId="2" fillId="0" borderId="1" xfId="0" applyNumberFormat="1" applyFont="1" applyBorder="1" applyAlignment="1">
      <alignment horizontal="right"/>
    </xf>
    <xf numFmtId="164" fontId="7" fillId="0" borderId="10" xfId="0" applyNumberFormat="1" applyFont="1" applyBorder="1" applyAlignment="1">
      <alignment horizontal="right"/>
    </xf>
    <xf numFmtId="164" fontId="2" fillId="0" borderId="10" xfId="0" applyNumberFormat="1" applyFont="1" applyBorder="1" applyAlignment="1">
      <alignment horizontal="right"/>
    </xf>
    <xf numFmtId="0" fontId="2" fillId="0" borderId="8" xfId="0" applyFont="1" applyBorder="1"/>
    <xf numFmtId="0" fontId="2" fillId="2" borderId="1" xfId="0" applyFont="1" applyFill="1" applyBorder="1"/>
    <xf numFmtId="0" fontId="4" fillId="0" borderId="0" xfId="0" applyFont="1" applyBorder="1" applyAlignment="1">
      <alignment vertical="center" wrapText="1"/>
    </xf>
    <xf numFmtId="0" fontId="4" fillId="0" borderId="2" xfId="0" applyFont="1" applyBorder="1" applyAlignment="1">
      <alignment vertical="center" wrapText="1"/>
    </xf>
    <xf numFmtId="0" fontId="0" fillId="0" borderId="1" xfId="0" applyFont="1" applyBorder="1"/>
    <xf numFmtId="0" fontId="0" fillId="0" borderId="1" xfId="0" applyFont="1" applyFill="1" applyBorder="1"/>
    <xf numFmtId="0" fontId="0" fillId="0" borderId="0" xfId="0" applyFont="1" applyFill="1" applyBorder="1"/>
    <xf numFmtId="0" fontId="0" fillId="0" borderId="1" xfId="0" applyFont="1" applyBorder="1" applyAlignment="1">
      <alignment horizontal="left"/>
    </xf>
    <xf numFmtId="0" fontId="0" fillId="0" borderId="4" xfId="0" applyFont="1" applyBorder="1" applyAlignment="1">
      <alignment vertical="center" wrapText="1"/>
    </xf>
    <xf numFmtId="0" fontId="0" fillId="0" borderId="1" xfId="0" applyFont="1" applyBorder="1" applyAlignment="1">
      <alignment horizontal="left" vertical="center"/>
    </xf>
    <xf numFmtId="0" fontId="2" fillId="2" borderId="4" xfId="0" applyFont="1" applyFill="1" applyBorder="1"/>
    <xf numFmtId="0" fontId="2" fillId="2" borderId="5" xfId="0" applyFont="1" applyFill="1" applyBorder="1" applyAlignment="1">
      <alignment vertical="center" wrapText="1"/>
    </xf>
    <xf numFmtId="0" fontId="0" fillId="0" borderId="1" xfId="0" applyFont="1" applyFill="1" applyBorder="1" applyAlignment="1">
      <alignment vertical="center" wrapText="1"/>
    </xf>
    <xf numFmtId="0" fontId="0" fillId="0" borderId="1" xfId="0" applyBorder="1" applyAlignment="1">
      <alignment wrapText="1"/>
    </xf>
    <xf numFmtId="0" fontId="0" fillId="0" borderId="11" xfId="0" applyFont="1" applyFill="1" applyBorder="1"/>
    <xf numFmtId="0" fontId="7" fillId="2" borderId="1" xfId="0" applyFont="1" applyFill="1" applyBorder="1"/>
    <xf numFmtId="0" fontId="0" fillId="0" borderId="5" xfId="0" applyBorder="1"/>
    <xf numFmtId="0" fontId="0" fillId="3" borderId="1" xfId="0" applyFont="1" applyFill="1" applyBorder="1"/>
    <xf numFmtId="0" fontId="0" fillId="0" borderId="0" xfId="0" applyAlignment="1">
      <alignment horizontal="left" vertical="top"/>
    </xf>
    <xf numFmtId="0" fontId="0" fillId="0" borderId="1" xfId="0" applyFont="1" applyFill="1" applyBorder="1" applyAlignment="1">
      <alignment horizontal="left" vertical="top"/>
    </xf>
    <xf numFmtId="0" fontId="0" fillId="0" borderId="0" xfId="0" applyFont="1" applyAlignment="1">
      <alignment horizontal="left" vertical="top"/>
    </xf>
    <xf numFmtId="0" fontId="0" fillId="0" borderId="0" xfId="0" applyFill="1" applyBorder="1"/>
    <xf numFmtId="0" fontId="0" fillId="0" borderId="6" xfId="0" applyFill="1" applyBorder="1"/>
    <xf numFmtId="14" fontId="0" fillId="0" borderId="0" xfId="0" applyNumberFormat="1" applyAlignment="1">
      <alignment horizontal="left"/>
    </xf>
    <xf numFmtId="0" fontId="3" fillId="0" borderId="0" xfId="0" applyFont="1"/>
    <xf numFmtId="0" fontId="11" fillId="0" borderId="0" xfId="0" applyFont="1"/>
    <xf numFmtId="0" fontId="12" fillId="0" borderId="0" xfId="0" applyFont="1"/>
    <xf numFmtId="0" fontId="13" fillId="0" borderId="0" xfId="0" applyFont="1" applyAlignment="1">
      <alignment horizontal="left" vertical="top" wrapText="1"/>
    </xf>
    <xf numFmtId="0" fontId="13" fillId="0" borderId="0" xfId="0" applyFont="1" applyAlignment="1">
      <alignment horizontal="left" vertical="top"/>
    </xf>
    <xf numFmtId="0" fontId="0" fillId="0" borderId="0" xfId="0" applyFont="1" applyBorder="1"/>
    <xf numFmtId="0" fontId="2" fillId="0" borderId="0" xfId="0" applyFont="1" applyAlignment="1">
      <alignment horizontal="left" vertical="top"/>
    </xf>
    <xf numFmtId="0" fontId="2" fillId="0" borderId="0" xfId="0" applyFont="1" applyAlignment="1">
      <alignment horizontal="left" vertical="top" wrapText="1"/>
    </xf>
    <xf numFmtId="0" fontId="3" fillId="2" borderId="4" xfId="0" applyFont="1" applyFill="1" applyBorder="1" applyAlignment="1">
      <alignment horizontal="center" vertical="top" wrapText="1"/>
    </xf>
    <xf numFmtId="0" fontId="3" fillId="2" borderId="1"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1" xfId="0" applyFont="1" applyFill="1" applyBorder="1" applyAlignment="1">
      <alignment horizontal="center" vertical="top"/>
    </xf>
    <xf numFmtId="0" fontId="0" fillId="0" borderId="0" xfId="0" applyAlignment="1">
      <alignment horizontal="left" vertical="top" wrapText="1"/>
    </xf>
    <xf numFmtId="0" fontId="0" fillId="0" borderId="1" xfId="0" applyFill="1" applyBorder="1" applyAlignment="1">
      <alignment horizontal="left" vertical="top"/>
    </xf>
    <xf numFmtId="49" fontId="0" fillId="0" borderId="1" xfId="0" applyNumberFormat="1" applyBorder="1" applyAlignment="1">
      <alignment horizontal="left" vertical="top"/>
    </xf>
    <xf numFmtId="0" fontId="8" fillId="0" borderId="1" xfId="2" applyNumberFormat="1" applyBorder="1" applyAlignment="1">
      <alignment horizontal="left" vertical="top"/>
    </xf>
    <xf numFmtId="0" fontId="0" fillId="0" borderId="1" xfId="0" applyFill="1" applyBorder="1" applyAlignment="1">
      <alignment horizontal="left" vertical="top" wrapText="1"/>
    </xf>
    <xf numFmtId="0" fontId="0" fillId="4" borderId="1" xfId="0" applyFill="1" applyBorder="1" applyAlignment="1">
      <alignment horizontal="left" vertical="top"/>
    </xf>
    <xf numFmtId="0" fontId="4" fillId="0" borderId="1" xfId="0" applyFont="1" applyFill="1" applyBorder="1" applyAlignment="1">
      <alignment horizontal="left" vertical="top"/>
    </xf>
    <xf numFmtId="49" fontId="0" fillId="0" borderId="1" xfId="0" applyNumberFormat="1" applyBorder="1" applyAlignment="1">
      <alignment horizontal="left" vertical="top" wrapText="1"/>
    </xf>
    <xf numFmtId="0" fontId="0" fillId="0" borderId="0" xfId="0" applyBorder="1" applyAlignment="1">
      <alignment horizontal="left" vertical="top" wrapText="1"/>
    </xf>
    <xf numFmtId="0" fontId="8" fillId="0" borderId="0" xfId="2" applyFill="1" applyBorder="1" applyAlignment="1">
      <alignment horizontal="left" vertical="top"/>
    </xf>
    <xf numFmtId="0" fontId="3" fillId="2" borderId="11" xfId="0" applyFont="1" applyFill="1" applyBorder="1" applyAlignment="1">
      <alignment horizontal="center" vertical="top" wrapText="1"/>
    </xf>
    <xf numFmtId="0" fontId="3" fillId="2" borderId="11" xfId="0" applyFont="1" applyFill="1" applyBorder="1" applyAlignment="1">
      <alignment horizontal="center" vertical="top"/>
    </xf>
    <xf numFmtId="0" fontId="0" fillId="0" borderId="0" xfId="0" applyAlignment="1">
      <alignment horizontal="center" vertical="top"/>
    </xf>
    <xf numFmtId="0" fontId="0" fillId="0" borderId="0" xfId="0" applyAlignment="1">
      <alignment horizontal="center" vertical="top" wrapText="1"/>
    </xf>
    <xf numFmtId="2" fontId="0" fillId="0" borderId="0" xfId="0" applyNumberFormat="1" applyAlignment="1">
      <alignment horizontal="center" vertical="top"/>
    </xf>
    <xf numFmtId="49" fontId="0" fillId="0" borderId="0" xfId="0" applyNumberFormat="1" applyBorder="1" applyAlignment="1">
      <alignment horizontal="center" vertical="top" wrapText="1"/>
    </xf>
    <xf numFmtId="0" fontId="0" fillId="0" borderId="0" xfId="0" applyFont="1" applyFill="1" applyBorder="1" applyAlignment="1">
      <alignment horizontal="center" vertical="top" wrapText="1"/>
    </xf>
    <xf numFmtId="0" fontId="0" fillId="0" borderId="0" xfId="0" applyBorder="1" applyAlignment="1">
      <alignment horizontal="center" vertical="top"/>
    </xf>
    <xf numFmtId="0" fontId="0" fillId="0" borderId="0" xfId="0" applyBorder="1" applyAlignment="1">
      <alignment horizontal="center" vertical="top" wrapText="1"/>
    </xf>
    <xf numFmtId="2" fontId="0" fillId="0" borderId="0" xfId="0" applyNumberFormat="1" applyBorder="1" applyAlignment="1">
      <alignment horizontal="center" vertical="top"/>
    </xf>
    <xf numFmtId="2" fontId="0" fillId="0" borderId="0" xfId="0" applyNumberFormat="1" applyBorder="1" applyAlignment="1">
      <alignment horizontal="right" vertical="top"/>
    </xf>
    <xf numFmtId="0" fontId="0" fillId="0" borderId="0" xfId="0" applyFont="1" applyFill="1" applyBorder="1" applyAlignment="1">
      <alignment horizontal="right" vertical="top" wrapText="1"/>
    </xf>
    <xf numFmtId="0" fontId="0" fillId="0" borderId="0" xfId="0" applyAlignment="1">
      <alignment horizontal="right" vertical="top"/>
    </xf>
    <xf numFmtId="0" fontId="0" fillId="0" borderId="5" xfId="0" applyFill="1" applyBorder="1" applyAlignment="1">
      <alignment horizontal="left" vertical="top" wrapText="1"/>
    </xf>
    <xf numFmtId="0" fontId="0" fillId="0" borderId="0" xfId="0" applyFill="1" applyBorder="1" applyAlignment="1">
      <alignment horizontal="left" vertical="top"/>
    </xf>
    <xf numFmtId="0" fontId="0" fillId="0" borderId="0" xfId="0" applyFont="1" applyFill="1" applyBorder="1" applyAlignment="1">
      <alignment horizontal="left" vertical="top"/>
    </xf>
    <xf numFmtId="0" fontId="0" fillId="0" borderId="0" xfId="0" applyFill="1" applyBorder="1" applyAlignment="1">
      <alignment horizontal="left" vertical="top" wrapText="1"/>
    </xf>
    <xf numFmtId="165" fontId="0" fillId="0" borderId="0" xfId="0" applyNumberFormat="1" applyAlignment="1">
      <alignment horizontal="right" vertical="top"/>
    </xf>
    <xf numFmtId="0" fontId="8" fillId="0" borderId="0" xfId="2" applyNumberFormat="1" applyBorder="1" applyAlignment="1">
      <alignment horizontal="left" vertical="top"/>
    </xf>
    <xf numFmtId="0" fontId="0" fillId="0" borderId="9" xfId="0" applyFont="1" applyFill="1" applyBorder="1" applyAlignment="1">
      <alignment horizontal="center" vertical="top" wrapText="1"/>
    </xf>
    <xf numFmtId="0" fontId="0" fillId="0" borderId="9" xfId="0" applyFill="1" applyBorder="1" applyAlignment="1">
      <alignment horizontal="left" vertical="top"/>
    </xf>
    <xf numFmtId="0" fontId="0" fillId="0" borderId="9" xfId="0" applyBorder="1" applyAlignment="1">
      <alignment horizontal="center" vertical="top"/>
    </xf>
    <xf numFmtId="2" fontId="0" fillId="0" borderId="9" xfId="0" applyNumberFormat="1" applyBorder="1" applyAlignment="1">
      <alignment horizontal="center" vertical="top"/>
    </xf>
    <xf numFmtId="0" fontId="0" fillId="0" borderId="9" xfId="0" applyBorder="1" applyAlignment="1">
      <alignment horizontal="center" vertical="top" wrapText="1"/>
    </xf>
    <xf numFmtId="2" fontId="0" fillId="0" borderId="9" xfId="0" applyNumberFormat="1" applyBorder="1" applyAlignment="1">
      <alignment horizontal="right" vertical="top"/>
    </xf>
    <xf numFmtId="0" fontId="2" fillId="0" borderId="0" xfId="0" applyFont="1" applyBorder="1" applyAlignment="1">
      <alignment horizontal="center" vertical="top"/>
    </xf>
    <xf numFmtId="0" fontId="2" fillId="0" borderId="12" xfId="0" applyFont="1" applyFill="1" applyBorder="1" applyAlignment="1">
      <alignment horizontal="left" vertical="top" wrapText="1"/>
    </xf>
    <xf numFmtId="0" fontId="2" fillId="0" borderId="7" xfId="0" applyFont="1" applyFill="1" applyBorder="1" applyAlignment="1">
      <alignment horizontal="left" vertical="top" wrapText="1"/>
    </xf>
    <xf numFmtId="0" fontId="2" fillId="0" borderId="7" xfId="0" applyFont="1" applyFill="1" applyBorder="1" applyAlignment="1">
      <alignment horizontal="left" vertical="top"/>
    </xf>
    <xf numFmtId="0" fontId="2" fillId="0" borderId="0" xfId="0" applyFont="1" applyBorder="1" applyAlignment="1">
      <alignment horizontal="center" vertical="top" wrapText="1"/>
    </xf>
    <xf numFmtId="2" fontId="2" fillId="0" borderId="0" xfId="0" applyNumberFormat="1" applyFont="1" applyBorder="1" applyAlignment="1">
      <alignment horizontal="right" vertical="top"/>
    </xf>
    <xf numFmtId="0" fontId="12" fillId="0" borderId="0" xfId="0" applyFont="1" applyFill="1" applyBorder="1" applyAlignment="1">
      <alignment horizontal="center" vertical="top" wrapText="1"/>
    </xf>
    <xf numFmtId="0" fontId="0" fillId="0" borderId="9" xfId="0" applyBorder="1" applyAlignment="1">
      <alignment horizontal="left" vertical="top" wrapText="1"/>
    </xf>
    <xf numFmtId="0" fontId="0" fillId="0" borderId="9" xfId="0" applyFont="1" applyFill="1" applyBorder="1" applyAlignment="1">
      <alignment horizontal="left" vertical="top"/>
    </xf>
    <xf numFmtId="0" fontId="7" fillId="0" borderId="0" xfId="0" applyFont="1" applyFill="1" applyBorder="1" applyAlignment="1">
      <alignment horizontal="center" vertical="top"/>
    </xf>
    <xf numFmtId="0" fontId="14" fillId="0" borderId="0" xfId="0" applyFont="1" applyFill="1" applyBorder="1" applyAlignment="1">
      <alignment horizontal="center" vertical="top" wrapText="1"/>
    </xf>
    <xf numFmtId="0" fontId="0" fillId="0" borderId="13" xfId="0" applyBorder="1" applyAlignment="1">
      <alignment horizontal="left" vertical="top" wrapText="1"/>
    </xf>
    <xf numFmtId="0" fontId="0" fillId="0" borderId="13" xfId="0" applyFont="1" applyBorder="1"/>
    <xf numFmtId="0" fontId="0" fillId="0" borderId="13" xfId="0" applyFont="1" applyFill="1" applyBorder="1"/>
    <xf numFmtId="0" fontId="0" fillId="0" borderId="13" xfId="0" applyBorder="1" applyAlignment="1">
      <alignment horizontal="left" vertical="top"/>
    </xf>
    <xf numFmtId="0" fontId="14" fillId="0" borderId="0" xfId="0" applyFont="1" applyAlignment="1">
      <alignment horizontal="left" vertical="top" wrapText="1"/>
    </xf>
    <xf numFmtId="0" fontId="0" fillId="0" borderId="0" xfId="0" applyFill="1" applyAlignment="1">
      <alignment horizontal="left" vertical="top" wrapText="1"/>
    </xf>
    <xf numFmtId="2" fontId="0" fillId="0" borderId="0" xfId="0" applyNumberFormat="1" applyAlignment="1">
      <alignment horizontal="left" vertical="top" wrapText="1"/>
    </xf>
    <xf numFmtId="0" fontId="0" fillId="0" borderId="0" xfId="0" applyAlignment="1">
      <alignment wrapText="1"/>
    </xf>
    <xf numFmtId="14" fontId="0" fillId="0" borderId="0" xfId="0" applyNumberFormat="1" applyAlignment="1">
      <alignment horizontal="left" vertical="top"/>
    </xf>
    <xf numFmtId="0" fontId="0" fillId="0" borderId="0" xfId="0" applyAlignment="1">
      <alignment vertical="top"/>
    </xf>
    <xf numFmtId="0" fontId="0" fillId="0" borderId="0" xfId="0" applyAlignment="1">
      <alignment vertical="top" wrapText="1"/>
    </xf>
    <xf numFmtId="0" fontId="0" fillId="0" borderId="14" xfId="0" applyBorder="1" applyAlignment="1">
      <alignment horizontal="center" vertical="top"/>
    </xf>
    <xf numFmtId="0" fontId="2" fillId="0" borderId="14" xfId="0" applyFont="1" applyBorder="1" applyAlignment="1">
      <alignment horizontal="center" vertical="top"/>
    </xf>
    <xf numFmtId="0" fontId="0" fillId="0" borderId="1" xfId="0" applyFont="1" applyFill="1" applyBorder="1" applyAlignment="1">
      <alignment horizontal="left" vertical="top" wrapText="1"/>
    </xf>
    <xf numFmtId="0" fontId="2" fillId="0" borderId="0" xfId="0" applyFont="1" applyAlignment="1">
      <alignment horizontal="left" vertical="top" wrapText="1"/>
    </xf>
    <xf numFmtId="0" fontId="2" fillId="0" borderId="13" xfId="0" applyFont="1" applyBorder="1" applyAlignment="1">
      <alignment horizontal="left" vertical="top" wrapText="1"/>
    </xf>
  </cellXfs>
  <cellStyles count="3">
    <cellStyle name="Link" xfId="2" builtinId="8"/>
    <cellStyle name="Prozent" xfId="1" builtinId="5"/>
    <cellStyle name="Standard" xfId="0" builtinId="0"/>
  </cellStyles>
  <dxfs count="3">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1873250</xdr:colOff>
      <xdr:row>0</xdr:row>
      <xdr:rowOff>317501</xdr:rowOff>
    </xdr:from>
    <xdr:to>
      <xdr:col>4</xdr:col>
      <xdr:colOff>1442000</xdr:colOff>
      <xdr:row>0</xdr:row>
      <xdr:rowOff>1217501</xdr:rowOff>
    </xdr:to>
    <xdr:sp macro="" textlink="">
      <xdr:nvSpPr>
        <xdr:cNvPr id="2" name="Textfeld 1"/>
        <xdr:cNvSpPr txBox="1"/>
      </xdr:nvSpPr>
      <xdr:spPr>
        <a:xfrm>
          <a:off x="4497917" y="317501"/>
          <a:ext cx="5760000" cy="90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0" i="0" u="none" strike="noStrike" kern="0" cap="none" spc="0" normalizeH="0" baseline="0" noProof="0">
              <a:ln>
                <a:noFill/>
              </a:ln>
              <a:solidFill>
                <a:sysClr val="windowText" lastClr="000000"/>
              </a:solidFill>
              <a:effectLst/>
              <a:uLnTx/>
              <a:uFillTx/>
              <a:latin typeface="+mn-lt"/>
              <a:ea typeface="+mn-ea"/>
              <a:cs typeface="+mn-cs"/>
            </a:rPr>
            <a:t>Wird eine Zeile eingfügt, dann diese Zeile </a:t>
          </a:r>
          <a:r>
            <a:rPr kumimoji="0" lang="de-DE" sz="1600" b="1" i="0" u="sng" strike="noStrike" kern="0" cap="none" spc="0" normalizeH="0" baseline="0" noProof="0">
              <a:ln>
                <a:noFill/>
              </a:ln>
              <a:solidFill>
                <a:sysClr val="windowText" lastClr="000000"/>
              </a:solidFill>
              <a:effectLst/>
              <a:uLnTx/>
              <a:uFillTx/>
              <a:latin typeface="+mn-lt"/>
              <a:ea typeface="+mn-ea"/>
              <a:cs typeface="+mn-cs"/>
            </a:rPr>
            <a:t>gleichzeitig unbedingt auf allen drei Tabellenblättern an exakt der gleichen Stelle</a:t>
          </a:r>
          <a:r>
            <a:rPr kumimoji="0" lang="de-DE" sz="1600" b="0" i="0" u="none" strike="noStrike" kern="0" cap="none" spc="0" normalizeH="0" baseline="0" noProof="0">
              <a:ln>
                <a:noFill/>
              </a:ln>
              <a:solidFill>
                <a:sysClr val="windowText" lastClr="000000"/>
              </a:solidFill>
              <a:effectLst/>
              <a:uLnTx/>
              <a:uFillTx/>
              <a:latin typeface="+mn-lt"/>
              <a:ea typeface="+mn-ea"/>
              <a:cs typeface="+mn-cs"/>
            </a:rPr>
            <a:t> einfügen, sonst funktionieren die relativen Zellbezüge nicht richtig!</a:t>
          </a:r>
        </a:p>
        <a:p>
          <a:endParaRPr lang="de-DE"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200025</xdr:colOff>
      <xdr:row>1</xdr:row>
      <xdr:rowOff>9525</xdr:rowOff>
    </xdr:from>
    <xdr:to>
      <xdr:col>10</xdr:col>
      <xdr:colOff>210825</xdr:colOff>
      <xdr:row>4</xdr:row>
      <xdr:rowOff>269400</xdr:rowOff>
    </xdr:to>
    <xdr:sp macro="" textlink="">
      <xdr:nvSpPr>
        <xdr:cNvPr id="2" name="Textfeld 1"/>
        <xdr:cNvSpPr txBox="1"/>
      </xdr:nvSpPr>
      <xdr:spPr>
        <a:xfrm>
          <a:off x="4962525" y="438150"/>
          <a:ext cx="5040000" cy="12600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de-DE" sz="1600" b="1" i="0" u="none" strike="noStrike" kern="0" cap="none" spc="0" normalizeH="0" baseline="0" noProof="0">
              <a:ln>
                <a:noFill/>
              </a:ln>
              <a:solidFill>
                <a:prstClr val="black"/>
              </a:solidFill>
              <a:effectLst/>
              <a:uLnTx/>
              <a:uFillTx/>
              <a:latin typeface="+mn-lt"/>
              <a:ea typeface="+mn-ea"/>
              <a:cs typeface="+mn-cs"/>
            </a:rPr>
            <a:t>Wichtig:</a:t>
          </a:r>
          <a:r>
            <a:rPr kumimoji="0" lang="de-DE" sz="1600" b="0" i="0" u="none" strike="noStrike" kern="0" cap="none" spc="0" normalizeH="0" baseline="0" noProof="0">
              <a:ln>
                <a:noFill/>
              </a:ln>
              <a:solidFill>
                <a:prstClr val="black"/>
              </a:solidFill>
              <a:effectLst/>
              <a:uLnTx/>
              <a:uFillTx/>
              <a:latin typeface="+mn-lt"/>
              <a:ea typeface="+mn-ea"/>
              <a:cs typeface="+mn-cs"/>
            </a:rPr>
            <a:t> </a:t>
          </a:r>
          <a:r>
            <a:rPr kumimoji="0" lang="de-DE" sz="1600" b="0" i="0" u="sng" strike="noStrike" kern="0" cap="none" spc="0" normalizeH="0" baseline="0" noProof="0">
              <a:ln>
                <a:noFill/>
              </a:ln>
              <a:solidFill>
                <a:prstClr val="black"/>
              </a:solidFill>
              <a:effectLst/>
              <a:uLnTx/>
              <a:uFillTx/>
              <a:latin typeface="+mn-lt"/>
              <a:ea typeface="+mn-ea"/>
              <a:cs typeface="+mn-cs"/>
            </a:rPr>
            <a:t>Bei Veränderungen </a:t>
          </a:r>
          <a:r>
            <a:rPr kumimoji="0" lang="de-DE" sz="1600" b="0" i="0" u="none" strike="noStrike" kern="0" cap="none" spc="0" normalizeH="0" baseline="0" noProof="0">
              <a:ln>
                <a:noFill/>
              </a:ln>
              <a:solidFill>
                <a:prstClr val="black"/>
              </a:solidFill>
              <a:effectLst/>
              <a:uLnTx/>
              <a:uFillTx/>
              <a:latin typeface="+mn-lt"/>
              <a:ea typeface="+mn-ea"/>
              <a:cs typeface="+mn-cs"/>
            </a:rPr>
            <a:t>des Datentransferblattes (Spalten / Zeilen einfügen etc.) unbedingt die </a:t>
          </a:r>
          <a:r>
            <a:rPr kumimoji="0" lang="de-DE" sz="1600" b="0" i="0" u="sng" strike="noStrike" kern="0" cap="none" spc="0" normalizeH="0" baseline="0" noProof="0">
              <a:ln>
                <a:noFill/>
              </a:ln>
              <a:solidFill>
                <a:prstClr val="black"/>
              </a:solidFill>
              <a:effectLst/>
              <a:uLnTx/>
              <a:uFillTx/>
              <a:latin typeface="+mn-lt"/>
              <a:ea typeface="+mn-ea"/>
              <a:cs typeface="+mn-cs"/>
            </a:rPr>
            <a:t>Exceltabelle</a:t>
          </a:r>
          <a:r>
            <a:rPr kumimoji="0" lang="de-DE" sz="1600" b="0" i="0" u="none" strike="noStrike" kern="0" cap="none" spc="0" normalizeH="0" baseline="0" noProof="0">
              <a:ln>
                <a:noFill/>
              </a:ln>
              <a:solidFill>
                <a:prstClr val="black"/>
              </a:solidFill>
              <a:effectLst/>
              <a:uLnTx/>
              <a:uFillTx/>
              <a:latin typeface="+mn-lt"/>
              <a:ea typeface="+mn-ea"/>
              <a:cs typeface="+mn-cs"/>
            </a:rPr>
            <a:t> "Auswertung_Erfassungstabellen_ab2022" mit </a:t>
          </a:r>
          <a:r>
            <a:rPr kumimoji="0" lang="de-DE" sz="1600" b="0" i="0" u="sng" strike="noStrike" kern="0" cap="none" spc="0" normalizeH="0" baseline="0" noProof="0">
              <a:ln>
                <a:noFill/>
              </a:ln>
              <a:solidFill>
                <a:prstClr val="black"/>
              </a:solidFill>
              <a:effectLst/>
              <a:uLnTx/>
              <a:uFillTx/>
              <a:latin typeface="+mn-lt"/>
              <a:ea typeface="+mn-ea"/>
              <a:cs typeface="+mn-cs"/>
            </a:rPr>
            <a:t>anpassen</a:t>
          </a:r>
          <a:r>
            <a:rPr kumimoji="0" lang="de-DE" sz="1600" b="0" i="0" u="none" strike="noStrike" kern="0" cap="none" spc="0" normalizeH="0" baseline="0" noProof="0">
              <a:ln>
                <a:noFill/>
              </a:ln>
              <a:solidFill>
                <a:prstClr val="black"/>
              </a:solidFill>
              <a:effectLst/>
              <a:uLnTx/>
              <a:uFillTx/>
              <a:latin typeface="+mn-lt"/>
              <a:ea typeface="+mn-ea"/>
              <a:cs typeface="+mn-cs"/>
            </a:rPr>
            <a:t>, sonst stimmen dort die relativen Zellbezüge nicht!!!</a:t>
          </a:r>
        </a:p>
        <a:p>
          <a:endParaRPr lang="de-DE"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Data/thomschkef/Home/myData/Desktop/Klemmeinb&#228;nde_besonders_sch&#246;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Data/Thomschkef/Home/myData/Desktop/02_Zustandserfassungslisten_Thomschke/III_Drucke_1501-15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elle1"/>
    </sheetNames>
    <sheetDataSet>
      <sheetData sheetId="0">
        <row r="6">
          <cell r="A6" t="str">
            <v>II 82,36a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e"/>
    </sheetNames>
    <sheetDataSet>
      <sheetData sheetId="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4.bin"/><Relationship Id="rId7" Type="http://schemas.openxmlformats.org/officeDocument/2006/relationships/printerSettings" Target="../printerSettings/printerSettings8.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printerSettings" Target="../printerSettings/printerSettings7.bin"/><Relationship Id="rId5" Type="http://schemas.openxmlformats.org/officeDocument/2006/relationships/printerSettings" Target="../printerSettings/printerSettings6.bin"/><Relationship Id="rId10" Type="http://schemas.openxmlformats.org/officeDocument/2006/relationships/comments" Target="../comments1.xml"/><Relationship Id="rId4" Type="http://schemas.openxmlformats.org/officeDocument/2006/relationships/printerSettings" Target="../printerSettings/printerSettings5.bin"/><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printerSettings" Target="../printerSettings/printerSettings17.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printerSettings" Target="../printerSettings/printerSettings16.bin"/><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20.bin"/><Relationship Id="rId7" Type="http://schemas.openxmlformats.org/officeDocument/2006/relationships/printerSettings" Target="../printerSettings/printerSettings24.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3.bin"/><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C31"/>
  <sheetViews>
    <sheetView workbookViewId="0">
      <selection activeCell="C39" sqref="C39"/>
    </sheetView>
  </sheetViews>
  <sheetFormatPr baseColWidth="10" defaultRowHeight="11.5" x14ac:dyDescent="0.25"/>
  <cols>
    <col min="1" max="2" width="13.6328125" customWidth="1"/>
    <col min="3" max="3" width="155.6328125" customWidth="1"/>
  </cols>
  <sheetData>
    <row r="2" spans="1:3" ht="13.5" x14ac:dyDescent="0.25">
      <c r="A2" s="1" t="s">
        <v>42</v>
      </c>
      <c r="B2" s="22"/>
      <c r="C2" s="63"/>
    </row>
    <row r="3" spans="1:3" x14ac:dyDescent="0.25">
      <c r="B3" s="22"/>
      <c r="C3" s="63" t="s">
        <v>1642</v>
      </c>
    </row>
    <row r="4" spans="1:3" x14ac:dyDescent="0.25">
      <c r="A4" s="2" t="s">
        <v>1593</v>
      </c>
      <c r="B4" s="22"/>
      <c r="C4" s="63"/>
    </row>
    <row r="5" spans="1:3" x14ac:dyDescent="0.25">
      <c r="B5" s="22"/>
      <c r="C5" s="63"/>
    </row>
    <row r="6" spans="1:3" x14ac:dyDescent="0.25">
      <c r="A6" t="s">
        <v>1594</v>
      </c>
      <c r="B6" s="22"/>
      <c r="C6" s="63"/>
    </row>
    <row r="7" spans="1:3" x14ac:dyDescent="0.25">
      <c r="A7" t="s">
        <v>1595</v>
      </c>
      <c r="B7" s="22"/>
      <c r="C7" s="63"/>
    </row>
    <row r="8" spans="1:3" x14ac:dyDescent="0.25">
      <c r="B8" s="22"/>
      <c r="C8" s="63"/>
    </row>
    <row r="9" spans="1:3" x14ac:dyDescent="0.25">
      <c r="A9" s="6" t="s">
        <v>1596</v>
      </c>
      <c r="B9" s="22"/>
      <c r="C9" s="63"/>
    </row>
    <row r="10" spans="1:3" x14ac:dyDescent="0.25">
      <c r="A10" t="s">
        <v>1597</v>
      </c>
      <c r="B10" s="22"/>
      <c r="C10" s="63"/>
    </row>
    <row r="16" spans="1:3" ht="13.5" x14ac:dyDescent="0.3">
      <c r="A16" s="69" t="s">
        <v>1777</v>
      </c>
    </row>
    <row r="18" spans="1:3" x14ac:dyDescent="0.25">
      <c r="A18" t="s">
        <v>1787</v>
      </c>
    </row>
    <row r="20" spans="1:3" x14ac:dyDescent="0.25">
      <c r="A20" s="70" t="s">
        <v>1778</v>
      </c>
    </row>
    <row r="21" spans="1:3" s="71" customFormat="1" x14ac:dyDescent="0.25">
      <c r="A21" s="71" t="s">
        <v>1786</v>
      </c>
    </row>
    <row r="23" spans="1:3" x14ac:dyDescent="0.25">
      <c r="A23" t="s">
        <v>1779</v>
      </c>
      <c r="B23" t="s">
        <v>1780</v>
      </c>
      <c r="C23" t="s">
        <v>1781</v>
      </c>
    </row>
    <row r="25" spans="1:3" x14ac:dyDescent="0.25">
      <c r="A25" s="68">
        <v>44595</v>
      </c>
      <c r="B25" t="s">
        <v>1782</v>
      </c>
      <c r="C25" t="s">
        <v>1822</v>
      </c>
    </row>
    <row r="26" spans="1:3" x14ac:dyDescent="0.25">
      <c r="A26" s="68"/>
      <c r="C26" t="s">
        <v>1783</v>
      </c>
    </row>
    <row r="27" spans="1:3" x14ac:dyDescent="0.25">
      <c r="A27" s="68"/>
      <c r="C27" t="s">
        <v>1785</v>
      </c>
    </row>
    <row r="28" spans="1:3" x14ac:dyDescent="0.25">
      <c r="A28" s="68"/>
      <c r="C28" t="s">
        <v>1823</v>
      </c>
    </row>
    <row r="29" spans="1:3" x14ac:dyDescent="0.25">
      <c r="C29" t="s">
        <v>1784</v>
      </c>
    </row>
    <row r="30" spans="1:3" ht="34.5" x14ac:dyDescent="0.25">
      <c r="C30" s="134" t="s">
        <v>1947</v>
      </c>
    </row>
    <row r="31" spans="1:3" s="136" customFormat="1" ht="34.5" x14ac:dyDescent="0.25">
      <c r="A31" s="135">
        <v>44734</v>
      </c>
      <c r="B31" s="136" t="s">
        <v>1782</v>
      </c>
      <c r="C31" s="137" t="s">
        <v>1948</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3"/>
  <sheetViews>
    <sheetView workbookViewId="0">
      <selection activeCell="B52" sqref="B52"/>
    </sheetView>
  </sheetViews>
  <sheetFormatPr baseColWidth="10" defaultColWidth="10.90625" defaultRowHeight="11.5" x14ac:dyDescent="0.25"/>
  <cols>
    <col min="1" max="1" width="17.453125" style="63" bestFit="1" customWidth="1"/>
    <col min="2" max="2" width="75.26953125" style="63" bestFit="1" customWidth="1"/>
    <col min="3" max="16384" width="10.90625" style="63"/>
  </cols>
  <sheetData>
    <row r="1" spans="1:2" s="75" customFormat="1" x14ac:dyDescent="0.25">
      <c r="A1" s="76" t="s">
        <v>1821</v>
      </c>
      <c r="B1" s="75" t="s">
        <v>1820</v>
      </c>
    </row>
    <row r="3" spans="1:2" x14ac:dyDescent="0.25">
      <c r="A3" s="73" t="s">
        <v>1819</v>
      </c>
    </row>
    <row r="4" spans="1:2" x14ac:dyDescent="0.25">
      <c r="A4" s="63" t="s">
        <v>1818</v>
      </c>
      <c r="B4" s="63" t="s">
        <v>1817</v>
      </c>
    </row>
    <row r="5" spans="1:2" x14ac:dyDescent="0.25">
      <c r="A5" s="63" t="s">
        <v>1816</v>
      </c>
      <c r="B5" s="63" t="s">
        <v>1815</v>
      </c>
    </row>
    <row r="7" spans="1:2" x14ac:dyDescent="0.25">
      <c r="A7" s="73" t="s">
        <v>1715</v>
      </c>
    </row>
    <row r="8" spans="1:2" x14ac:dyDescent="0.25">
      <c r="A8" s="63" t="s">
        <v>1724</v>
      </c>
      <c r="B8" s="74" t="s">
        <v>17</v>
      </c>
    </row>
    <row r="9" spans="1:2" x14ac:dyDescent="0.25">
      <c r="A9" s="63" t="s">
        <v>1814</v>
      </c>
      <c r="B9" s="74" t="s">
        <v>44</v>
      </c>
    </row>
    <row r="10" spans="1:2" x14ac:dyDescent="0.25">
      <c r="A10" s="63" t="s">
        <v>1739</v>
      </c>
      <c r="B10" s="74" t="s">
        <v>5</v>
      </c>
    </row>
    <row r="11" spans="1:2" x14ac:dyDescent="0.25">
      <c r="A11" s="63" t="s">
        <v>1813</v>
      </c>
      <c r="B11" s="51" t="s">
        <v>16</v>
      </c>
    </row>
    <row r="12" spans="1:2" x14ac:dyDescent="0.25">
      <c r="A12" s="63" t="s">
        <v>1741</v>
      </c>
      <c r="B12" s="63" t="s">
        <v>1812</v>
      </c>
    </row>
    <row r="13" spans="1:2" x14ac:dyDescent="0.25">
      <c r="A13" s="63" t="s">
        <v>1722</v>
      </c>
      <c r="B13" s="74" t="s">
        <v>4</v>
      </c>
    </row>
    <row r="14" spans="1:2" x14ac:dyDescent="0.25">
      <c r="A14" s="63" t="s">
        <v>1728</v>
      </c>
      <c r="B14" s="74" t="s">
        <v>3</v>
      </c>
    </row>
    <row r="15" spans="1:2" x14ac:dyDescent="0.25">
      <c r="A15" s="63" t="s">
        <v>1730</v>
      </c>
      <c r="B15" s="51" t="s">
        <v>45</v>
      </c>
    </row>
    <row r="16" spans="1:2" x14ac:dyDescent="0.25">
      <c r="A16" s="63" t="s">
        <v>1811</v>
      </c>
      <c r="B16" s="51" t="s">
        <v>46</v>
      </c>
    </row>
    <row r="17" spans="1:2" x14ac:dyDescent="0.25">
      <c r="A17" s="63" t="s">
        <v>1888</v>
      </c>
      <c r="B17" s="51" t="s">
        <v>1889</v>
      </c>
    </row>
    <row r="18" spans="1:2" x14ac:dyDescent="0.25">
      <c r="A18" s="63" t="s">
        <v>1810</v>
      </c>
      <c r="B18" s="51" t="s">
        <v>1809</v>
      </c>
    </row>
    <row r="19" spans="1:2" x14ac:dyDescent="0.25">
      <c r="A19" s="63" t="s">
        <v>1808</v>
      </c>
      <c r="B19" s="63" t="s">
        <v>1807</v>
      </c>
    </row>
    <row r="21" spans="1:2" x14ac:dyDescent="0.25">
      <c r="A21" s="73" t="s">
        <v>1806</v>
      </c>
    </row>
    <row r="22" spans="1:2" x14ac:dyDescent="0.25">
      <c r="A22" s="63" t="s">
        <v>1738</v>
      </c>
      <c r="B22" s="63" t="s">
        <v>1805</v>
      </c>
    </row>
    <row r="23" spans="1:2" x14ac:dyDescent="0.25">
      <c r="A23" s="63" t="s">
        <v>1742</v>
      </c>
      <c r="B23" s="63" t="s">
        <v>1804</v>
      </c>
    </row>
    <row r="24" spans="1:2" x14ac:dyDescent="0.25">
      <c r="A24" s="63" t="s">
        <v>1737</v>
      </c>
      <c r="B24" s="63" t="s">
        <v>81</v>
      </c>
    </row>
    <row r="25" spans="1:2" x14ac:dyDescent="0.25">
      <c r="A25" s="63" t="s">
        <v>1723</v>
      </c>
      <c r="B25" s="63" t="s">
        <v>1803</v>
      </c>
    </row>
    <row r="27" spans="1:2" x14ac:dyDescent="0.25">
      <c r="A27" s="73" t="s">
        <v>1802</v>
      </c>
    </row>
    <row r="28" spans="1:2" x14ac:dyDescent="0.25">
      <c r="A28" s="63" t="s">
        <v>1754</v>
      </c>
      <c r="B28" s="63" t="s">
        <v>1801</v>
      </c>
    </row>
    <row r="29" spans="1:2" x14ac:dyDescent="0.25">
      <c r="A29" s="63" t="s">
        <v>1800</v>
      </c>
      <c r="B29" s="63" t="s">
        <v>1799</v>
      </c>
    </row>
    <row r="30" spans="1:2" x14ac:dyDescent="0.25">
      <c r="A30" s="63" t="s">
        <v>1757</v>
      </c>
      <c r="B30" s="63" t="s">
        <v>1798</v>
      </c>
    </row>
    <row r="31" spans="1:2" x14ac:dyDescent="0.25">
      <c r="A31" s="63" t="s">
        <v>1756</v>
      </c>
      <c r="B31" s="63" t="s">
        <v>1797</v>
      </c>
    </row>
    <row r="33" spans="1:2" x14ac:dyDescent="0.25">
      <c r="A33" s="73" t="s">
        <v>1890</v>
      </c>
    </row>
    <row r="34" spans="1:2" x14ac:dyDescent="0.25">
      <c r="A34" s="63" t="s">
        <v>1891</v>
      </c>
      <c r="B34" s="63" t="s">
        <v>1892</v>
      </c>
    </row>
    <row r="35" spans="1:2" ht="46" x14ac:dyDescent="0.25">
      <c r="A35" s="63" t="s">
        <v>1893</v>
      </c>
      <c r="B35" s="81" t="s">
        <v>1894</v>
      </c>
    </row>
    <row r="37" spans="1:2" ht="23" x14ac:dyDescent="0.25">
      <c r="A37" s="72" t="s">
        <v>1796</v>
      </c>
    </row>
    <row r="38" spans="1:2" x14ac:dyDescent="0.25">
      <c r="A38" s="63" t="s">
        <v>1744</v>
      </c>
      <c r="B38" s="63" t="s">
        <v>1795</v>
      </c>
    </row>
    <row r="39" spans="1:2" x14ac:dyDescent="0.25">
      <c r="A39" s="63" t="s">
        <v>1737</v>
      </c>
      <c r="B39" s="63" t="s">
        <v>1794</v>
      </c>
    </row>
    <row r="40" spans="1:2" x14ac:dyDescent="0.25">
      <c r="A40" s="63" t="s">
        <v>1793</v>
      </c>
      <c r="B40" s="63" t="s">
        <v>1792</v>
      </c>
    </row>
    <row r="41" spans="1:2" x14ac:dyDescent="0.25">
      <c r="A41" s="63" t="s">
        <v>1791</v>
      </c>
      <c r="B41" s="63" t="s">
        <v>1790</v>
      </c>
    </row>
    <row r="42" spans="1:2" x14ac:dyDescent="0.25">
      <c r="A42" s="63" t="s">
        <v>1770</v>
      </c>
      <c r="B42" s="63" t="s">
        <v>1789</v>
      </c>
    </row>
    <row r="43" spans="1:2" x14ac:dyDescent="0.25">
      <c r="A43" s="63" t="s">
        <v>1768</v>
      </c>
      <c r="B43" s="63" t="s">
        <v>1788</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BL1038"/>
  <sheetViews>
    <sheetView tabSelected="1" zoomScale="90" zoomScaleNormal="90" workbookViewId="0">
      <pane xSplit="7" ySplit="1" topLeftCell="H129" activePane="bottomRight" state="frozen"/>
      <selection pane="topRight" activeCell="H1" sqref="H1"/>
      <selection pane="bottomLeft" activeCell="A10" sqref="A10"/>
      <selection pane="bottomRight" activeCell="E133" sqref="E133"/>
    </sheetView>
  </sheetViews>
  <sheetFormatPr baseColWidth="10" defaultColWidth="11" defaultRowHeight="11.5" x14ac:dyDescent="0.25"/>
  <cols>
    <col min="1" max="1" width="12.54296875" style="63" bestFit="1" customWidth="1"/>
    <col min="2" max="2" width="16.54296875" style="63" bestFit="1" customWidth="1"/>
    <col min="3" max="3" width="11.08984375" style="63" bestFit="1" customWidth="1"/>
    <col min="4" max="4" width="34" style="63" customWidth="1"/>
    <col min="5" max="5" width="18.90625" style="63" customWidth="1"/>
    <col min="6" max="6" width="5" style="63" hidden="1" customWidth="1"/>
    <col min="7" max="7" width="17.453125" style="81" hidden="1" customWidth="1"/>
    <col min="8" max="8" width="10" style="63" customWidth="1"/>
    <col min="9" max="9" width="28.453125" style="81" hidden="1" customWidth="1"/>
    <col min="10" max="10" width="32.08984375" style="81" hidden="1" customWidth="1"/>
    <col min="11" max="11" width="15.26953125" style="63" hidden="1" customWidth="1"/>
    <col min="12" max="12" width="13.36328125" style="63" hidden="1" customWidth="1"/>
    <col min="13" max="13" width="7.453125" style="63" hidden="1" customWidth="1"/>
    <col min="14" max="14" width="7.08984375" style="63" hidden="1" customWidth="1"/>
    <col min="15" max="15" width="25" style="63" hidden="1" customWidth="1"/>
    <col min="16" max="16" width="33.26953125" style="63" hidden="1" customWidth="1"/>
    <col min="17" max="17" width="28.08984375" style="63" hidden="1" customWidth="1"/>
    <col min="18" max="18" width="21.7265625" style="63" hidden="1" customWidth="1"/>
    <col min="19" max="20" width="9.26953125" style="93" customWidth="1"/>
    <col min="21" max="21" width="9.08984375" style="93" customWidth="1"/>
    <col min="22" max="23" width="8" style="93" customWidth="1"/>
    <col min="24" max="24" width="10.90625" style="93" customWidth="1"/>
    <col min="25" max="35" width="10.90625" style="93"/>
    <col min="36" max="36" width="10.453125" style="93" bestFit="1" customWidth="1"/>
    <col min="37" max="39" width="10.90625" style="93"/>
    <col min="40" max="42" width="10.90625" style="93" customWidth="1"/>
    <col min="43" max="43" width="10.90625" style="93"/>
    <col min="44" max="44" width="10.90625" style="93" bestFit="1" customWidth="1"/>
    <col min="45" max="45" width="9.08984375" style="93" bestFit="1" customWidth="1"/>
    <col min="46" max="46" width="9.08984375" style="93" customWidth="1"/>
    <col min="47" max="47" width="10.6328125" style="93" bestFit="1" customWidth="1"/>
    <col min="48" max="48" width="9.08984375" style="93" customWidth="1"/>
    <col min="49" max="51" width="10.90625" style="93"/>
    <col min="52" max="52" width="11" style="93"/>
    <col min="53" max="53" width="10.90625" style="94"/>
    <col min="54" max="54" width="10.90625" style="103"/>
    <col min="55" max="61" width="10.90625" style="93"/>
    <col min="62" max="62" width="33.6328125" style="81" customWidth="1"/>
    <col min="63" max="63" width="11" style="63"/>
    <col min="64" max="64" width="11" style="81"/>
    <col min="65" max="16384" width="11" style="63"/>
  </cols>
  <sheetData>
    <row r="1" spans="1:64" s="93" customFormat="1" ht="115.5" x14ac:dyDescent="0.25">
      <c r="A1" s="80" t="s">
        <v>9</v>
      </c>
      <c r="B1" s="80" t="s">
        <v>87</v>
      </c>
      <c r="C1" s="80" t="s">
        <v>88</v>
      </c>
      <c r="D1" s="80" t="s">
        <v>100</v>
      </c>
      <c r="E1" s="80" t="s">
        <v>10</v>
      </c>
      <c r="F1" s="78" t="s">
        <v>38</v>
      </c>
      <c r="G1" s="78" t="s">
        <v>12</v>
      </c>
      <c r="H1" s="80" t="s">
        <v>39</v>
      </c>
      <c r="I1" s="78" t="s">
        <v>99</v>
      </c>
      <c r="J1" s="78" t="s">
        <v>58</v>
      </c>
      <c r="K1" s="80" t="s">
        <v>65</v>
      </c>
      <c r="L1" s="80" t="s">
        <v>28</v>
      </c>
      <c r="M1" s="78" t="s">
        <v>103</v>
      </c>
      <c r="N1" s="80" t="s">
        <v>11</v>
      </c>
      <c r="O1" s="78" t="s">
        <v>104</v>
      </c>
      <c r="P1" s="80" t="s">
        <v>13</v>
      </c>
      <c r="Q1" s="91" t="s">
        <v>98</v>
      </c>
      <c r="R1" s="92" t="s">
        <v>49</v>
      </c>
      <c r="S1" s="77" t="s">
        <v>1824</v>
      </c>
      <c r="T1" s="77" t="s">
        <v>1825</v>
      </c>
      <c r="U1" s="78" t="s">
        <v>1713</v>
      </c>
      <c r="V1" s="78" t="s">
        <v>1714</v>
      </c>
      <c r="W1" s="78" t="s">
        <v>1826</v>
      </c>
      <c r="X1" s="78" t="s">
        <v>1827</v>
      </c>
      <c r="Y1" s="78" t="s">
        <v>1828</v>
      </c>
      <c r="Z1" s="78" t="s">
        <v>1829</v>
      </c>
      <c r="AA1" s="78" t="s">
        <v>1830</v>
      </c>
      <c r="AB1" s="78" t="s">
        <v>1831</v>
      </c>
      <c r="AC1" s="78" t="s">
        <v>1832</v>
      </c>
      <c r="AD1" s="78" t="s">
        <v>1833</v>
      </c>
      <c r="AE1" s="78" t="s">
        <v>1834</v>
      </c>
      <c r="AF1" s="78" t="s">
        <v>1835</v>
      </c>
      <c r="AG1" s="78" t="s">
        <v>1836</v>
      </c>
      <c r="AH1" s="78" t="s">
        <v>1837</v>
      </c>
      <c r="AI1" s="78" t="s">
        <v>1716</v>
      </c>
      <c r="AJ1" s="78" t="s">
        <v>1717</v>
      </c>
      <c r="AK1" s="78" t="s">
        <v>1838</v>
      </c>
      <c r="AL1" s="78" t="s">
        <v>1839</v>
      </c>
      <c r="AM1" s="78" t="s">
        <v>1840</v>
      </c>
      <c r="AN1" s="78" t="s">
        <v>1718</v>
      </c>
      <c r="AO1" s="78" t="s">
        <v>1841</v>
      </c>
      <c r="AP1" s="78" t="s">
        <v>1842</v>
      </c>
      <c r="AQ1" s="78" t="s">
        <v>1843</v>
      </c>
      <c r="AR1" s="78" t="s">
        <v>1844</v>
      </c>
      <c r="AS1" s="78" t="s">
        <v>1845</v>
      </c>
      <c r="AT1" s="78" t="s">
        <v>1846</v>
      </c>
      <c r="AU1" s="78" t="s">
        <v>1847</v>
      </c>
      <c r="AV1" s="78" t="s">
        <v>1848</v>
      </c>
      <c r="AW1" s="78" t="s">
        <v>1849</v>
      </c>
      <c r="AX1" s="78" t="s">
        <v>1850</v>
      </c>
      <c r="AY1" s="78" t="s">
        <v>1851</v>
      </c>
      <c r="AZ1" s="78" t="s">
        <v>1896</v>
      </c>
      <c r="BA1" s="78" t="s">
        <v>1852</v>
      </c>
      <c r="BB1" s="78" t="s">
        <v>1853</v>
      </c>
      <c r="BC1" s="79" t="s">
        <v>1854</v>
      </c>
      <c r="BD1" s="78" t="s">
        <v>35</v>
      </c>
      <c r="BE1" s="78" t="s">
        <v>29</v>
      </c>
      <c r="BF1" s="78" t="s">
        <v>1855</v>
      </c>
      <c r="BG1" s="78" t="s">
        <v>1719</v>
      </c>
      <c r="BH1" s="78" t="s">
        <v>1856</v>
      </c>
      <c r="BI1" s="78" t="s">
        <v>1720</v>
      </c>
      <c r="BJ1" s="78" t="s">
        <v>1857</v>
      </c>
      <c r="BK1" s="94" t="s">
        <v>1895</v>
      </c>
      <c r="BL1" s="94" t="s">
        <v>1946</v>
      </c>
    </row>
    <row r="2" spans="1:64" x14ac:dyDescent="0.25">
      <c r="A2" s="82">
        <v>1</v>
      </c>
      <c r="B2" s="83" t="s">
        <v>107</v>
      </c>
      <c r="C2" s="83" t="s">
        <v>108</v>
      </c>
      <c r="D2" s="84" t="str">
        <f>HYPERLINK(CONCATENATE("https://portal.dnb.de/opac.htm?method=simpleSearch&amp;cqlMode=true&amp;query=idn%3D",C2))</f>
        <v>https://portal.dnb.de/opac.htm?method=simpleSearch&amp;cqlMode=true&amp;query=idn%3D107238311X</v>
      </c>
      <c r="E2" s="83" t="s">
        <v>109</v>
      </c>
      <c r="F2" s="82"/>
      <c r="G2" s="85"/>
      <c r="H2" s="82" t="s">
        <v>51</v>
      </c>
      <c r="I2" s="85"/>
      <c r="J2" s="85"/>
      <c r="K2" s="82"/>
      <c r="L2" s="82"/>
      <c r="M2" s="82"/>
      <c r="N2" s="82"/>
      <c r="O2" s="82"/>
      <c r="P2" s="82"/>
      <c r="Q2" s="82"/>
      <c r="R2" s="82"/>
      <c r="S2" s="94"/>
      <c r="T2" s="94"/>
      <c r="X2" s="94" t="s">
        <v>1728</v>
      </c>
      <c r="Y2" s="95"/>
      <c r="Z2" s="95"/>
      <c r="AA2" s="94" t="s">
        <v>1738</v>
      </c>
      <c r="AB2" s="94"/>
      <c r="AC2" s="94"/>
      <c r="AD2" s="94"/>
      <c r="AE2" s="94"/>
      <c r="AF2" s="94"/>
      <c r="AG2" s="93" t="s">
        <v>1724</v>
      </c>
      <c r="AS2" s="94"/>
      <c r="AT2" s="94"/>
      <c r="AU2" s="94" t="s">
        <v>1891</v>
      </c>
      <c r="AV2" s="94"/>
      <c r="BA2" s="94" t="s">
        <v>1727</v>
      </c>
      <c r="BB2" s="108">
        <f>Schäden_Einband!X2+Schäden_Buchblock!AC2</f>
        <v>0</v>
      </c>
      <c r="BC2" s="95"/>
      <c r="BG2" s="93" t="s">
        <v>1633</v>
      </c>
    </row>
    <row r="3" spans="1:64" x14ac:dyDescent="0.25">
      <c r="A3" s="82">
        <v>2</v>
      </c>
      <c r="B3" s="83" t="s">
        <v>110</v>
      </c>
      <c r="C3" s="83">
        <v>1066966540</v>
      </c>
      <c r="D3" s="84" t="str">
        <f>HYPERLINK(CONCATENATE("https://portal.dnb.de/opac.htm?method=simpleSearch&amp;cqlMode=true&amp;query=idn%3D",C3))</f>
        <v>https://portal.dnb.de/opac.htm?method=simpleSearch&amp;cqlMode=true&amp;query=idn%3D1066966540</v>
      </c>
      <c r="E3" s="83" t="s">
        <v>111</v>
      </c>
      <c r="F3" s="82"/>
      <c r="G3" s="85"/>
      <c r="H3" s="82"/>
      <c r="I3" s="85"/>
      <c r="J3" s="85"/>
      <c r="K3" s="82"/>
      <c r="L3" s="82"/>
      <c r="M3" s="82"/>
      <c r="N3" s="82"/>
      <c r="O3" s="82"/>
      <c r="P3" s="82" t="s">
        <v>1598</v>
      </c>
      <c r="Q3" s="82"/>
      <c r="R3" s="82"/>
      <c r="S3" s="96" t="s">
        <v>1721</v>
      </c>
      <c r="T3" s="96"/>
      <c r="X3" s="94"/>
      <c r="Y3" s="95"/>
      <c r="Z3" s="95"/>
      <c r="AA3" s="94"/>
      <c r="AB3" s="94"/>
      <c r="AC3" s="94"/>
      <c r="AD3" s="94"/>
      <c r="AE3" s="94"/>
      <c r="AF3" s="94"/>
      <c r="AS3" s="94"/>
      <c r="AT3" s="94"/>
      <c r="AU3" s="94"/>
      <c r="AV3" s="94"/>
      <c r="BB3" s="108">
        <f>Schäden_Einband!X3+Schäden_Buchblock!AC3</f>
        <v>0</v>
      </c>
      <c r="BC3" s="95"/>
    </row>
    <row r="4" spans="1:64" x14ac:dyDescent="0.25">
      <c r="A4" s="82">
        <v>3</v>
      </c>
      <c r="B4" s="83" t="s">
        <v>112</v>
      </c>
      <c r="C4" s="83">
        <v>1066967997</v>
      </c>
      <c r="D4" s="84" t="str">
        <f t="shared" ref="D4:D66" si="0">HYPERLINK(CONCATENATE("https://portal.dnb.de/opac.htm?method=simpleSearch&amp;cqlMode=true&amp;query=idn%3D",C4))</f>
        <v>https://portal.dnb.de/opac.htm?method=simpleSearch&amp;cqlMode=true&amp;query=idn%3D1066967997</v>
      </c>
      <c r="E4" s="83" t="s">
        <v>113</v>
      </c>
      <c r="F4" s="82"/>
      <c r="G4" s="85"/>
      <c r="H4" s="82"/>
      <c r="I4" s="85"/>
      <c r="J4" s="85"/>
      <c r="K4" s="82"/>
      <c r="L4" s="82"/>
      <c r="M4" s="82"/>
      <c r="N4" s="82"/>
      <c r="O4" s="82"/>
      <c r="P4" s="82"/>
      <c r="Q4" s="82"/>
      <c r="R4" s="82"/>
      <c r="S4" s="96"/>
      <c r="T4" s="96"/>
      <c r="X4" s="94"/>
      <c r="Y4" s="95"/>
      <c r="Z4" s="95"/>
      <c r="AA4" s="94"/>
      <c r="AB4" s="94"/>
      <c r="AC4" s="94"/>
      <c r="AD4" s="94"/>
      <c r="AE4" s="94"/>
      <c r="AF4" s="94"/>
      <c r="AS4" s="94"/>
      <c r="AT4" s="94"/>
      <c r="AU4" s="94"/>
      <c r="AV4" s="94"/>
      <c r="BB4" s="108">
        <f>Schäden_Einband!X4+Schäden_Buchblock!AC4</f>
        <v>0</v>
      </c>
      <c r="BC4" s="95"/>
    </row>
    <row r="5" spans="1:64" x14ac:dyDescent="0.25">
      <c r="A5" s="82">
        <v>4</v>
      </c>
      <c r="B5" s="83" t="s">
        <v>114</v>
      </c>
      <c r="C5" s="83">
        <v>1066966419</v>
      </c>
      <c r="D5" s="84" t="str">
        <f t="shared" si="0"/>
        <v>https://portal.dnb.de/opac.htm?method=simpleSearch&amp;cqlMode=true&amp;query=idn%3D1066966419</v>
      </c>
      <c r="E5" s="83" t="s">
        <v>115</v>
      </c>
      <c r="F5" s="82"/>
      <c r="G5" s="85"/>
      <c r="H5" s="82"/>
      <c r="I5" s="85"/>
      <c r="J5" s="85"/>
      <c r="K5" s="82"/>
      <c r="L5" s="82"/>
      <c r="M5" s="82"/>
      <c r="N5" s="82"/>
      <c r="O5" s="82"/>
      <c r="P5" s="82"/>
      <c r="Q5" s="82"/>
      <c r="R5" s="82"/>
      <c r="S5" s="96"/>
      <c r="T5" s="96"/>
      <c r="X5" s="94"/>
      <c r="Y5" s="95"/>
      <c r="Z5" s="95"/>
      <c r="AA5" s="94"/>
      <c r="AB5" s="94"/>
      <c r="AC5" s="94"/>
      <c r="AD5" s="94"/>
      <c r="AE5" s="94"/>
      <c r="AF5" s="94"/>
      <c r="AS5" s="94"/>
      <c r="AT5" s="94"/>
      <c r="AU5" s="94"/>
      <c r="AV5" s="94"/>
      <c r="BB5" s="108">
        <f>Schäden_Einband!X5+Schäden_Buchblock!AC5</f>
        <v>0</v>
      </c>
      <c r="BC5" s="95"/>
    </row>
    <row r="6" spans="1:64" ht="23" x14ac:dyDescent="0.25">
      <c r="A6" s="82">
        <v>5</v>
      </c>
      <c r="B6" s="83" t="s">
        <v>116</v>
      </c>
      <c r="C6" s="83" t="s">
        <v>117</v>
      </c>
      <c r="D6" s="84" t="str">
        <f t="shared" si="0"/>
        <v>https://portal.dnb.de/opac.htm?method=simpleSearch&amp;cqlMode=true&amp;query=idn%3D106696565X</v>
      </c>
      <c r="E6" s="83" t="s">
        <v>118</v>
      </c>
      <c r="F6" s="82" t="s">
        <v>89</v>
      </c>
      <c r="G6" s="85" t="s">
        <v>4</v>
      </c>
      <c r="H6" s="82" t="s">
        <v>51</v>
      </c>
      <c r="I6" s="85" t="s">
        <v>55</v>
      </c>
      <c r="J6" s="85" t="s">
        <v>1586</v>
      </c>
      <c r="K6" s="82" t="s">
        <v>67</v>
      </c>
      <c r="L6" s="82" t="s">
        <v>35</v>
      </c>
      <c r="M6" s="82" t="s">
        <v>37</v>
      </c>
      <c r="N6" s="82">
        <v>0</v>
      </c>
      <c r="O6" s="82"/>
      <c r="P6" s="82"/>
      <c r="Q6" s="82"/>
      <c r="R6" s="82"/>
      <c r="S6" s="96"/>
      <c r="T6" s="96"/>
      <c r="X6" s="94" t="s">
        <v>1722</v>
      </c>
      <c r="Y6" s="95" t="s">
        <v>1633</v>
      </c>
      <c r="Z6" s="95"/>
      <c r="AA6" s="94" t="s">
        <v>1723</v>
      </c>
      <c r="AB6" s="94"/>
      <c r="AC6" s="94"/>
      <c r="AD6" s="94"/>
      <c r="AE6" s="94"/>
      <c r="AF6" s="94"/>
      <c r="AG6" s="93" t="s">
        <v>1724</v>
      </c>
      <c r="AH6" s="93" t="s">
        <v>1633</v>
      </c>
      <c r="AQ6" s="93" t="s">
        <v>1725</v>
      </c>
      <c r="AR6" s="93" t="s">
        <v>1633</v>
      </c>
      <c r="AS6" s="94">
        <v>3</v>
      </c>
      <c r="AT6" s="94"/>
      <c r="AU6" s="94" t="s">
        <v>1726</v>
      </c>
      <c r="AV6" s="94"/>
      <c r="BA6" s="94" t="s">
        <v>1727</v>
      </c>
      <c r="BB6" s="108">
        <f>Schäden_Einband!X6+Schäden_Buchblock!AC6</f>
        <v>0</v>
      </c>
      <c r="BC6" s="95"/>
      <c r="BD6" s="93" t="s">
        <v>1887</v>
      </c>
    </row>
    <row r="7" spans="1:64" x14ac:dyDescent="0.25">
      <c r="A7" s="82">
        <v>6</v>
      </c>
      <c r="B7" s="83" t="s">
        <v>119</v>
      </c>
      <c r="C7" s="83">
        <v>1066969531</v>
      </c>
      <c r="D7" s="84" t="str">
        <f t="shared" si="0"/>
        <v>https://portal.dnb.de/opac.htm?method=simpleSearch&amp;cqlMode=true&amp;query=idn%3D1066969531</v>
      </c>
      <c r="E7" s="83" t="s">
        <v>120</v>
      </c>
      <c r="F7" s="82"/>
      <c r="G7" s="85"/>
      <c r="H7" s="82"/>
      <c r="I7" s="85"/>
      <c r="J7" s="85"/>
      <c r="K7" s="82"/>
      <c r="L7" s="82"/>
      <c r="M7" s="82"/>
      <c r="N7" s="82"/>
      <c r="O7" s="82"/>
      <c r="P7" s="82"/>
      <c r="Q7" s="82"/>
      <c r="R7" s="82"/>
      <c r="S7" s="96" t="s">
        <v>1721</v>
      </c>
      <c r="T7" s="96"/>
      <c r="X7" s="94"/>
      <c r="Y7" s="95"/>
      <c r="Z7" s="95"/>
      <c r="AA7" s="94"/>
      <c r="AB7" s="94"/>
      <c r="AC7" s="94"/>
      <c r="AD7" s="94"/>
      <c r="AE7" s="94"/>
      <c r="AF7" s="94"/>
      <c r="AS7" s="94"/>
      <c r="AT7" s="94"/>
      <c r="AU7" s="94"/>
      <c r="AV7" s="94"/>
      <c r="BB7" s="108">
        <f>Schäden_Einband!X7+Schäden_Buchblock!AC7</f>
        <v>0</v>
      </c>
      <c r="BC7" s="95"/>
    </row>
    <row r="8" spans="1:64" x14ac:dyDescent="0.25">
      <c r="A8" s="82">
        <v>7</v>
      </c>
      <c r="B8" s="83" t="s">
        <v>121</v>
      </c>
      <c r="C8" s="83">
        <v>1066967148</v>
      </c>
      <c r="D8" s="84" t="str">
        <f t="shared" si="0"/>
        <v>https://portal.dnb.de/opac.htm?method=simpleSearch&amp;cqlMode=true&amp;query=idn%3D1066967148</v>
      </c>
      <c r="E8" s="83" t="s">
        <v>122</v>
      </c>
      <c r="F8" s="82"/>
      <c r="G8" s="85"/>
      <c r="H8" s="82"/>
      <c r="I8" s="85"/>
      <c r="J8" s="85"/>
      <c r="K8" s="82"/>
      <c r="L8" s="82"/>
      <c r="M8" s="82"/>
      <c r="N8" s="82"/>
      <c r="O8" s="82"/>
      <c r="P8" s="82"/>
      <c r="Q8" s="82"/>
      <c r="R8" s="82"/>
      <c r="S8" s="96"/>
      <c r="T8" s="96"/>
      <c r="X8" s="94"/>
      <c r="Y8" s="95"/>
      <c r="Z8" s="95"/>
      <c r="AA8" s="94"/>
      <c r="AB8" s="94"/>
      <c r="AC8" s="94"/>
      <c r="AD8" s="94"/>
      <c r="AE8" s="94"/>
      <c r="AF8" s="94"/>
      <c r="AS8" s="94"/>
      <c r="AT8" s="94"/>
      <c r="AU8" s="94"/>
      <c r="AV8" s="94"/>
      <c r="BB8" s="108">
        <f>Schäden_Einband!X8+Schäden_Buchblock!AC8</f>
        <v>0</v>
      </c>
      <c r="BC8" s="95"/>
    </row>
    <row r="9" spans="1:64" ht="46" x14ac:dyDescent="0.25">
      <c r="A9" s="82">
        <v>8</v>
      </c>
      <c r="B9" s="83" t="s">
        <v>123</v>
      </c>
      <c r="C9" s="83">
        <v>1066972710</v>
      </c>
      <c r="D9" s="84" t="str">
        <f t="shared" si="0"/>
        <v>https://portal.dnb.de/opac.htm?method=simpleSearch&amp;cqlMode=true&amp;query=idn%3D1066972710</v>
      </c>
      <c r="E9" s="83" t="s">
        <v>124</v>
      </c>
      <c r="F9" s="82" t="s">
        <v>89</v>
      </c>
      <c r="G9" s="85" t="s">
        <v>1584</v>
      </c>
      <c r="H9" s="82" t="s">
        <v>52</v>
      </c>
      <c r="I9" s="85" t="s">
        <v>90</v>
      </c>
      <c r="J9" s="85" t="s">
        <v>1583</v>
      </c>
      <c r="K9" s="82" t="s">
        <v>67</v>
      </c>
      <c r="L9" s="82"/>
      <c r="M9" s="82"/>
      <c r="N9" s="82">
        <v>0</v>
      </c>
      <c r="O9" s="82"/>
      <c r="P9" s="82"/>
      <c r="Q9" s="82"/>
      <c r="R9" s="82"/>
      <c r="S9" s="96"/>
      <c r="T9" s="96"/>
      <c r="X9" s="94" t="s">
        <v>1728</v>
      </c>
      <c r="Y9" s="95" t="s">
        <v>1633</v>
      </c>
      <c r="Z9" s="95"/>
      <c r="AA9" s="94" t="s">
        <v>1723</v>
      </c>
      <c r="AB9" s="94"/>
      <c r="AC9" s="94"/>
      <c r="AD9" s="94"/>
      <c r="AE9" s="94"/>
      <c r="AF9" s="94"/>
      <c r="AG9" s="93" t="s">
        <v>1724</v>
      </c>
      <c r="AQ9" s="93" t="s">
        <v>1729</v>
      </c>
      <c r="AR9" s="93" t="s">
        <v>1633</v>
      </c>
      <c r="AS9" s="94"/>
      <c r="AT9" s="94"/>
      <c r="AU9" s="94">
        <v>110</v>
      </c>
      <c r="AV9" s="94"/>
      <c r="BA9" s="94" t="s">
        <v>1727</v>
      </c>
      <c r="BB9" s="108">
        <f>Schäden_Einband!X9+Schäden_Buchblock!AC9</f>
        <v>0</v>
      </c>
      <c r="BC9" s="95"/>
    </row>
    <row r="10" spans="1:64" x14ac:dyDescent="0.25">
      <c r="A10" s="82">
        <v>9</v>
      </c>
      <c r="B10" s="83" t="s">
        <v>125</v>
      </c>
      <c r="C10" s="83">
        <v>1066970955</v>
      </c>
      <c r="D10" s="84" t="str">
        <f t="shared" si="0"/>
        <v>https://portal.dnb.de/opac.htm?method=simpleSearch&amp;cqlMode=true&amp;query=idn%3D1066970955</v>
      </c>
      <c r="E10" s="83" t="s">
        <v>126</v>
      </c>
      <c r="F10" s="82"/>
      <c r="G10" s="85" t="s">
        <v>45</v>
      </c>
      <c r="H10" s="82" t="s">
        <v>52</v>
      </c>
      <c r="I10" s="85" t="s">
        <v>55</v>
      </c>
      <c r="J10" s="85" t="s">
        <v>81</v>
      </c>
      <c r="K10" s="82"/>
      <c r="L10" s="82" t="s">
        <v>30</v>
      </c>
      <c r="M10" s="82" t="s">
        <v>37</v>
      </c>
      <c r="N10" s="82">
        <v>0</v>
      </c>
      <c r="O10" s="82"/>
      <c r="P10" s="82"/>
      <c r="Q10" s="82"/>
      <c r="R10" s="82"/>
      <c r="S10" s="96"/>
      <c r="T10" s="96"/>
      <c r="X10" s="94" t="s">
        <v>1730</v>
      </c>
      <c r="Y10" s="95"/>
      <c r="Z10" s="95" t="s">
        <v>1633</v>
      </c>
      <c r="AA10" s="94" t="s">
        <v>1723</v>
      </c>
      <c r="AB10" s="94"/>
      <c r="AC10" s="94"/>
      <c r="AD10" s="94"/>
      <c r="AE10" s="94"/>
      <c r="AF10" s="94"/>
      <c r="AG10" s="93" t="s">
        <v>1730</v>
      </c>
      <c r="AQ10" s="93" t="s">
        <v>1729</v>
      </c>
      <c r="AR10" s="93" t="s">
        <v>1633</v>
      </c>
      <c r="AS10" s="94"/>
      <c r="AT10" s="94"/>
      <c r="AU10" s="94">
        <v>180</v>
      </c>
      <c r="AV10" s="94"/>
      <c r="BB10" s="108">
        <f>Schäden_Einband!X10+Schäden_Buchblock!AC10</f>
        <v>0</v>
      </c>
      <c r="BC10" s="95"/>
      <c r="BG10" s="93" t="s">
        <v>1633</v>
      </c>
    </row>
    <row r="11" spans="1:64" ht="46" x14ac:dyDescent="0.25">
      <c r="A11" s="82">
        <v>10</v>
      </c>
      <c r="B11" s="83" t="s">
        <v>127</v>
      </c>
      <c r="C11" s="83">
        <v>1066969183</v>
      </c>
      <c r="D11" s="84" t="str">
        <f t="shared" si="0"/>
        <v>https://portal.dnb.de/opac.htm?method=simpleSearch&amp;cqlMode=true&amp;query=idn%3D1066969183</v>
      </c>
      <c r="E11" s="83" t="s">
        <v>128</v>
      </c>
      <c r="F11" s="82"/>
      <c r="G11" s="85" t="s">
        <v>1585</v>
      </c>
      <c r="H11" s="86" t="s">
        <v>53</v>
      </c>
      <c r="I11" s="85" t="s">
        <v>90</v>
      </c>
      <c r="J11" s="85" t="s">
        <v>1583</v>
      </c>
      <c r="K11" s="82" t="s">
        <v>67</v>
      </c>
      <c r="L11" s="82"/>
      <c r="M11" s="82"/>
      <c r="N11" s="82">
        <v>1</v>
      </c>
      <c r="O11" s="82"/>
      <c r="P11" s="82"/>
      <c r="Q11" s="82"/>
      <c r="R11" s="82"/>
      <c r="S11" s="96"/>
      <c r="T11" s="96"/>
      <c r="X11" s="94"/>
      <c r="Y11" s="95"/>
      <c r="Z11" s="95"/>
      <c r="AA11" s="94"/>
      <c r="AB11" s="94"/>
      <c r="AC11" s="94"/>
      <c r="AD11" s="94"/>
      <c r="AE11" s="94"/>
      <c r="AF11" s="94"/>
      <c r="AS11" s="94"/>
      <c r="AT11" s="94"/>
      <c r="AU11" s="94"/>
      <c r="AV11" s="94"/>
      <c r="BB11" s="108">
        <f>Schäden_Einband!X11+Schäden_Buchblock!AC11</f>
        <v>0</v>
      </c>
      <c r="BC11" s="95"/>
    </row>
    <row r="12" spans="1:64" ht="23" x14ac:dyDescent="0.25">
      <c r="A12" s="82">
        <v>11</v>
      </c>
      <c r="B12" s="83" t="s">
        <v>129</v>
      </c>
      <c r="C12" s="83" t="s">
        <v>130</v>
      </c>
      <c r="D12" s="84" t="str">
        <f>HYPERLINK(CONCATENATE("https://portal.dnb.de/opac.htm?method=simpleSearch&amp;cqlMode=true&amp;query=idn%3D",C12))</f>
        <v>https://portal.dnb.de/opac.htm?method=simpleSearch&amp;cqlMode=true&amp;query=idn%3D106696680X</v>
      </c>
      <c r="E12" s="83" t="s">
        <v>131</v>
      </c>
      <c r="F12" s="82" t="s">
        <v>89</v>
      </c>
      <c r="G12" s="85" t="s">
        <v>46</v>
      </c>
      <c r="H12" s="82" t="s">
        <v>50</v>
      </c>
      <c r="I12" s="85" t="s">
        <v>55</v>
      </c>
      <c r="J12" s="85" t="s">
        <v>1586</v>
      </c>
      <c r="K12" s="82" t="s">
        <v>67</v>
      </c>
      <c r="L12" s="82" t="s">
        <v>35</v>
      </c>
      <c r="M12" s="82" t="s">
        <v>37</v>
      </c>
      <c r="N12" s="82">
        <v>0</v>
      </c>
      <c r="O12" s="82"/>
      <c r="P12" s="82"/>
      <c r="Q12" s="82"/>
      <c r="R12" s="82"/>
      <c r="S12" s="96"/>
      <c r="T12" s="96"/>
      <c r="X12" s="94" t="s">
        <v>1811</v>
      </c>
      <c r="Y12" s="95" t="s">
        <v>1633</v>
      </c>
      <c r="Z12" s="95"/>
      <c r="AA12" s="94" t="s">
        <v>1723</v>
      </c>
      <c r="AB12" s="94"/>
      <c r="AC12" s="94"/>
      <c r="AD12" s="94"/>
      <c r="AE12" s="94"/>
      <c r="AF12" s="94"/>
      <c r="AG12" s="93" t="s">
        <v>1724</v>
      </c>
      <c r="AQ12" s="93" t="s">
        <v>1729</v>
      </c>
      <c r="AR12" s="93" t="s">
        <v>1633</v>
      </c>
      <c r="AS12" s="94"/>
      <c r="AT12" s="94"/>
      <c r="AU12" s="94">
        <v>180</v>
      </c>
      <c r="AV12" s="94"/>
      <c r="BA12" s="94" t="s">
        <v>1727</v>
      </c>
      <c r="BB12" s="108">
        <f>Schäden_Einband!X12+Schäden_Buchblock!AC12</f>
        <v>0</v>
      </c>
      <c r="BC12" s="95"/>
      <c r="BD12" s="93" t="s">
        <v>1887</v>
      </c>
    </row>
    <row r="13" spans="1:64" x14ac:dyDescent="0.25">
      <c r="A13" s="82">
        <v>12</v>
      </c>
      <c r="B13" s="83" t="s">
        <v>132</v>
      </c>
      <c r="C13" s="83">
        <v>1066969183</v>
      </c>
      <c r="D13" s="84" t="str">
        <f t="shared" si="0"/>
        <v>https://portal.dnb.de/opac.htm?method=simpleSearch&amp;cqlMode=true&amp;query=idn%3D1066969183</v>
      </c>
      <c r="E13" s="83" t="s">
        <v>133</v>
      </c>
      <c r="F13" s="82"/>
      <c r="G13" s="85"/>
      <c r="H13" s="82"/>
      <c r="I13" s="85"/>
      <c r="J13" s="85"/>
      <c r="K13" s="82"/>
      <c r="L13" s="82"/>
      <c r="M13" s="82"/>
      <c r="N13" s="82"/>
      <c r="O13" s="82"/>
      <c r="P13" s="82"/>
      <c r="Q13" s="82"/>
      <c r="R13" s="82"/>
      <c r="S13" s="96"/>
      <c r="T13" s="96"/>
      <c r="X13" s="94"/>
      <c r="Y13" s="95"/>
      <c r="Z13" s="95"/>
      <c r="AA13" s="94"/>
      <c r="AB13" s="94"/>
      <c r="AC13" s="94"/>
      <c r="AD13" s="94"/>
      <c r="AE13" s="94"/>
      <c r="AF13" s="94"/>
      <c r="AS13" s="94"/>
      <c r="AT13" s="94"/>
      <c r="AU13" s="94"/>
      <c r="AV13" s="94"/>
      <c r="BB13" s="108">
        <f>Schäden_Einband!X13+Schäden_Buchblock!AC13</f>
        <v>0</v>
      </c>
      <c r="BC13" s="95"/>
    </row>
    <row r="14" spans="1:64" ht="34.5" x14ac:dyDescent="0.25">
      <c r="A14" s="82">
        <v>13</v>
      </c>
      <c r="B14" s="83" t="s">
        <v>134</v>
      </c>
      <c r="C14" s="83">
        <v>1066970254</v>
      </c>
      <c r="D14" s="84" t="str">
        <f t="shared" si="0"/>
        <v>https://portal.dnb.de/opac.htm?method=simpleSearch&amp;cqlMode=true&amp;query=idn%3D1066970254</v>
      </c>
      <c r="E14" s="83" t="s">
        <v>135</v>
      </c>
      <c r="F14" s="82" t="s">
        <v>89</v>
      </c>
      <c r="G14" s="85" t="s">
        <v>4</v>
      </c>
      <c r="H14" s="82" t="s">
        <v>51</v>
      </c>
      <c r="I14" s="85" t="s">
        <v>55</v>
      </c>
      <c r="J14" s="85" t="s">
        <v>1591</v>
      </c>
      <c r="K14" s="82" t="s">
        <v>67</v>
      </c>
      <c r="L14" s="82" t="s">
        <v>35</v>
      </c>
      <c r="M14" s="82" t="s">
        <v>37</v>
      </c>
      <c r="N14" s="82">
        <v>3</v>
      </c>
      <c r="O14" s="82"/>
      <c r="P14" s="82" t="s">
        <v>1676</v>
      </c>
      <c r="Q14" s="82"/>
      <c r="R14" s="82"/>
      <c r="S14" s="96"/>
      <c r="T14" s="96"/>
      <c r="X14" s="94" t="s">
        <v>1722</v>
      </c>
      <c r="Y14" s="95" t="s">
        <v>1633</v>
      </c>
      <c r="Z14" s="95"/>
      <c r="AA14" s="94" t="s">
        <v>1723</v>
      </c>
      <c r="AB14" s="94"/>
      <c r="AC14" s="94"/>
      <c r="AD14" s="94"/>
      <c r="AE14" s="94"/>
      <c r="AF14" s="94"/>
      <c r="AG14" s="93" t="s">
        <v>1724</v>
      </c>
      <c r="AQ14" s="93" t="s">
        <v>1725</v>
      </c>
      <c r="AR14" s="93" t="s">
        <v>1633</v>
      </c>
      <c r="AS14" s="94"/>
      <c r="AT14" s="94"/>
      <c r="AU14" s="94" t="s">
        <v>1731</v>
      </c>
      <c r="AV14" s="94"/>
      <c r="BA14" s="94" t="s">
        <v>1732</v>
      </c>
      <c r="BB14" s="108">
        <f>Schäden_Einband!X14+Schäden_Buchblock!AC14</f>
        <v>6</v>
      </c>
      <c r="BC14" s="95"/>
      <c r="BD14" s="93" t="s">
        <v>1887</v>
      </c>
    </row>
    <row r="15" spans="1:64" ht="23" x14ac:dyDescent="0.25">
      <c r="A15" s="82">
        <v>14</v>
      </c>
      <c r="B15" s="83" t="s">
        <v>136</v>
      </c>
      <c r="C15" s="83">
        <v>1066965072</v>
      </c>
      <c r="D15" s="84" t="str">
        <f t="shared" si="0"/>
        <v>https://portal.dnb.de/opac.htm?method=simpleSearch&amp;cqlMode=true&amp;query=idn%3D1066965072</v>
      </c>
      <c r="E15" s="83" t="s">
        <v>137</v>
      </c>
      <c r="F15" s="82" t="s">
        <v>89</v>
      </c>
      <c r="G15" s="85" t="s">
        <v>3</v>
      </c>
      <c r="H15" s="82" t="s">
        <v>52</v>
      </c>
      <c r="I15" s="85" t="s">
        <v>90</v>
      </c>
      <c r="J15" s="85" t="s">
        <v>1583</v>
      </c>
      <c r="K15" s="82" t="s">
        <v>67</v>
      </c>
      <c r="L15" s="82"/>
      <c r="M15" s="82"/>
      <c r="N15" s="82">
        <v>0</v>
      </c>
      <c r="O15" s="82"/>
      <c r="P15" s="82"/>
      <c r="Q15" s="82"/>
      <c r="R15" s="82"/>
      <c r="S15" s="96"/>
      <c r="T15" s="96"/>
      <c r="X15" s="94" t="s">
        <v>1728</v>
      </c>
      <c r="Y15" s="95"/>
      <c r="Z15" s="95" t="s">
        <v>1633</v>
      </c>
      <c r="AA15" s="94" t="s">
        <v>1723</v>
      </c>
      <c r="AB15" s="94"/>
      <c r="AC15" s="94"/>
      <c r="AD15" s="94"/>
      <c r="AE15" s="94"/>
      <c r="AF15" s="94"/>
      <c r="AG15" s="93" t="s">
        <v>1724</v>
      </c>
      <c r="AQ15" s="93" t="s">
        <v>1729</v>
      </c>
      <c r="AR15" s="93" t="s">
        <v>1633</v>
      </c>
      <c r="AS15" s="94"/>
      <c r="AT15" s="94"/>
      <c r="AU15" s="94">
        <v>110</v>
      </c>
      <c r="AV15" s="94"/>
      <c r="BA15" s="94" t="s">
        <v>1727</v>
      </c>
      <c r="BB15" s="108">
        <f>Schäden_Einband!X15+Schäden_Buchblock!AC15</f>
        <v>0</v>
      </c>
      <c r="BC15" s="95"/>
    </row>
    <row r="16" spans="1:64" ht="46" x14ac:dyDescent="0.25">
      <c r="A16" s="82">
        <v>15</v>
      </c>
      <c r="B16" s="83" t="s">
        <v>138</v>
      </c>
      <c r="C16" s="83">
        <v>1066966141</v>
      </c>
      <c r="D16" s="84" t="str">
        <f>HYPERLINK(CONCATENATE("https://portal.dnb.de/opac.htm?method=simpleSearch&amp;cqlMode=true&amp;query=idn%3D",C16))</f>
        <v>https://portal.dnb.de/opac.htm?method=simpleSearch&amp;cqlMode=true&amp;query=idn%3D1066966141</v>
      </c>
      <c r="E16" s="83" t="s">
        <v>139</v>
      </c>
      <c r="F16" s="82" t="s">
        <v>89</v>
      </c>
      <c r="G16" s="85" t="s">
        <v>1585</v>
      </c>
      <c r="H16" s="82" t="s">
        <v>50</v>
      </c>
      <c r="I16" s="85" t="s">
        <v>55</v>
      </c>
      <c r="J16" s="85" t="s">
        <v>1586</v>
      </c>
      <c r="K16" s="82" t="s">
        <v>67</v>
      </c>
      <c r="L16" s="82" t="s">
        <v>35</v>
      </c>
      <c r="M16" s="82" t="s">
        <v>37</v>
      </c>
      <c r="N16" s="82">
        <v>2</v>
      </c>
      <c r="O16" s="82"/>
      <c r="P16" s="82"/>
      <c r="Q16" s="82"/>
      <c r="R16" s="82"/>
      <c r="S16" s="96"/>
      <c r="T16" s="96"/>
      <c r="X16" s="94" t="s">
        <v>1722</v>
      </c>
      <c r="Y16" s="95" t="s">
        <v>1633</v>
      </c>
      <c r="Z16" s="95"/>
      <c r="AA16" s="94" t="s">
        <v>1723</v>
      </c>
      <c r="AB16" s="94"/>
      <c r="AC16" s="94"/>
      <c r="AD16" s="94"/>
      <c r="AE16" s="94"/>
      <c r="AF16" s="94"/>
      <c r="AG16" s="93" t="s">
        <v>1724</v>
      </c>
      <c r="AH16" s="93" t="s">
        <v>1633</v>
      </c>
      <c r="AQ16" s="93" t="s">
        <v>1729</v>
      </c>
      <c r="AR16" s="93" t="s">
        <v>1633</v>
      </c>
      <c r="AS16" s="94"/>
      <c r="AT16" s="94"/>
      <c r="AU16" s="94">
        <v>110</v>
      </c>
      <c r="AV16" s="94"/>
      <c r="BA16" s="94" t="s">
        <v>1733</v>
      </c>
      <c r="BB16" s="108">
        <f>Schäden_Einband!X16+Schäden_Buchblock!AC16</f>
        <v>1</v>
      </c>
      <c r="BC16" s="95"/>
      <c r="BD16" s="93" t="s">
        <v>1887</v>
      </c>
    </row>
    <row r="17" spans="1:62" ht="46" x14ac:dyDescent="0.25">
      <c r="A17" s="82">
        <v>16</v>
      </c>
      <c r="B17" s="83" t="s">
        <v>140</v>
      </c>
      <c r="C17" s="83">
        <v>1066966435</v>
      </c>
      <c r="D17" s="84" t="str">
        <f t="shared" si="0"/>
        <v>https://portal.dnb.de/opac.htm?method=simpleSearch&amp;cqlMode=true&amp;query=idn%3D1066966435</v>
      </c>
      <c r="E17" s="83" t="s">
        <v>141</v>
      </c>
      <c r="F17" s="82" t="s">
        <v>89</v>
      </c>
      <c r="G17" s="85" t="s">
        <v>4</v>
      </c>
      <c r="H17" s="82" t="s">
        <v>52</v>
      </c>
      <c r="I17" s="85" t="s">
        <v>90</v>
      </c>
      <c r="J17" s="85" t="s">
        <v>1586</v>
      </c>
      <c r="K17" s="82" t="s">
        <v>67</v>
      </c>
      <c r="L17" s="82"/>
      <c r="M17" s="82"/>
      <c r="N17" s="82">
        <v>0</v>
      </c>
      <c r="O17" s="82"/>
      <c r="P17" s="82"/>
      <c r="Q17" s="82"/>
      <c r="R17" s="82"/>
      <c r="S17" s="96"/>
      <c r="T17" s="96"/>
      <c r="X17" s="94" t="s">
        <v>1722</v>
      </c>
      <c r="Y17" s="95" t="s">
        <v>1633</v>
      </c>
      <c r="Z17" s="95"/>
      <c r="AA17" s="94" t="s">
        <v>1723</v>
      </c>
      <c r="AB17" s="94"/>
      <c r="AC17" s="94"/>
      <c r="AD17" s="94"/>
      <c r="AE17" s="94"/>
      <c r="AF17" s="94"/>
      <c r="AG17" s="93" t="s">
        <v>1724</v>
      </c>
      <c r="AL17" s="93" t="s">
        <v>1633</v>
      </c>
      <c r="AQ17" s="93" t="s">
        <v>1729</v>
      </c>
      <c r="AR17" s="93" t="s">
        <v>1633</v>
      </c>
      <c r="AS17" s="94"/>
      <c r="AT17" s="94"/>
      <c r="AU17" s="94">
        <v>110</v>
      </c>
      <c r="AV17" s="94" t="s">
        <v>1734</v>
      </c>
      <c r="BA17" s="94" t="s">
        <v>1727</v>
      </c>
      <c r="BB17" s="108">
        <f>Schäden_Einband!X17+Schäden_Buchblock!AC17</f>
        <v>0</v>
      </c>
      <c r="BC17" s="95"/>
    </row>
    <row r="18" spans="1:62" x14ac:dyDescent="0.25">
      <c r="A18" s="82">
        <v>17</v>
      </c>
      <c r="B18" s="83" t="s">
        <v>142</v>
      </c>
      <c r="C18" s="83">
        <v>1067434755</v>
      </c>
      <c r="D18" s="84" t="str">
        <f t="shared" si="0"/>
        <v>https://portal.dnb.de/opac.htm?method=simpleSearch&amp;cqlMode=true&amp;query=idn%3D1067434755</v>
      </c>
      <c r="E18" s="83" t="s">
        <v>143</v>
      </c>
      <c r="F18" s="82"/>
      <c r="G18" s="85"/>
      <c r="H18" s="82"/>
      <c r="I18" s="85"/>
      <c r="J18" s="85"/>
      <c r="K18" s="82"/>
      <c r="L18" s="82"/>
      <c r="M18" s="82"/>
      <c r="N18" s="82"/>
      <c r="O18" s="82"/>
      <c r="P18" s="82"/>
      <c r="Q18" s="82"/>
      <c r="R18" s="82"/>
      <c r="S18" s="96"/>
      <c r="T18" s="96"/>
      <c r="X18" s="94"/>
      <c r="Y18" s="95"/>
      <c r="Z18" s="95"/>
      <c r="AA18" s="94"/>
      <c r="AB18" s="94"/>
      <c r="AC18" s="94"/>
      <c r="AD18" s="94"/>
      <c r="AE18" s="94"/>
      <c r="AF18" s="94"/>
      <c r="AS18" s="94"/>
      <c r="AT18" s="94"/>
      <c r="AU18" s="94"/>
      <c r="AV18" s="94"/>
      <c r="BB18" s="108">
        <f>Schäden_Einband!X18+Schäden_Buchblock!AC18</f>
        <v>0</v>
      </c>
      <c r="BC18" s="95"/>
    </row>
    <row r="19" spans="1:62" ht="46" x14ac:dyDescent="0.25">
      <c r="A19" s="82">
        <v>18</v>
      </c>
      <c r="B19" s="83" t="s">
        <v>144</v>
      </c>
      <c r="C19" s="83">
        <v>1066968527</v>
      </c>
      <c r="D19" s="84" t="str">
        <f t="shared" si="0"/>
        <v>https://portal.dnb.de/opac.htm?method=simpleSearch&amp;cqlMode=true&amp;query=idn%3D1066968527</v>
      </c>
      <c r="E19" s="83" t="s">
        <v>145</v>
      </c>
      <c r="F19" s="82"/>
      <c r="G19" s="85" t="s">
        <v>1584</v>
      </c>
      <c r="H19" s="86" t="s">
        <v>53</v>
      </c>
      <c r="I19" s="85" t="s">
        <v>90</v>
      </c>
      <c r="J19" s="85" t="s">
        <v>1586</v>
      </c>
      <c r="K19" s="82" t="s">
        <v>67</v>
      </c>
      <c r="L19" s="82"/>
      <c r="M19" s="82"/>
      <c r="N19" s="82">
        <v>1</v>
      </c>
      <c r="O19" s="82"/>
      <c r="P19" s="82"/>
      <c r="Q19" s="82"/>
      <c r="R19" s="82"/>
      <c r="S19" s="96"/>
      <c r="T19" s="96"/>
      <c r="X19" s="94"/>
      <c r="Y19" s="95"/>
      <c r="Z19" s="95"/>
      <c r="AA19" s="94"/>
      <c r="AB19" s="94"/>
      <c r="AC19" s="94"/>
      <c r="AD19" s="94"/>
      <c r="AE19" s="94"/>
      <c r="AF19" s="94"/>
      <c r="AS19" s="94"/>
      <c r="AT19" s="94"/>
      <c r="AU19" s="94"/>
      <c r="AV19" s="94"/>
      <c r="BB19" s="108">
        <f>Schäden_Einband!X19+Schäden_Buchblock!AC19</f>
        <v>0</v>
      </c>
      <c r="BC19" s="95"/>
    </row>
    <row r="20" spans="1:62" ht="46" x14ac:dyDescent="0.25">
      <c r="A20" s="82">
        <v>19</v>
      </c>
      <c r="B20" s="83" t="s">
        <v>146</v>
      </c>
      <c r="C20" s="83">
        <v>1066968039</v>
      </c>
      <c r="D20" s="84" t="str">
        <f>HYPERLINK(CONCATENATE("https://portal.dnb.de/opac.htm?method=simpleSearch&amp;cqlMode=true&amp;query=idn%3D",C20))</f>
        <v>https://portal.dnb.de/opac.htm?method=simpleSearch&amp;cqlMode=true&amp;query=idn%3D1066968039</v>
      </c>
      <c r="E20" s="83" t="s">
        <v>147</v>
      </c>
      <c r="F20" s="82" t="s">
        <v>89</v>
      </c>
      <c r="G20" s="85" t="s">
        <v>1584</v>
      </c>
      <c r="H20" s="82" t="s">
        <v>50</v>
      </c>
      <c r="I20" s="85" t="s">
        <v>55</v>
      </c>
      <c r="J20" s="85" t="s">
        <v>1586</v>
      </c>
      <c r="K20" s="82" t="s">
        <v>67</v>
      </c>
      <c r="L20" s="82" t="s">
        <v>35</v>
      </c>
      <c r="M20" s="82" t="s">
        <v>37</v>
      </c>
      <c r="N20" s="82">
        <v>1</v>
      </c>
      <c r="O20" s="82"/>
      <c r="P20" s="82"/>
      <c r="Q20" s="82"/>
      <c r="R20" s="82"/>
      <c r="S20" s="96"/>
      <c r="T20" s="96"/>
      <c r="X20" s="94" t="s">
        <v>1722</v>
      </c>
      <c r="Y20" s="95" t="s">
        <v>1633</v>
      </c>
      <c r="Z20" s="95"/>
      <c r="AA20" s="94" t="s">
        <v>1723</v>
      </c>
      <c r="AB20" s="94"/>
      <c r="AC20" s="94"/>
      <c r="AD20" s="94"/>
      <c r="AE20" s="94"/>
      <c r="AF20" s="94"/>
      <c r="AG20" s="93" t="s">
        <v>1724</v>
      </c>
      <c r="AQ20" s="93" t="s">
        <v>1729</v>
      </c>
      <c r="AR20" s="93" t="s">
        <v>1633</v>
      </c>
      <c r="AS20" s="94"/>
      <c r="AT20" s="94"/>
      <c r="AU20" s="94" t="s">
        <v>1731</v>
      </c>
      <c r="AV20" s="94"/>
      <c r="BA20" s="94" t="s">
        <v>1727</v>
      </c>
      <c r="BB20" s="108">
        <f>Schäden_Einband!X20+Schäden_Buchblock!AC20</f>
        <v>0</v>
      </c>
      <c r="BC20" s="95"/>
      <c r="BD20" s="93" t="s">
        <v>1887</v>
      </c>
      <c r="BJ20" s="81" t="s">
        <v>1735</v>
      </c>
    </row>
    <row r="21" spans="1:62" ht="23" x14ac:dyDescent="0.25">
      <c r="A21" s="82">
        <v>20</v>
      </c>
      <c r="B21" s="83" t="s">
        <v>148</v>
      </c>
      <c r="C21" s="83">
        <v>1066967008</v>
      </c>
      <c r="D21" s="84" t="str">
        <f t="shared" si="0"/>
        <v>https://portal.dnb.de/opac.htm?method=simpleSearch&amp;cqlMode=true&amp;query=idn%3D1066967008</v>
      </c>
      <c r="E21" s="83" t="s">
        <v>149</v>
      </c>
      <c r="F21" s="82"/>
      <c r="G21" s="85" t="s">
        <v>4</v>
      </c>
      <c r="H21" s="82" t="s">
        <v>52</v>
      </c>
      <c r="I21" s="85" t="s">
        <v>90</v>
      </c>
      <c r="J21" s="85" t="s">
        <v>1587</v>
      </c>
      <c r="K21" s="82" t="s">
        <v>67</v>
      </c>
      <c r="L21" s="82"/>
      <c r="M21" s="82"/>
      <c r="N21" s="82">
        <v>1</v>
      </c>
      <c r="O21" s="82"/>
      <c r="P21" s="82" t="s">
        <v>1676</v>
      </c>
      <c r="Q21" s="82" t="s">
        <v>1588</v>
      </c>
      <c r="R21" s="82"/>
      <c r="S21" s="96"/>
      <c r="T21" s="96"/>
      <c r="X21" s="94" t="s">
        <v>1722</v>
      </c>
      <c r="Y21" s="95" t="s">
        <v>1633</v>
      </c>
      <c r="Z21" s="95"/>
      <c r="AA21" s="94" t="s">
        <v>1723</v>
      </c>
      <c r="AB21" s="94"/>
      <c r="AC21" s="94"/>
      <c r="AD21" s="94"/>
      <c r="AE21" s="94"/>
      <c r="AF21" s="94"/>
      <c r="AG21" s="93" t="s">
        <v>1730</v>
      </c>
      <c r="AQ21" s="93" t="s">
        <v>1725</v>
      </c>
      <c r="AR21" s="93" t="s">
        <v>1736</v>
      </c>
      <c r="AS21" s="94"/>
      <c r="AT21" s="94"/>
      <c r="AU21" s="94">
        <v>110</v>
      </c>
      <c r="AV21" s="94"/>
      <c r="BA21" s="94" t="s">
        <v>1727</v>
      </c>
      <c r="BB21" s="108">
        <f>Schäden_Einband!X21+Schäden_Buchblock!AC21</f>
        <v>0</v>
      </c>
      <c r="BC21" s="95"/>
    </row>
    <row r="22" spans="1:62" ht="23" x14ac:dyDescent="0.25">
      <c r="A22" s="82">
        <v>21</v>
      </c>
      <c r="B22" s="83" t="s">
        <v>150</v>
      </c>
      <c r="C22" s="83">
        <v>1066965714</v>
      </c>
      <c r="D22" s="84" t="str">
        <f t="shared" si="0"/>
        <v>https://portal.dnb.de/opac.htm?method=simpleSearch&amp;cqlMode=true&amp;query=idn%3D1066965714</v>
      </c>
      <c r="E22" s="83" t="s">
        <v>151</v>
      </c>
      <c r="F22" s="82"/>
      <c r="G22" s="85" t="s">
        <v>4</v>
      </c>
      <c r="H22" s="82" t="s">
        <v>52</v>
      </c>
      <c r="I22" s="85" t="s">
        <v>90</v>
      </c>
      <c r="J22" s="85" t="s">
        <v>1586</v>
      </c>
      <c r="K22" s="82" t="s">
        <v>67</v>
      </c>
      <c r="L22" s="82"/>
      <c r="M22" s="82" t="s">
        <v>101</v>
      </c>
      <c r="N22" s="82">
        <v>0</v>
      </c>
      <c r="O22" s="82"/>
      <c r="P22" s="82"/>
      <c r="Q22" s="82"/>
      <c r="R22" s="82"/>
      <c r="S22" s="96"/>
      <c r="T22" s="96"/>
      <c r="X22" s="94" t="s">
        <v>1728</v>
      </c>
      <c r="Y22" s="95" t="s">
        <v>1633</v>
      </c>
      <c r="Z22" s="95"/>
      <c r="AA22" s="94" t="s">
        <v>1723</v>
      </c>
      <c r="AB22" s="94"/>
      <c r="AC22" s="94"/>
      <c r="AD22" s="94"/>
      <c r="AE22" s="94"/>
      <c r="AF22" s="94"/>
      <c r="AG22" s="93" t="s">
        <v>1724</v>
      </c>
      <c r="AQ22" s="93" t="s">
        <v>1729</v>
      </c>
      <c r="AR22" s="93" t="s">
        <v>1633</v>
      </c>
      <c r="AS22" s="94"/>
      <c r="AT22" s="94"/>
      <c r="AU22" s="94">
        <v>110</v>
      </c>
      <c r="AV22" s="94"/>
      <c r="BA22" s="94" t="s">
        <v>1727</v>
      </c>
      <c r="BB22" s="108">
        <f>Schäden_Einband!X22+Schäden_Buchblock!AC22</f>
        <v>0</v>
      </c>
      <c r="BC22" s="95"/>
    </row>
    <row r="23" spans="1:62" ht="57.5" x14ac:dyDescent="0.25">
      <c r="A23" s="82">
        <v>22</v>
      </c>
      <c r="B23" s="83" t="s">
        <v>152</v>
      </c>
      <c r="C23" s="83">
        <v>1084605600</v>
      </c>
      <c r="D23" s="84" t="str">
        <f>HYPERLINK(CONCATENATE("https://portal.dnb.de/opac.htm?method=simpleSearch&amp;cqlMode=true&amp;query=idn%3D",C23))</f>
        <v>https://portal.dnb.de/opac.htm?method=simpleSearch&amp;cqlMode=true&amp;query=idn%3D1084605600</v>
      </c>
      <c r="E23" s="83" t="s">
        <v>153</v>
      </c>
      <c r="F23" s="82" t="s">
        <v>89</v>
      </c>
      <c r="G23" s="85" t="s">
        <v>1600</v>
      </c>
      <c r="H23" s="82" t="s">
        <v>51</v>
      </c>
      <c r="I23" s="85" t="s">
        <v>55</v>
      </c>
      <c r="J23" s="85" t="s">
        <v>81</v>
      </c>
      <c r="K23" s="82"/>
      <c r="L23" s="82" t="s">
        <v>35</v>
      </c>
      <c r="M23" s="82" t="s">
        <v>37</v>
      </c>
      <c r="N23" s="82">
        <v>1</v>
      </c>
      <c r="O23" s="82"/>
      <c r="P23" s="82"/>
      <c r="Q23" s="82"/>
      <c r="R23" s="82"/>
      <c r="S23" s="96"/>
      <c r="T23" s="96"/>
      <c r="X23" s="94" t="s">
        <v>1730</v>
      </c>
      <c r="Y23" s="95" t="s">
        <v>1633</v>
      </c>
      <c r="Z23" s="95"/>
      <c r="AA23" s="94" t="s">
        <v>1737</v>
      </c>
      <c r="AB23" s="94"/>
      <c r="AC23" s="94"/>
      <c r="AD23" s="94"/>
      <c r="AE23" s="94"/>
      <c r="AF23" s="94"/>
      <c r="AG23" s="93" t="s">
        <v>1724</v>
      </c>
      <c r="AS23" s="94"/>
      <c r="AT23" s="94"/>
      <c r="AU23" s="94">
        <v>180</v>
      </c>
      <c r="AV23" s="94"/>
      <c r="BA23" s="94" t="s">
        <v>1727</v>
      </c>
      <c r="BB23" s="108">
        <f>Schäden_Einband!X23+Schäden_Buchblock!AC23</f>
        <v>0</v>
      </c>
      <c r="BC23" s="95"/>
      <c r="BD23" s="93" t="s">
        <v>1887</v>
      </c>
    </row>
    <row r="24" spans="1:62" x14ac:dyDescent="0.25">
      <c r="A24" s="82">
        <v>23</v>
      </c>
      <c r="B24" s="83" t="s">
        <v>154</v>
      </c>
      <c r="C24" s="83">
        <v>1066965714</v>
      </c>
      <c r="D24" s="84" t="str">
        <f t="shared" si="0"/>
        <v>https://portal.dnb.de/opac.htm?method=simpleSearch&amp;cqlMode=true&amp;query=idn%3D1066965714</v>
      </c>
      <c r="E24" s="83" t="s">
        <v>155</v>
      </c>
      <c r="F24" s="82"/>
      <c r="G24" s="85"/>
      <c r="H24" s="82"/>
      <c r="I24" s="85"/>
      <c r="J24" s="85"/>
      <c r="K24" s="82"/>
      <c r="L24" s="82"/>
      <c r="M24" s="82"/>
      <c r="N24" s="82"/>
      <c r="O24" s="82"/>
      <c r="P24" s="82"/>
      <c r="Q24" s="82"/>
      <c r="R24" s="82"/>
      <c r="S24" s="96"/>
      <c r="T24" s="96"/>
      <c r="X24" s="94"/>
      <c r="Y24" s="95"/>
      <c r="Z24" s="95"/>
      <c r="AA24" s="94"/>
      <c r="AB24" s="94"/>
      <c r="AC24" s="94"/>
      <c r="AD24" s="94"/>
      <c r="AE24" s="94"/>
      <c r="AF24" s="94"/>
      <c r="AS24" s="94"/>
      <c r="AT24" s="94"/>
      <c r="AU24" s="94"/>
      <c r="AV24" s="94"/>
      <c r="BB24" s="108">
        <f>Schäden_Einband!X24+Schäden_Buchblock!AC24</f>
        <v>0</v>
      </c>
      <c r="BC24" s="95"/>
    </row>
    <row r="25" spans="1:62" ht="46" x14ac:dyDescent="0.25">
      <c r="A25" s="82">
        <v>24</v>
      </c>
      <c r="B25" s="83" t="s">
        <v>156</v>
      </c>
      <c r="C25" s="83">
        <v>1066968764</v>
      </c>
      <c r="D25" s="84" t="str">
        <f t="shared" si="0"/>
        <v>https://portal.dnb.de/opac.htm?method=simpleSearch&amp;cqlMode=true&amp;query=idn%3D1066968764</v>
      </c>
      <c r="E25" s="83" t="s">
        <v>157</v>
      </c>
      <c r="F25" s="82" t="s">
        <v>89</v>
      </c>
      <c r="G25" s="85" t="s">
        <v>4</v>
      </c>
      <c r="H25" s="82" t="s">
        <v>53</v>
      </c>
      <c r="I25" s="85" t="s">
        <v>90</v>
      </c>
      <c r="J25" s="85" t="s">
        <v>1586</v>
      </c>
      <c r="K25" s="82" t="s">
        <v>67</v>
      </c>
      <c r="L25" s="82"/>
      <c r="M25" s="82"/>
      <c r="N25" s="82">
        <v>0</v>
      </c>
      <c r="O25" s="82"/>
      <c r="P25" s="82"/>
      <c r="Q25" s="82"/>
      <c r="R25" s="82"/>
      <c r="S25" s="96"/>
      <c r="T25" s="96"/>
      <c r="X25" s="94" t="s">
        <v>1722</v>
      </c>
      <c r="Y25" s="95" t="s">
        <v>1633</v>
      </c>
      <c r="Z25" s="95"/>
      <c r="AA25" s="94" t="s">
        <v>1723</v>
      </c>
      <c r="AB25" s="94"/>
      <c r="AC25" s="94"/>
      <c r="AD25" s="94"/>
      <c r="AE25" s="94"/>
      <c r="AF25" s="94"/>
      <c r="AG25" s="93" t="s">
        <v>1724</v>
      </c>
      <c r="AL25" s="93" t="s">
        <v>1633</v>
      </c>
      <c r="AQ25" s="93" t="s">
        <v>1725</v>
      </c>
      <c r="AR25" s="93" t="s">
        <v>1633</v>
      </c>
      <c r="AS25" s="94"/>
      <c r="AT25" s="94"/>
      <c r="AU25" s="94">
        <v>110</v>
      </c>
      <c r="AV25" s="94" t="s">
        <v>1734</v>
      </c>
      <c r="BA25" s="94" t="s">
        <v>1727</v>
      </c>
      <c r="BB25" s="108">
        <f>Schäden_Einband!X25+Schäden_Buchblock!AC25</f>
        <v>0</v>
      </c>
      <c r="BC25" s="95"/>
    </row>
    <row r="26" spans="1:62" ht="46" x14ac:dyDescent="0.25">
      <c r="A26" s="82">
        <v>25</v>
      </c>
      <c r="B26" s="83" t="s">
        <v>158</v>
      </c>
      <c r="C26" s="83">
        <v>1066971412</v>
      </c>
      <c r="D26" s="84" t="str">
        <f>HYPERLINK(CONCATENATE("https://portal.dnb.de/opac.htm?method=simpleSearch&amp;cqlMode=true&amp;query=idn%3D",C26))</f>
        <v>https://portal.dnb.de/opac.htm?method=simpleSearch&amp;cqlMode=true&amp;query=idn%3D1066971412</v>
      </c>
      <c r="E26" s="83" t="s">
        <v>159</v>
      </c>
      <c r="F26" s="82" t="s">
        <v>89</v>
      </c>
      <c r="G26" s="85" t="s">
        <v>1585</v>
      </c>
      <c r="H26" s="82" t="s">
        <v>50</v>
      </c>
      <c r="I26" s="85" t="s">
        <v>55</v>
      </c>
      <c r="J26" s="85" t="s">
        <v>1583</v>
      </c>
      <c r="K26" s="82" t="s">
        <v>67</v>
      </c>
      <c r="L26" s="82" t="s">
        <v>35</v>
      </c>
      <c r="M26" s="82" t="s">
        <v>37</v>
      </c>
      <c r="N26" s="82">
        <v>0</v>
      </c>
      <c r="O26" s="82"/>
      <c r="P26" s="82"/>
      <c r="Q26" s="82"/>
      <c r="R26" s="82"/>
      <c r="S26" s="96"/>
      <c r="T26" s="96"/>
      <c r="X26" s="94" t="s">
        <v>1722</v>
      </c>
      <c r="Y26" s="95" t="s">
        <v>1633</v>
      </c>
      <c r="Z26" s="95"/>
      <c r="AA26" s="94" t="s">
        <v>1738</v>
      </c>
      <c r="AB26" s="94"/>
      <c r="AC26" s="94"/>
      <c r="AD26" s="94"/>
      <c r="AE26" s="94"/>
      <c r="AF26" s="94"/>
      <c r="AG26" s="93" t="s">
        <v>1724</v>
      </c>
      <c r="AQ26" s="93" t="s">
        <v>1729</v>
      </c>
      <c r="AR26" s="93" t="s">
        <v>1633</v>
      </c>
      <c r="AS26" s="94"/>
      <c r="AT26" s="94"/>
      <c r="AU26" s="94">
        <v>110</v>
      </c>
      <c r="AV26" s="94"/>
      <c r="BA26" s="94" t="s">
        <v>1727</v>
      </c>
      <c r="BB26" s="108">
        <f>Schäden_Einband!X26+Schäden_Buchblock!AC26</f>
        <v>0</v>
      </c>
      <c r="BC26" s="95"/>
      <c r="BD26" s="93" t="s">
        <v>1887</v>
      </c>
    </row>
    <row r="27" spans="1:62" x14ac:dyDescent="0.25">
      <c r="A27" s="82">
        <v>26</v>
      </c>
      <c r="B27" s="83" t="s">
        <v>160</v>
      </c>
      <c r="C27" s="83">
        <v>1066968764</v>
      </c>
      <c r="D27" s="84" t="str">
        <f t="shared" si="0"/>
        <v>https://portal.dnb.de/opac.htm?method=simpleSearch&amp;cqlMode=true&amp;query=idn%3D1066968764</v>
      </c>
      <c r="E27" s="83" t="s">
        <v>161</v>
      </c>
      <c r="F27" s="82"/>
      <c r="G27" s="85"/>
      <c r="H27" s="82"/>
      <c r="I27" s="85"/>
      <c r="J27" s="85"/>
      <c r="K27" s="82"/>
      <c r="L27" s="82"/>
      <c r="M27" s="82"/>
      <c r="N27" s="82"/>
      <c r="O27" s="82"/>
      <c r="P27" s="82"/>
      <c r="Q27" s="82"/>
      <c r="R27" s="82"/>
      <c r="S27" s="96"/>
      <c r="T27" s="96"/>
      <c r="X27" s="94"/>
      <c r="Y27" s="95"/>
      <c r="Z27" s="95"/>
      <c r="AA27" s="94"/>
      <c r="AB27" s="94"/>
      <c r="AC27" s="94"/>
      <c r="AD27" s="94"/>
      <c r="AE27" s="94"/>
      <c r="AF27" s="94"/>
      <c r="AS27" s="94"/>
      <c r="AT27" s="94"/>
      <c r="AU27" s="94"/>
      <c r="AV27" s="94"/>
      <c r="BB27" s="108">
        <f>Schäden_Einband!X27+Schäden_Buchblock!AC27</f>
        <v>0</v>
      </c>
      <c r="BC27" s="95"/>
    </row>
    <row r="28" spans="1:62" ht="23" x14ac:dyDescent="0.25">
      <c r="A28" s="82">
        <v>27</v>
      </c>
      <c r="B28" s="83" t="s">
        <v>162</v>
      </c>
      <c r="C28" s="83">
        <v>1066969086</v>
      </c>
      <c r="D28" s="84" t="str">
        <f t="shared" si="0"/>
        <v>https://portal.dnb.de/opac.htm?method=simpleSearch&amp;cqlMode=true&amp;query=idn%3D1066969086</v>
      </c>
      <c r="E28" s="83" t="s">
        <v>163</v>
      </c>
      <c r="F28" s="82" t="s">
        <v>89</v>
      </c>
      <c r="G28" s="85" t="s">
        <v>4</v>
      </c>
      <c r="H28" s="82" t="s">
        <v>51</v>
      </c>
      <c r="I28" s="85" t="s">
        <v>90</v>
      </c>
      <c r="J28" s="85" t="s">
        <v>1587</v>
      </c>
      <c r="K28" s="82" t="s">
        <v>67</v>
      </c>
      <c r="L28" s="82" t="s">
        <v>35</v>
      </c>
      <c r="M28" s="82" t="s">
        <v>37</v>
      </c>
      <c r="N28" s="82">
        <v>0</v>
      </c>
      <c r="O28" s="82"/>
      <c r="P28" s="82"/>
      <c r="Q28" s="82"/>
      <c r="R28" s="82"/>
      <c r="S28" s="96"/>
      <c r="T28" s="96"/>
      <c r="X28" s="94" t="s">
        <v>1722</v>
      </c>
      <c r="Y28" s="95" t="s">
        <v>1633</v>
      </c>
      <c r="Z28" s="95"/>
      <c r="AA28" s="94" t="s">
        <v>1723</v>
      </c>
      <c r="AB28" s="94"/>
      <c r="AC28" s="94"/>
      <c r="AD28" s="94"/>
      <c r="AE28" s="94"/>
      <c r="AF28" s="94"/>
      <c r="AG28" s="93" t="s">
        <v>1724</v>
      </c>
      <c r="AL28" s="93" t="s">
        <v>1633</v>
      </c>
      <c r="AQ28" s="93" t="s">
        <v>1729</v>
      </c>
      <c r="AR28" s="93" t="s">
        <v>1633</v>
      </c>
      <c r="AS28" s="94"/>
      <c r="AT28" s="94"/>
      <c r="AU28" s="94">
        <v>110</v>
      </c>
      <c r="AV28" s="94"/>
      <c r="BA28" s="94" t="s">
        <v>1727</v>
      </c>
      <c r="BB28" s="108">
        <f>Schäden_Einband!X28+Schäden_Buchblock!AC28</f>
        <v>0</v>
      </c>
      <c r="BC28" s="95"/>
      <c r="BD28" s="93" t="s">
        <v>1887</v>
      </c>
    </row>
    <row r="29" spans="1:62" ht="46" x14ac:dyDescent="0.25">
      <c r="A29" s="82">
        <v>28</v>
      </c>
      <c r="B29" s="83" t="s">
        <v>164</v>
      </c>
      <c r="C29" s="83" t="s">
        <v>165</v>
      </c>
      <c r="D29" s="84" t="str">
        <f t="shared" si="0"/>
        <v>https://portal.dnb.de/opac.htm?method=simpleSearch&amp;cqlMode=true&amp;query=idn%3D106697005X</v>
      </c>
      <c r="E29" s="83" t="s">
        <v>166</v>
      </c>
      <c r="F29" s="82" t="s">
        <v>89</v>
      </c>
      <c r="G29" s="85" t="s">
        <v>1585</v>
      </c>
      <c r="H29" s="82" t="s">
        <v>51</v>
      </c>
      <c r="I29" s="85" t="s">
        <v>90</v>
      </c>
      <c r="J29" s="85" t="s">
        <v>1583</v>
      </c>
      <c r="K29" s="82" t="s">
        <v>67</v>
      </c>
      <c r="L29" s="82" t="s">
        <v>35</v>
      </c>
      <c r="M29" s="82" t="s">
        <v>37</v>
      </c>
      <c r="N29" s="82">
        <v>0</v>
      </c>
      <c r="O29" s="82"/>
      <c r="P29" s="82" t="s">
        <v>1599</v>
      </c>
      <c r="Q29" s="82"/>
      <c r="R29" s="82"/>
      <c r="S29" s="96"/>
      <c r="T29" s="96"/>
      <c r="X29" s="94" t="s">
        <v>1722</v>
      </c>
      <c r="Y29" s="95"/>
      <c r="Z29" s="95" t="s">
        <v>1633</v>
      </c>
      <c r="AA29" s="94" t="s">
        <v>1738</v>
      </c>
      <c r="AB29" s="94"/>
      <c r="AC29" s="94"/>
      <c r="AD29" s="94"/>
      <c r="AE29" s="94"/>
      <c r="AF29" s="94"/>
      <c r="AG29" s="93" t="s">
        <v>1724</v>
      </c>
      <c r="AQ29" s="93" t="s">
        <v>1729</v>
      </c>
      <c r="AR29" s="93" t="s">
        <v>1633</v>
      </c>
      <c r="AS29" s="94"/>
      <c r="AT29" s="94"/>
      <c r="AU29" s="94">
        <v>110</v>
      </c>
      <c r="AV29" s="94"/>
      <c r="BA29" s="94" t="s">
        <v>1727</v>
      </c>
      <c r="BB29" s="108">
        <f>Schäden_Einband!X29+Schäden_Buchblock!AC29</f>
        <v>0</v>
      </c>
      <c r="BC29" s="95"/>
      <c r="BD29" s="93" t="s">
        <v>1886</v>
      </c>
      <c r="BJ29" s="81" t="s">
        <v>1740</v>
      </c>
    </row>
    <row r="30" spans="1:62" ht="46" x14ac:dyDescent="0.25">
      <c r="A30" s="82">
        <v>29</v>
      </c>
      <c r="B30" s="83" t="s">
        <v>167</v>
      </c>
      <c r="C30" s="83">
        <v>1066967652</v>
      </c>
      <c r="D30" s="84" t="str">
        <f t="shared" si="0"/>
        <v>https://portal.dnb.de/opac.htm?method=simpleSearch&amp;cqlMode=true&amp;query=idn%3D1066967652</v>
      </c>
      <c r="E30" s="83" t="s">
        <v>168</v>
      </c>
      <c r="F30" s="82"/>
      <c r="G30" s="85" t="s">
        <v>1584</v>
      </c>
      <c r="H30" s="86" t="s">
        <v>53</v>
      </c>
      <c r="I30" s="85" t="s">
        <v>90</v>
      </c>
      <c r="J30" s="85" t="s">
        <v>1586</v>
      </c>
      <c r="K30" s="82" t="s">
        <v>67</v>
      </c>
      <c r="L30" s="82"/>
      <c r="M30" s="82"/>
      <c r="N30" s="82">
        <v>3</v>
      </c>
      <c r="O30" s="82" t="s">
        <v>8</v>
      </c>
      <c r="Q30" s="85" t="s">
        <v>1697</v>
      </c>
      <c r="R30" s="82"/>
      <c r="S30" s="96"/>
      <c r="T30" s="96"/>
      <c r="X30" s="94"/>
      <c r="Y30" s="95"/>
      <c r="Z30" s="95"/>
      <c r="AA30" s="94"/>
      <c r="AB30" s="94"/>
      <c r="AC30" s="94"/>
      <c r="AD30" s="94"/>
      <c r="AE30" s="94"/>
      <c r="AF30" s="94"/>
      <c r="AS30" s="94"/>
      <c r="AT30" s="94"/>
      <c r="AU30" s="94"/>
      <c r="AV30" s="94"/>
      <c r="BB30" s="108">
        <f>Schäden_Einband!X30+Schäden_Buchblock!AC30</f>
        <v>0</v>
      </c>
      <c r="BC30" s="95"/>
    </row>
    <row r="31" spans="1:62" ht="23" x14ac:dyDescent="0.25">
      <c r="A31" s="82">
        <v>30</v>
      </c>
      <c r="B31" s="83" t="s">
        <v>169</v>
      </c>
      <c r="C31" s="83">
        <v>1066966281</v>
      </c>
      <c r="D31" s="84" t="str">
        <f t="shared" si="0"/>
        <v>https://portal.dnb.de/opac.htm?method=simpleSearch&amp;cqlMode=true&amp;query=idn%3D1066966281</v>
      </c>
      <c r="E31" s="83" t="s">
        <v>170</v>
      </c>
      <c r="F31" s="82" t="s">
        <v>89</v>
      </c>
      <c r="G31" s="85" t="s">
        <v>4</v>
      </c>
      <c r="H31" s="82" t="s">
        <v>52</v>
      </c>
      <c r="I31" s="85" t="s">
        <v>90</v>
      </c>
      <c r="J31" s="85" t="s">
        <v>1583</v>
      </c>
      <c r="K31" s="82" t="s">
        <v>67</v>
      </c>
      <c r="L31" s="82"/>
      <c r="M31" s="82"/>
      <c r="N31" s="82">
        <v>0</v>
      </c>
      <c r="O31" s="82"/>
      <c r="P31" s="82"/>
      <c r="Q31" s="82"/>
      <c r="R31" s="82"/>
      <c r="S31" s="96"/>
      <c r="T31" s="96"/>
      <c r="X31" s="94" t="s">
        <v>1722</v>
      </c>
      <c r="Y31" s="95" t="s">
        <v>1633</v>
      </c>
      <c r="Z31" s="95"/>
      <c r="AA31" s="94" t="s">
        <v>1723</v>
      </c>
      <c r="AB31" s="94"/>
      <c r="AC31" s="94"/>
      <c r="AD31" s="94"/>
      <c r="AE31" s="94"/>
      <c r="AF31" s="94"/>
      <c r="AG31" s="93" t="s">
        <v>1724</v>
      </c>
      <c r="AQ31" s="93" t="s">
        <v>1729</v>
      </c>
      <c r="AR31" s="93" t="s">
        <v>1633</v>
      </c>
      <c r="AS31" s="94"/>
      <c r="AT31" s="94"/>
      <c r="AU31" s="94">
        <v>110</v>
      </c>
      <c r="AV31" s="94"/>
      <c r="BA31" s="94" t="s">
        <v>1727</v>
      </c>
      <c r="BB31" s="108">
        <f>Schäden_Einband!X31+Schäden_Buchblock!AC31</f>
        <v>0</v>
      </c>
      <c r="BC31" s="95"/>
    </row>
    <row r="32" spans="1:62" ht="46" x14ac:dyDescent="0.25">
      <c r="A32" s="82">
        <v>31</v>
      </c>
      <c r="B32" s="83" t="s">
        <v>171</v>
      </c>
      <c r="C32" s="83">
        <v>1066967016</v>
      </c>
      <c r="D32" s="84" t="str">
        <f t="shared" si="0"/>
        <v>https://portal.dnb.de/opac.htm?method=simpleSearch&amp;cqlMode=true&amp;query=idn%3D1066967016</v>
      </c>
      <c r="E32" s="83" t="s">
        <v>172</v>
      </c>
      <c r="F32" s="82" t="s">
        <v>89</v>
      </c>
      <c r="G32" s="85" t="s">
        <v>1585</v>
      </c>
      <c r="H32" s="82" t="s">
        <v>52</v>
      </c>
      <c r="I32" s="85" t="s">
        <v>90</v>
      </c>
      <c r="J32" s="85" t="s">
        <v>1583</v>
      </c>
      <c r="K32" s="82" t="s">
        <v>67</v>
      </c>
      <c r="L32" s="82"/>
      <c r="M32" s="82"/>
      <c r="N32" s="82">
        <v>0</v>
      </c>
      <c r="O32" s="82"/>
      <c r="P32" s="82"/>
      <c r="Q32" s="82"/>
      <c r="R32" s="82"/>
      <c r="S32" s="96"/>
      <c r="T32" s="96"/>
      <c r="X32" s="94" t="s">
        <v>1722</v>
      </c>
      <c r="Y32" s="95" t="s">
        <v>1633</v>
      </c>
      <c r="Z32" s="95"/>
      <c r="AA32" s="94" t="s">
        <v>1723</v>
      </c>
      <c r="AB32" s="94"/>
      <c r="AC32" s="94"/>
      <c r="AD32" s="94"/>
      <c r="AE32" s="94"/>
      <c r="AF32" s="94"/>
      <c r="AG32" s="93" t="s">
        <v>1724</v>
      </c>
      <c r="AL32" s="93" t="s">
        <v>1633</v>
      </c>
      <c r="AQ32" s="93" t="s">
        <v>1729</v>
      </c>
      <c r="AR32" s="93" t="s">
        <v>1736</v>
      </c>
      <c r="AS32" s="94">
        <v>0</v>
      </c>
      <c r="AT32" s="94"/>
      <c r="AU32" s="94">
        <v>110</v>
      </c>
      <c r="AV32" s="94"/>
      <c r="BA32" s="94" t="s">
        <v>1733</v>
      </c>
      <c r="BB32" s="108">
        <f>Schäden_Einband!X32+Schäden_Buchblock!AC32</f>
        <v>43</v>
      </c>
      <c r="BC32" s="95"/>
    </row>
    <row r="33" spans="1:58" ht="46" x14ac:dyDescent="0.25">
      <c r="A33" s="82">
        <v>32</v>
      </c>
      <c r="B33" s="83" t="s">
        <v>173</v>
      </c>
      <c r="C33" s="83">
        <v>1066969566</v>
      </c>
      <c r="D33" s="84" t="str">
        <f t="shared" si="0"/>
        <v>https://portal.dnb.de/opac.htm?method=simpleSearch&amp;cqlMode=true&amp;query=idn%3D1066969566</v>
      </c>
      <c r="E33" s="83" t="s">
        <v>174</v>
      </c>
      <c r="F33" s="82"/>
      <c r="G33" s="85" t="s">
        <v>1584</v>
      </c>
      <c r="H33" s="82" t="s">
        <v>52</v>
      </c>
      <c r="I33" s="85" t="s">
        <v>90</v>
      </c>
      <c r="J33" s="85" t="s">
        <v>1583</v>
      </c>
      <c r="K33" s="82" t="s">
        <v>67</v>
      </c>
      <c r="L33" s="82"/>
      <c r="M33" s="82"/>
      <c r="N33" s="82">
        <v>0</v>
      </c>
      <c r="O33" s="82"/>
      <c r="P33" s="82"/>
      <c r="Q33" s="82" t="s">
        <v>1588</v>
      </c>
      <c r="R33" s="82"/>
      <c r="S33" s="96"/>
      <c r="T33" s="96"/>
      <c r="X33" s="94" t="s">
        <v>1741</v>
      </c>
      <c r="Y33" s="95" t="s">
        <v>1633</v>
      </c>
      <c r="Z33" s="95"/>
      <c r="AA33" s="94" t="s">
        <v>1723</v>
      </c>
      <c r="AB33" s="94"/>
      <c r="AC33" s="94"/>
      <c r="AD33" s="94"/>
      <c r="AE33" s="94"/>
      <c r="AF33" s="94"/>
      <c r="AG33" s="93" t="s">
        <v>1724</v>
      </c>
      <c r="AK33" s="93" t="s">
        <v>89</v>
      </c>
      <c r="AQ33" s="93" t="s">
        <v>1729</v>
      </c>
      <c r="AR33" s="93" t="s">
        <v>1633</v>
      </c>
      <c r="AS33" s="94"/>
      <c r="AT33" s="94"/>
      <c r="AU33" s="94">
        <v>110</v>
      </c>
      <c r="AV33" s="94"/>
      <c r="BA33" s="94" t="s">
        <v>1727</v>
      </c>
      <c r="BB33" s="108">
        <f>Schäden_Einband!X33+Schäden_Buchblock!AC33</f>
        <v>0</v>
      </c>
      <c r="BC33" s="95"/>
    </row>
    <row r="34" spans="1:58" x14ac:dyDescent="0.25">
      <c r="A34" s="82">
        <v>33</v>
      </c>
      <c r="B34" s="83" t="s">
        <v>175</v>
      </c>
      <c r="C34" s="83">
        <v>1066967482</v>
      </c>
      <c r="D34" s="84" t="str">
        <f t="shared" si="0"/>
        <v>https://portal.dnb.de/opac.htm?method=simpleSearch&amp;cqlMode=true&amp;query=idn%3D1066967482</v>
      </c>
      <c r="E34" s="83" t="s">
        <v>176</v>
      </c>
      <c r="F34" s="82"/>
      <c r="G34" s="85"/>
      <c r="H34" s="82"/>
      <c r="I34" s="85"/>
      <c r="J34" s="85"/>
      <c r="K34" s="82"/>
      <c r="L34" s="82"/>
      <c r="M34" s="82"/>
      <c r="N34" s="82"/>
      <c r="O34" s="82"/>
      <c r="P34" s="82"/>
      <c r="Q34" s="82"/>
      <c r="R34" s="82"/>
      <c r="S34" s="96"/>
      <c r="T34" s="96"/>
      <c r="X34" s="94"/>
      <c r="Y34" s="95"/>
      <c r="Z34" s="95"/>
      <c r="AA34" s="94"/>
      <c r="AB34" s="94"/>
      <c r="AC34" s="94"/>
      <c r="AD34" s="94"/>
      <c r="AE34" s="94"/>
      <c r="AF34" s="94"/>
      <c r="AS34" s="94"/>
      <c r="AT34" s="94"/>
      <c r="AU34" s="94"/>
      <c r="AV34" s="94"/>
      <c r="BB34" s="108">
        <f>Schäden_Einband!X34+Schäden_Buchblock!AC34</f>
        <v>0</v>
      </c>
      <c r="BC34" s="95"/>
    </row>
    <row r="35" spans="1:58" ht="46" x14ac:dyDescent="0.25">
      <c r="A35" s="82">
        <v>34</v>
      </c>
      <c r="B35" s="83" t="s">
        <v>177</v>
      </c>
      <c r="C35" s="83">
        <v>1066969574</v>
      </c>
      <c r="D35" s="84" t="str">
        <f t="shared" si="0"/>
        <v>https://portal.dnb.de/opac.htm?method=simpleSearch&amp;cqlMode=true&amp;query=idn%3D1066969574</v>
      </c>
      <c r="E35" s="83" t="s">
        <v>178</v>
      </c>
      <c r="F35" s="82" t="s">
        <v>89</v>
      </c>
      <c r="G35" s="85" t="s">
        <v>1585</v>
      </c>
      <c r="H35" s="82" t="s">
        <v>52</v>
      </c>
      <c r="I35" s="85" t="s">
        <v>90</v>
      </c>
      <c r="J35" s="85" t="s">
        <v>1589</v>
      </c>
      <c r="K35" s="82" t="s">
        <v>67</v>
      </c>
      <c r="L35" s="82"/>
      <c r="M35" s="82"/>
      <c r="N35" s="82">
        <v>3</v>
      </c>
      <c r="O35" s="82"/>
      <c r="P35" s="82"/>
      <c r="Q35" s="82"/>
      <c r="R35" s="82"/>
      <c r="S35" s="96"/>
      <c r="T35" s="96"/>
      <c r="X35" s="94" t="s">
        <v>1722</v>
      </c>
      <c r="Y35" s="95" t="s">
        <v>1633</v>
      </c>
      <c r="Z35" s="95"/>
      <c r="AA35" s="94" t="s">
        <v>1742</v>
      </c>
      <c r="AB35" s="94"/>
      <c r="AC35" s="94" t="s">
        <v>1736</v>
      </c>
      <c r="AD35" s="94"/>
      <c r="AE35" s="94"/>
      <c r="AF35" s="94"/>
      <c r="AG35" s="93" t="s">
        <v>1724</v>
      </c>
      <c r="AQ35" s="93" t="s">
        <v>1725</v>
      </c>
      <c r="AR35" s="93" t="s">
        <v>1633</v>
      </c>
      <c r="AS35" s="94"/>
      <c r="AT35" s="94"/>
      <c r="AU35" s="94">
        <v>60</v>
      </c>
      <c r="AV35" s="94"/>
      <c r="BA35" s="94" t="s">
        <v>1733</v>
      </c>
      <c r="BB35" s="108">
        <f>Schäden_Einband!X35+Schäden_Buchblock!AC35</f>
        <v>3</v>
      </c>
      <c r="BC35" s="95"/>
      <c r="BF35" s="93" t="s">
        <v>1633</v>
      </c>
    </row>
    <row r="36" spans="1:58" ht="46" x14ac:dyDescent="0.25">
      <c r="A36" s="82">
        <v>35</v>
      </c>
      <c r="B36" s="83" t="s">
        <v>179</v>
      </c>
      <c r="C36" s="83">
        <v>1066966109</v>
      </c>
      <c r="D36" s="84" t="str">
        <f>HYPERLINK(CONCATENATE("https://portal.dnb.de/opac.htm?method=simpleSearch&amp;cqlMode=true&amp;query=idn%3D",C36))</f>
        <v>https://portal.dnb.de/opac.htm?method=simpleSearch&amp;cqlMode=true&amp;query=idn%3D1066966109</v>
      </c>
      <c r="E36" s="83" t="s">
        <v>180</v>
      </c>
      <c r="F36" s="82" t="s">
        <v>89</v>
      </c>
      <c r="G36" s="85" t="s">
        <v>1585</v>
      </c>
      <c r="H36" s="82" t="s">
        <v>50</v>
      </c>
      <c r="I36" s="85" t="s">
        <v>90</v>
      </c>
      <c r="J36" s="85" t="s">
        <v>1586</v>
      </c>
      <c r="K36" s="82" t="s">
        <v>67</v>
      </c>
      <c r="L36" s="82" t="s">
        <v>35</v>
      </c>
      <c r="M36" s="82" t="s">
        <v>37</v>
      </c>
      <c r="N36" s="82">
        <v>1</v>
      </c>
      <c r="O36" s="82"/>
      <c r="P36" s="82"/>
      <c r="Q36" s="82"/>
      <c r="R36" s="82"/>
      <c r="S36" s="96"/>
      <c r="T36" s="96"/>
      <c r="X36" s="94" t="s">
        <v>1722</v>
      </c>
      <c r="Y36" s="95" t="s">
        <v>1633</v>
      </c>
      <c r="Z36" s="95"/>
      <c r="AA36" s="94" t="s">
        <v>1742</v>
      </c>
      <c r="AB36" s="94"/>
      <c r="AC36" s="94"/>
      <c r="AD36" s="94"/>
      <c r="AE36" s="94"/>
      <c r="AF36" s="94"/>
      <c r="AG36" s="93" t="s">
        <v>1724</v>
      </c>
      <c r="AQ36" s="93" t="s">
        <v>1729</v>
      </c>
      <c r="AR36" s="93" t="s">
        <v>1633</v>
      </c>
      <c r="AS36" s="94"/>
      <c r="AT36" s="94"/>
      <c r="AU36" s="94">
        <v>110</v>
      </c>
      <c r="AV36" s="94"/>
      <c r="BA36" s="94" t="s">
        <v>1743</v>
      </c>
      <c r="BB36" s="108">
        <f>Schäden_Einband!X36+Schäden_Buchblock!AC36</f>
        <v>0.5</v>
      </c>
      <c r="BC36" s="95"/>
      <c r="BD36" s="93" t="s">
        <v>1887</v>
      </c>
    </row>
    <row r="37" spans="1:58" ht="46" x14ac:dyDescent="0.25">
      <c r="A37" s="82">
        <v>36</v>
      </c>
      <c r="B37" s="83" t="s">
        <v>181</v>
      </c>
      <c r="C37" s="83">
        <v>1066968810</v>
      </c>
      <c r="D37" s="84" t="str">
        <f t="shared" si="0"/>
        <v>https://portal.dnb.de/opac.htm?method=simpleSearch&amp;cqlMode=true&amp;query=idn%3D1066968810</v>
      </c>
      <c r="E37" s="83" t="s">
        <v>182</v>
      </c>
      <c r="F37" s="82"/>
      <c r="G37" s="85" t="s">
        <v>1584</v>
      </c>
      <c r="H37" s="82" t="s">
        <v>53</v>
      </c>
      <c r="I37" s="85" t="s">
        <v>90</v>
      </c>
      <c r="J37" s="85" t="s">
        <v>1590</v>
      </c>
      <c r="K37" s="82" t="s">
        <v>67</v>
      </c>
      <c r="L37" s="82"/>
      <c r="M37" s="82"/>
      <c r="N37" s="82">
        <v>0</v>
      </c>
      <c r="O37" s="82"/>
      <c r="P37" s="82"/>
      <c r="Q37" s="82" t="s">
        <v>1588</v>
      </c>
      <c r="R37" s="82"/>
      <c r="S37" s="96"/>
      <c r="T37" s="96"/>
      <c r="X37" s="94" t="s">
        <v>1741</v>
      </c>
      <c r="Y37" s="95" t="s">
        <v>1633</v>
      </c>
      <c r="Z37" s="95"/>
      <c r="AA37" s="94" t="s">
        <v>1737</v>
      </c>
      <c r="AB37" s="94"/>
      <c r="AC37" s="94"/>
      <c r="AD37" s="94"/>
      <c r="AE37" s="94"/>
      <c r="AF37" s="94"/>
      <c r="AG37" s="93" t="s">
        <v>1724</v>
      </c>
      <c r="AL37" s="93" t="s">
        <v>1633</v>
      </c>
      <c r="AQ37" s="93" t="s">
        <v>1729</v>
      </c>
      <c r="AR37" s="93" t="s">
        <v>1633</v>
      </c>
      <c r="AS37" s="94"/>
      <c r="AT37" s="94"/>
      <c r="AU37" s="94">
        <v>110</v>
      </c>
      <c r="AV37" s="94"/>
      <c r="BA37" s="94" t="s">
        <v>1727</v>
      </c>
      <c r="BB37" s="108">
        <f>Schäden_Einband!X37+Schäden_Buchblock!AC37</f>
        <v>0</v>
      </c>
      <c r="BC37" s="95"/>
    </row>
    <row r="38" spans="1:58" x14ac:dyDescent="0.25">
      <c r="A38" s="82">
        <v>37</v>
      </c>
      <c r="B38" s="83" t="s">
        <v>183</v>
      </c>
      <c r="C38" s="83">
        <v>1066970181</v>
      </c>
      <c r="D38" s="84" t="str">
        <f t="shared" si="0"/>
        <v>https://portal.dnb.de/opac.htm?method=simpleSearch&amp;cqlMode=true&amp;query=idn%3D1066970181</v>
      </c>
      <c r="E38" s="83" t="s">
        <v>184</v>
      </c>
      <c r="F38" s="82"/>
      <c r="G38" s="85"/>
      <c r="H38" s="82"/>
      <c r="I38" s="85"/>
      <c r="J38" s="85"/>
      <c r="K38" s="82"/>
      <c r="L38" s="82"/>
      <c r="M38" s="82"/>
      <c r="N38" s="82"/>
      <c r="O38" s="82"/>
      <c r="P38" s="82"/>
      <c r="Q38" s="82"/>
      <c r="R38" s="82"/>
      <c r="S38" s="96"/>
      <c r="T38" s="96"/>
      <c r="X38" s="94"/>
      <c r="Y38" s="95"/>
      <c r="Z38" s="95"/>
      <c r="AA38" s="94"/>
      <c r="AB38" s="94"/>
      <c r="AC38" s="94"/>
      <c r="AD38" s="94"/>
      <c r="AE38" s="94"/>
      <c r="AF38" s="94"/>
      <c r="AS38" s="94"/>
      <c r="AT38" s="94"/>
      <c r="AU38" s="94"/>
      <c r="AV38" s="94"/>
      <c r="BB38" s="108">
        <f>Schäden_Einband!X38+Schäden_Buchblock!AC38</f>
        <v>0</v>
      </c>
      <c r="BC38" s="95"/>
    </row>
    <row r="39" spans="1:58" ht="46" x14ac:dyDescent="0.25">
      <c r="A39" s="82">
        <v>38</v>
      </c>
      <c r="B39" s="83" t="s">
        <v>185</v>
      </c>
      <c r="C39" s="83">
        <v>1066972443</v>
      </c>
      <c r="D39" s="84" t="str">
        <f>HYPERLINK(CONCATENATE("https://portal.dnb.de/opac.htm?method=simpleSearch&amp;cqlMode=true&amp;query=idn%3D",C39))</f>
        <v>https://portal.dnb.de/opac.htm?method=simpleSearch&amp;cqlMode=true&amp;query=idn%3D1066972443</v>
      </c>
      <c r="E39" s="83" t="s">
        <v>186</v>
      </c>
      <c r="F39" s="82" t="s">
        <v>89</v>
      </c>
      <c r="G39" s="85" t="s">
        <v>1585</v>
      </c>
      <c r="H39" s="82" t="s">
        <v>50</v>
      </c>
      <c r="I39" s="85" t="s">
        <v>55</v>
      </c>
      <c r="J39" s="85" t="s">
        <v>1583</v>
      </c>
      <c r="K39" s="82" t="s">
        <v>67</v>
      </c>
      <c r="L39" s="82" t="s">
        <v>35</v>
      </c>
      <c r="M39" s="82" t="s">
        <v>37</v>
      </c>
      <c r="N39" s="82">
        <v>0</v>
      </c>
      <c r="O39" s="82"/>
      <c r="P39" s="82"/>
      <c r="Q39" s="82"/>
      <c r="R39" s="82"/>
      <c r="S39" s="96"/>
      <c r="T39" s="96"/>
      <c r="X39" s="94" t="s">
        <v>1722</v>
      </c>
      <c r="Y39" s="95" t="s">
        <v>1633</v>
      </c>
      <c r="Z39" s="95"/>
      <c r="AA39" s="94" t="s">
        <v>1738</v>
      </c>
      <c r="AB39" s="94"/>
      <c r="AC39" s="94"/>
      <c r="AD39" s="94"/>
      <c r="AE39" s="94"/>
      <c r="AF39" s="94"/>
      <c r="AG39" s="93" t="s">
        <v>1724</v>
      </c>
      <c r="AQ39" s="93" t="s">
        <v>1729</v>
      </c>
      <c r="AR39" s="93" t="s">
        <v>1633</v>
      </c>
      <c r="AS39" s="94"/>
      <c r="AT39" s="94"/>
      <c r="AU39" s="94">
        <v>110</v>
      </c>
      <c r="AV39" s="94"/>
      <c r="BA39" s="94" t="s">
        <v>1727</v>
      </c>
      <c r="BB39" s="108">
        <f>Schäden_Einband!X39+Schäden_Buchblock!AC39</f>
        <v>0</v>
      </c>
      <c r="BC39" s="95"/>
      <c r="BD39" s="93" t="s">
        <v>1887</v>
      </c>
    </row>
    <row r="40" spans="1:58" ht="46" x14ac:dyDescent="0.25">
      <c r="A40" s="82">
        <v>39</v>
      </c>
      <c r="B40" s="64" t="s">
        <v>187</v>
      </c>
      <c r="C40" s="64">
        <v>1066970378</v>
      </c>
      <c r="D40" s="84" t="str">
        <f t="shared" si="0"/>
        <v>https://portal.dnb.de/opac.htm?method=simpleSearch&amp;cqlMode=true&amp;query=idn%3D1066970378</v>
      </c>
      <c r="E40" s="64" t="s">
        <v>188</v>
      </c>
      <c r="F40" s="82" t="s">
        <v>89</v>
      </c>
      <c r="G40" s="85" t="s">
        <v>1585</v>
      </c>
      <c r="H40" s="82" t="s">
        <v>51</v>
      </c>
      <c r="I40" s="85" t="s">
        <v>90</v>
      </c>
      <c r="J40" s="85" t="s">
        <v>1587</v>
      </c>
      <c r="K40" s="82" t="s">
        <v>67</v>
      </c>
      <c r="L40" s="82" t="s">
        <v>35</v>
      </c>
      <c r="M40" s="82" t="s">
        <v>37</v>
      </c>
      <c r="N40" s="82">
        <v>2</v>
      </c>
      <c r="O40" s="82"/>
      <c r="P40" s="82"/>
      <c r="Q40" s="82"/>
      <c r="R40" s="82"/>
      <c r="S40" s="97"/>
      <c r="T40" s="97"/>
      <c r="X40" s="94" t="s">
        <v>1722</v>
      </c>
      <c r="Y40" s="95" t="s">
        <v>1633</v>
      </c>
      <c r="Z40" s="95"/>
      <c r="AA40" s="94" t="s">
        <v>1723</v>
      </c>
      <c r="AB40" s="94"/>
      <c r="AC40" s="94"/>
      <c r="AD40" s="94"/>
      <c r="AE40" s="94"/>
      <c r="AF40" s="94"/>
      <c r="AG40" s="93" t="s">
        <v>1724</v>
      </c>
      <c r="AQ40" s="93" t="s">
        <v>1729</v>
      </c>
      <c r="AR40" s="93" t="s">
        <v>1633</v>
      </c>
      <c r="AS40" s="94"/>
      <c r="AT40" s="94"/>
      <c r="AU40" s="94" t="s">
        <v>1731</v>
      </c>
      <c r="AV40" s="94"/>
      <c r="BA40" s="94" t="s">
        <v>1733</v>
      </c>
      <c r="BB40" s="108">
        <f>Schäden_Einband!X40+Schäden_Buchblock!AC40</f>
        <v>2</v>
      </c>
      <c r="BC40" s="95"/>
      <c r="BD40" s="93" t="s">
        <v>1887</v>
      </c>
    </row>
    <row r="41" spans="1:58" x14ac:dyDescent="0.25">
      <c r="A41" s="82">
        <v>40</v>
      </c>
      <c r="B41" s="64" t="s">
        <v>189</v>
      </c>
      <c r="C41" s="64" t="s">
        <v>190</v>
      </c>
      <c r="D41" s="84" t="str">
        <f t="shared" si="0"/>
        <v>https://portal.dnb.de/opac.htm?method=simpleSearch&amp;cqlMode=true&amp;query=idn%3D106696923X</v>
      </c>
      <c r="E41" s="64" t="s">
        <v>191</v>
      </c>
      <c r="F41" s="82"/>
      <c r="G41" s="85"/>
      <c r="H41" s="82"/>
      <c r="I41" s="85"/>
      <c r="J41" s="85"/>
      <c r="K41" s="82"/>
      <c r="L41" s="82"/>
      <c r="M41" s="82"/>
      <c r="N41" s="82"/>
      <c r="O41" s="82"/>
      <c r="P41" s="82"/>
      <c r="Q41" s="82"/>
      <c r="R41" s="82"/>
      <c r="S41" s="97"/>
      <c r="T41" s="97"/>
      <c r="X41" s="94"/>
      <c r="Y41" s="95"/>
      <c r="Z41" s="95"/>
      <c r="AA41" s="94"/>
      <c r="AB41" s="94"/>
      <c r="AC41" s="94"/>
      <c r="AD41" s="94"/>
      <c r="AE41" s="94"/>
      <c r="AF41" s="94"/>
      <c r="AS41" s="94"/>
      <c r="AT41" s="94"/>
      <c r="AU41" s="94"/>
      <c r="AV41" s="94"/>
      <c r="BB41" s="108">
        <f>Schäden_Einband!X41+Schäden_Buchblock!AC41</f>
        <v>0</v>
      </c>
      <c r="BC41" s="95"/>
    </row>
    <row r="42" spans="1:58" ht="46" x14ac:dyDescent="0.25">
      <c r="A42" s="82">
        <v>41</v>
      </c>
      <c r="B42" s="64" t="s">
        <v>192</v>
      </c>
      <c r="C42" s="64">
        <v>1066972877</v>
      </c>
      <c r="D42" s="84" t="str">
        <f>HYPERLINK(CONCATENATE("https://portal.dnb.de/opac.htm?method=simpleSearch&amp;cqlMode=true&amp;query=idn%3D",C42))</f>
        <v>https://portal.dnb.de/opac.htm?method=simpleSearch&amp;cqlMode=true&amp;query=idn%3D1066972877</v>
      </c>
      <c r="E42" s="64" t="s">
        <v>193</v>
      </c>
      <c r="F42" s="82" t="s">
        <v>89</v>
      </c>
      <c r="G42" s="85" t="s">
        <v>1584</v>
      </c>
      <c r="H42" s="82" t="s">
        <v>50</v>
      </c>
      <c r="I42" s="85" t="s">
        <v>55</v>
      </c>
      <c r="J42" s="85" t="s">
        <v>81</v>
      </c>
      <c r="K42" s="82"/>
      <c r="L42" s="82" t="s">
        <v>35</v>
      </c>
      <c r="M42" s="82" t="s">
        <v>37</v>
      </c>
      <c r="N42" s="82">
        <v>2</v>
      </c>
      <c r="O42" s="82"/>
      <c r="P42" s="82"/>
      <c r="Q42" s="82"/>
      <c r="R42" s="82"/>
      <c r="S42" s="97"/>
      <c r="T42" s="97"/>
      <c r="X42" s="94" t="s">
        <v>1728</v>
      </c>
      <c r="Y42" s="95" t="s">
        <v>1633</v>
      </c>
      <c r="Z42" s="95"/>
      <c r="AA42" s="94" t="s">
        <v>1737</v>
      </c>
      <c r="AB42" s="94"/>
      <c r="AC42" s="94"/>
      <c r="AD42" s="94"/>
      <c r="AE42" s="94"/>
      <c r="AF42" s="94"/>
      <c r="AG42" s="93" t="s">
        <v>1724</v>
      </c>
      <c r="AS42" s="94"/>
      <c r="AT42" s="94"/>
      <c r="AU42" s="94">
        <v>110</v>
      </c>
      <c r="AV42" s="94"/>
      <c r="BA42" s="94" t="s">
        <v>1732</v>
      </c>
      <c r="BB42" s="108">
        <f>Schäden_Einband!X42+Schäden_Buchblock!AC42</f>
        <v>1</v>
      </c>
      <c r="BC42" s="95"/>
      <c r="BD42" s="93" t="s">
        <v>1887</v>
      </c>
    </row>
    <row r="43" spans="1:58" ht="46" x14ac:dyDescent="0.25">
      <c r="A43" s="82">
        <v>42</v>
      </c>
      <c r="B43" s="64" t="s">
        <v>194</v>
      </c>
      <c r="C43" s="64">
        <v>1069138924</v>
      </c>
      <c r="D43" s="84" t="str">
        <f t="shared" si="0"/>
        <v>https://portal.dnb.de/opac.htm?method=simpleSearch&amp;cqlMode=true&amp;query=idn%3D1069138924</v>
      </c>
      <c r="E43" s="64" t="s">
        <v>195</v>
      </c>
      <c r="F43" s="82" t="s">
        <v>89</v>
      </c>
      <c r="G43" s="85" t="s">
        <v>1601</v>
      </c>
      <c r="H43" s="82" t="s">
        <v>50</v>
      </c>
      <c r="I43" s="85" t="s">
        <v>55</v>
      </c>
      <c r="J43" s="85" t="s">
        <v>1586</v>
      </c>
      <c r="K43" s="82" t="s">
        <v>67</v>
      </c>
      <c r="L43" s="82" t="s">
        <v>35</v>
      </c>
      <c r="M43" s="82" t="s">
        <v>37</v>
      </c>
      <c r="N43" s="82">
        <v>0</v>
      </c>
      <c r="O43" s="82"/>
      <c r="P43" s="82"/>
      <c r="Q43" s="82"/>
      <c r="R43" s="82"/>
      <c r="S43" s="97"/>
      <c r="T43" s="97"/>
      <c r="X43" s="94" t="s">
        <v>1730</v>
      </c>
      <c r="Y43" s="95" t="s">
        <v>1633</v>
      </c>
      <c r="Z43" s="95"/>
      <c r="AA43" s="94" t="s">
        <v>1737</v>
      </c>
      <c r="AB43" s="94"/>
      <c r="AC43" s="94"/>
      <c r="AD43" s="94"/>
      <c r="AE43" s="94"/>
      <c r="AF43" s="94"/>
      <c r="AG43" s="93" t="s">
        <v>1724</v>
      </c>
      <c r="AQ43" s="93" t="s">
        <v>1729</v>
      </c>
      <c r="AR43" s="93" t="s">
        <v>1633</v>
      </c>
      <c r="AS43" s="94"/>
      <c r="AT43" s="94"/>
      <c r="AU43" s="94">
        <v>180</v>
      </c>
      <c r="AV43" s="94"/>
      <c r="BB43" s="108">
        <f>Schäden_Einband!X43+Schäden_Buchblock!AC43</f>
        <v>0</v>
      </c>
      <c r="BC43" s="95"/>
      <c r="BD43" s="93" t="s">
        <v>1887</v>
      </c>
    </row>
    <row r="44" spans="1:58" ht="46" x14ac:dyDescent="0.25">
      <c r="A44" s="82">
        <v>43</v>
      </c>
      <c r="B44" s="64" t="s">
        <v>196</v>
      </c>
      <c r="C44" s="64">
        <v>1066968829</v>
      </c>
      <c r="D44" s="84" t="str">
        <f t="shared" si="0"/>
        <v>https://portal.dnb.de/opac.htm?method=simpleSearch&amp;cqlMode=true&amp;query=idn%3D1066968829</v>
      </c>
      <c r="E44" s="64" t="s">
        <v>197</v>
      </c>
      <c r="F44" s="82" t="s">
        <v>89</v>
      </c>
      <c r="G44" s="85" t="s">
        <v>1584</v>
      </c>
      <c r="H44" s="82" t="s">
        <v>50</v>
      </c>
      <c r="I44" s="85" t="s">
        <v>90</v>
      </c>
      <c r="J44" s="85" t="s">
        <v>1587</v>
      </c>
      <c r="K44" s="82" t="s">
        <v>67</v>
      </c>
      <c r="L44" s="82" t="s">
        <v>35</v>
      </c>
      <c r="M44" s="82" t="s">
        <v>37</v>
      </c>
      <c r="N44" s="82">
        <v>0</v>
      </c>
      <c r="O44" s="82"/>
      <c r="P44" s="82"/>
      <c r="Q44" s="82"/>
      <c r="R44" s="82"/>
      <c r="S44" s="97"/>
      <c r="T44" s="97"/>
      <c r="X44" s="94" t="s">
        <v>1728</v>
      </c>
      <c r="Y44" s="95" t="s">
        <v>1633</v>
      </c>
      <c r="Z44" s="95"/>
      <c r="AA44" s="94" t="s">
        <v>1723</v>
      </c>
      <c r="AB44" s="94"/>
      <c r="AC44" s="94"/>
      <c r="AD44" s="94"/>
      <c r="AE44" s="94"/>
      <c r="AF44" s="94"/>
      <c r="AG44" s="93" t="s">
        <v>1724</v>
      </c>
      <c r="AH44" s="93" t="s">
        <v>1633</v>
      </c>
      <c r="AS44" s="94"/>
      <c r="AT44" s="94"/>
      <c r="AU44" s="94">
        <v>110</v>
      </c>
      <c r="AV44" s="94"/>
      <c r="BB44" s="108">
        <f>Schäden_Einband!X44+Schäden_Buchblock!AC44</f>
        <v>0</v>
      </c>
      <c r="BC44" s="95"/>
      <c r="BD44" s="93" t="s">
        <v>1887</v>
      </c>
    </row>
    <row r="45" spans="1:58" ht="46" x14ac:dyDescent="0.25">
      <c r="A45" s="82">
        <v>44</v>
      </c>
      <c r="B45" s="64" t="s">
        <v>198</v>
      </c>
      <c r="C45" s="64">
        <v>1066971781</v>
      </c>
      <c r="D45" s="84" t="str">
        <f t="shared" si="0"/>
        <v>https://portal.dnb.de/opac.htm?method=simpleSearch&amp;cqlMode=true&amp;query=idn%3D1066971781</v>
      </c>
      <c r="E45" s="64" t="s">
        <v>199</v>
      </c>
      <c r="F45" s="82" t="s">
        <v>89</v>
      </c>
      <c r="G45" s="85" t="s">
        <v>1584</v>
      </c>
      <c r="H45" s="82" t="s">
        <v>50</v>
      </c>
      <c r="I45" s="85" t="s">
        <v>55</v>
      </c>
      <c r="J45" s="85" t="s">
        <v>1587</v>
      </c>
      <c r="K45" s="82" t="s">
        <v>67</v>
      </c>
      <c r="L45" s="82" t="s">
        <v>35</v>
      </c>
      <c r="M45" s="82" t="s">
        <v>37</v>
      </c>
      <c r="N45" s="82">
        <v>0</v>
      </c>
      <c r="O45" s="82"/>
      <c r="P45" s="82"/>
      <c r="Q45" s="82"/>
      <c r="R45" s="82"/>
      <c r="S45" s="97"/>
      <c r="T45" s="97"/>
      <c r="X45" s="94" t="s">
        <v>1728</v>
      </c>
      <c r="Y45" s="95" t="s">
        <v>1633</v>
      </c>
      <c r="Z45" s="95"/>
      <c r="AA45" s="94" t="s">
        <v>1723</v>
      </c>
      <c r="AB45" s="94"/>
      <c r="AC45" s="94"/>
      <c r="AD45" s="94"/>
      <c r="AE45" s="94"/>
      <c r="AF45" s="94"/>
      <c r="AG45" s="93" t="s">
        <v>1724</v>
      </c>
      <c r="AQ45" s="93" t="s">
        <v>1729</v>
      </c>
      <c r="AR45" s="93" t="s">
        <v>1633</v>
      </c>
      <c r="AS45" s="94"/>
      <c r="AT45" s="94"/>
      <c r="AU45" s="94">
        <v>110</v>
      </c>
      <c r="AV45" s="94"/>
      <c r="BA45" s="94" t="s">
        <v>1732</v>
      </c>
      <c r="BB45" s="108">
        <f>Schäden_Einband!X45+Schäden_Buchblock!AC45</f>
        <v>2</v>
      </c>
      <c r="BC45" s="95"/>
      <c r="BD45" s="93" t="s">
        <v>1887</v>
      </c>
    </row>
    <row r="46" spans="1:58" ht="46" x14ac:dyDescent="0.25">
      <c r="A46" s="82">
        <v>45</v>
      </c>
      <c r="B46" s="64" t="s">
        <v>200</v>
      </c>
      <c r="C46" s="64">
        <v>1066972869</v>
      </c>
      <c r="D46" s="84" t="str">
        <f t="shared" si="0"/>
        <v>https://portal.dnb.de/opac.htm?method=simpleSearch&amp;cqlMode=true&amp;query=idn%3D1066972869</v>
      </c>
      <c r="E46" s="64" t="s">
        <v>201</v>
      </c>
      <c r="F46" s="82" t="s">
        <v>89</v>
      </c>
      <c r="G46" s="85" t="s">
        <v>1584</v>
      </c>
      <c r="H46" s="82" t="s">
        <v>50</v>
      </c>
      <c r="I46" s="85"/>
      <c r="J46" s="85" t="s">
        <v>1586</v>
      </c>
      <c r="K46" s="82" t="s">
        <v>67</v>
      </c>
      <c r="L46" s="82" t="s">
        <v>35</v>
      </c>
      <c r="M46" s="82" t="s">
        <v>37</v>
      </c>
      <c r="N46" s="82">
        <v>0</v>
      </c>
      <c r="O46" s="82"/>
      <c r="P46" s="82"/>
      <c r="Q46" s="82"/>
      <c r="R46" s="82"/>
      <c r="S46" s="97"/>
      <c r="T46" s="97"/>
      <c r="X46" s="94" t="s">
        <v>1728</v>
      </c>
      <c r="Y46" s="95" t="s">
        <v>1633</v>
      </c>
      <c r="Z46" s="95"/>
      <c r="AA46" s="94" t="s">
        <v>1723</v>
      </c>
      <c r="AB46" s="94"/>
      <c r="AC46" s="94"/>
      <c r="AD46" s="94"/>
      <c r="AE46" s="94"/>
      <c r="AF46" s="94"/>
      <c r="AG46" s="93" t="s">
        <v>1724</v>
      </c>
      <c r="AH46" s="93" t="s">
        <v>1633</v>
      </c>
      <c r="AQ46" s="93" t="s">
        <v>1729</v>
      </c>
      <c r="AR46" s="93" t="s">
        <v>1633</v>
      </c>
      <c r="AS46" s="94"/>
      <c r="AT46" s="94"/>
      <c r="AU46" s="94">
        <v>110</v>
      </c>
      <c r="AV46" s="94"/>
      <c r="BA46" s="94" t="s">
        <v>1727</v>
      </c>
      <c r="BB46" s="108">
        <f>Schäden_Einband!X46+Schäden_Buchblock!AC46</f>
        <v>0</v>
      </c>
      <c r="BC46" s="95"/>
      <c r="BD46" s="93" t="s">
        <v>1887</v>
      </c>
    </row>
    <row r="47" spans="1:58" ht="46" x14ac:dyDescent="0.25">
      <c r="A47" s="82">
        <v>46</v>
      </c>
      <c r="B47" s="64" t="s">
        <v>202</v>
      </c>
      <c r="C47" s="64">
        <v>1066970505</v>
      </c>
      <c r="D47" s="84" t="str">
        <f>HYPERLINK(CONCATENATE("https://portal.dnb.de/opac.htm?method=simpleSearch&amp;cqlMode=true&amp;query=idn%3D",C47))</f>
        <v>https://portal.dnb.de/opac.htm?method=simpleSearch&amp;cqlMode=true&amp;query=idn%3D1066970505</v>
      </c>
      <c r="E47" s="64" t="s">
        <v>203</v>
      </c>
      <c r="F47" s="82" t="s">
        <v>89</v>
      </c>
      <c r="G47" s="85" t="s">
        <v>1584</v>
      </c>
      <c r="H47" s="82" t="s">
        <v>50</v>
      </c>
      <c r="I47" s="85"/>
      <c r="J47" s="85" t="s">
        <v>1586</v>
      </c>
      <c r="K47" s="82" t="s">
        <v>67</v>
      </c>
      <c r="L47" s="82" t="s">
        <v>35</v>
      </c>
      <c r="M47" s="82" t="s">
        <v>37</v>
      </c>
      <c r="N47" s="82">
        <v>0</v>
      </c>
      <c r="O47" s="82"/>
      <c r="P47" s="82"/>
      <c r="Q47" s="82"/>
      <c r="R47" s="82"/>
      <c r="S47" s="97"/>
      <c r="T47" s="97"/>
      <c r="X47" s="94" t="s">
        <v>1728</v>
      </c>
      <c r="Y47" s="95" t="s">
        <v>1633</v>
      </c>
      <c r="Z47" s="95"/>
      <c r="AA47" s="94" t="s">
        <v>1723</v>
      </c>
      <c r="AB47" s="94"/>
      <c r="AC47" s="94"/>
      <c r="AD47" s="94"/>
      <c r="AE47" s="94"/>
      <c r="AF47" s="94"/>
      <c r="AG47" s="93" t="s">
        <v>1724</v>
      </c>
      <c r="AH47" s="93" t="s">
        <v>1633</v>
      </c>
      <c r="AS47" s="94"/>
      <c r="AT47" s="94"/>
      <c r="AU47" s="94">
        <v>110</v>
      </c>
      <c r="AV47" s="94"/>
      <c r="BA47" s="94" t="s">
        <v>1727</v>
      </c>
      <c r="BB47" s="108">
        <f>Schäden_Einband!X47+Schäden_Buchblock!AC47</f>
        <v>0</v>
      </c>
      <c r="BC47" s="95"/>
      <c r="BD47" s="93" t="s">
        <v>1886</v>
      </c>
    </row>
    <row r="48" spans="1:58" ht="46" x14ac:dyDescent="0.25">
      <c r="A48" s="82">
        <v>47</v>
      </c>
      <c r="B48" s="64" t="s">
        <v>204</v>
      </c>
      <c r="C48" s="64">
        <v>1066972893</v>
      </c>
      <c r="D48" s="84" t="str">
        <f t="shared" si="0"/>
        <v>https://portal.dnb.de/opac.htm?method=simpleSearch&amp;cqlMode=true&amp;query=idn%3D1066972893</v>
      </c>
      <c r="E48" s="64" t="s">
        <v>205</v>
      </c>
      <c r="F48" s="82" t="s">
        <v>89</v>
      </c>
      <c r="G48" s="85" t="s">
        <v>1601</v>
      </c>
      <c r="H48" s="82" t="s">
        <v>50</v>
      </c>
      <c r="I48" s="85" t="s">
        <v>55</v>
      </c>
      <c r="J48" s="85" t="s">
        <v>1586</v>
      </c>
      <c r="K48" s="82" t="s">
        <v>67</v>
      </c>
      <c r="L48" s="82" t="s">
        <v>35</v>
      </c>
      <c r="M48" s="82" t="s">
        <v>37</v>
      </c>
      <c r="N48" s="82">
        <v>1</v>
      </c>
      <c r="O48" s="82"/>
      <c r="P48" s="82"/>
      <c r="Q48" s="82"/>
      <c r="R48" s="82"/>
      <c r="S48" s="97"/>
      <c r="T48" s="97"/>
      <c r="X48" s="94" t="s">
        <v>1730</v>
      </c>
      <c r="Y48" s="95" t="s">
        <v>1633</v>
      </c>
      <c r="Z48" s="95"/>
      <c r="AA48" s="94" t="s">
        <v>1737</v>
      </c>
      <c r="AB48" s="94"/>
      <c r="AC48" s="94"/>
      <c r="AD48" s="94"/>
      <c r="AE48" s="94"/>
      <c r="AF48" s="94"/>
      <c r="AG48" s="93" t="s">
        <v>1724</v>
      </c>
      <c r="AQ48" s="93" t="s">
        <v>1729</v>
      </c>
      <c r="AR48" s="93" t="s">
        <v>1633</v>
      </c>
      <c r="AS48" s="94"/>
      <c r="AT48" s="94"/>
      <c r="AU48" s="94">
        <v>110</v>
      </c>
      <c r="AV48" s="94"/>
      <c r="BA48" s="94" t="s">
        <v>1727</v>
      </c>
      <c r="BB48" s="108">
        <f>Schäden_Einband!X48+Schäden_Buchblock!AC48</f>
        <v>0</v>
      </c>
      <c r="BC48" s="95"/>
      <c r="BD48" s="93" t="s">
        <v>1887</v>
      </c>
    </row>
    <row r="49" spans="1:58" ht="46" x14ac:dyDescent="0.25">
      <c r="A49" s="82">
        <v>48</v>
      </c>
      <c r="B49" s="64" t="s">
        <v>206</v>
      </c>
      <c r="C49" s="64">
        <v>1066972958</v>
      </c>
      <c r="D49" s="84" t="str">
        <f>HYPERLINK(CONCATENATE("https://portal.dnb.de/opac.htm?method=simpleSearch&amp;cqlMode=true&amp;query=idn%3D",C49))</f>
        <v>https://portal.dnb.de/opac.htm?method=simpleSearch&amp;cqlMode=true&amp;query=idn%3D1066972958</v>
      </c>
      <c r="E49" s="64" t="s">
        <v>207</v>
      </c>
      <c r="F49" s="82" t="s">
        <v>89</v>
      </c>
      <c r="G49" s="85" t="s">
        <v>1601</v>
      </c>
      <c r="H49" s="82" t="s">
        <v>50</v>
      </c>
      <c r="I49" s="85" t="s">
        <v>55</v>
      </c>
      <c r="J49" s="85" t="s">
        <v>1586</v>
      </c>
      <c r="K49" s="82" t="s">
        <v>67</v>
      </c>
      <c r="L49" s="82" t="s">
        <v>35</v>
      </c>
      <c r="M49" s="82" t="s">
        <v>37</v>
      </c>
      <c r="N49" s="82">
        <v>0</v>
      </c>
      <c r="O49" s="82"/>
      <c r="P49" s="82"/>
      <c r="Q49" s="82"/>
      <c r="R49" s="82"/>
      <c r="S49" s="97"/>
      <c r="T49" s="97"/>
      <c r="X49" s="94" t="s">
        <v>1730</v>
      </c>
      <c r="Y49" s="95" t="s">
        <v>1633</v>
      </c>
      <c r="Z49" s="95"/>
      <c r="AA49" s="94" t="s">
        <v>1737</v>
      </c>
      <c r="AB49" s="94"/>
      <c r="AC49" s="94"/>
      <c r="AD49" s="94"/>
      <c r="AE49" s="94"/>
      <c r="AF49" s="94"/>
      <c r="AG49" s="93" t="s">
        <v>1724</v>
      </c>
      <c r="AQ49" s="93" t="s">
        <v>1729</v>
      </c>
      <c r="AR49" s="93" t="s">
        <v>1633</v>
      </c>
      <c r="AS49" s="94"/>
      <c r="AT49" s="94"/>
      <c r="AU49" s="94">
        <v>180</v>
      </c>
      <c r="AV49" s="94"/>
      <c r="BA49" s="94" t="s">
        <v>1727</v>
      </c>
      <c r="BB49" s="108">
        <f>Schäden_Einband!X49+Schäden_Buchblock!AC49</f>
        <v>0</v>
      </c>
      <c r="BC49" s="95"/>
      <c r="BD49" s="93" t="s">
        <v>1887</v>
      </c>
    </row>
    <row r="50" spans="1:58" x14ac:dyDescent="0.25">
      <c r="A50" s="82">
        <v>49</v>
      </c>
      <c r="B50" s="64" t="s">
        <v>208</v>
      </c>
      <c r="C50" s="64">
        <v>1066972931</v>
      </c>
      <c r="D50" s="84" t="str">
        <f t="shared" si="0"/>
        <v>https://portal.dnb.de/opac.htm?method=simpleSearch&amp;cqlMode=true&amp;query=idn%3D1066972931</v>
      </c>
      <c r="E50" s="64" t="s">
        <v>209</v>
      </c>
      <c r="F50" s="82"/>
      <c r="G50" s="85"/>
      <c r="H50" s="82"/>
      <c r="I50" s="85"/>
      <c r="J50" s="85"/>
      <c r="K50" s="82"/>
      <c r="L50" s="82"/>
      <c r="M50" s="82"/>
      <c r="N50" s="82"/>
      <c r="O50" s="82"/>
      <c r="P50" s="82" t="s">
        <v>1598</v>
      </c>
      <c r="Q50" s="82"/>
      <c r="R50" s="82"/>
      <c r="S50" s="97" t="s">
        <v>1721</v>
      </c>
      <c r="T50" s="97"/>
      <c r="X50" s="94"/>
      <c r="Y50" s="95"/>
      <c r="Z50" s="95"/>
      <c r="AA50" s="94"/>
      <c r="AB50" s="94"/>
      <c r="AC50" s="94"/>
      <c r="AD50" s="94"/>
      <c r="AE50" s="94"/>
      <c r="AF50" s="94"/>
      <c r="AS50" s="94"/>
      <c r="AT50" s="94"/>
      <c r="AU50" s="94"/>
      <c r="AV50" s="94"/>
      <c r="BB50" s="108">
        <f>Schäden_Einband!X50+Schäden_Buchblock!AC50</f>
        <v>0</v>
      </c>
      <c r="BC50" s="95"/>
      <c r="BD50" s="93" t="s">
        <v>1887</v>
      </c>
    </row>
    <row r="51" spans="1:58" ht="23" x14ac:dyDescent="0.25">
      <c r="A51" s="82">
        <v>50</v>
      </c>
      <c r="B51" s="64" t="s">
        <v>210</v>
      </c>
      <c r="C51" s="64">
        <v>1066972850</v>
      </c>
      <c r="D51" s="84" t="str">
        <f>HYPERLINK(CONCATENATE("https://portal.dnb.de/opac.htm?method=simpleSearch&amp;cqlMode=true&amp;query=idn%3D",C51))</f>
        <v>https://portal.dnb.de/opac.htm?method=simpleSearch&amp;cqlMode=true&amp;query=idn%3D1066972850</v>
      </c>
      <c r="E51" s="64" t="s">
        <v>211</v>
      </c>
      <c r="F51" s="82" t="s">
        <v>89</v>
      </c>
      <c r="G51" s="85" t="s">
        <v>4</v>
      </c>
      <c r="H51" s="82" t="s">
        <v>50</v>
      </c>
      <c r="I51" s="85" t="s">
        <v>90</v>
      </c>
      <c r="J51" s="85" t="s">
        <v>1586</v>
      </c>
      <c r="K51" s="82" t="s">
        <v>67</v>
      </c>
      <c r="L51" s="82" t="s">
        <v>35</v>
      </c>
      <c r="M51" s="82" t="s">
        <v>37</v>
      </c>
      <c r="N51" s="82">
        <v>0</v>
      </c>
      <c r="O51" s="82"/>
      <c r="P51" s="82"/>
      <c r="Q51" s="82"/>
      <c r="R51" s="82"/>
      <c r="S51" s="97"/>
      <c r="T51" s="97"/>
      <c r="X51" s="94" t="s">
        <v>1722</v>
      </c>
      <c r="Y51" s="95" t="s">
        <v>1633</v>
      </c>
      <c r="Z51" s="95"/>
      <c r="AA51" s="94" t="s">
        <v>1723</v>
      </c>
      <c r="AB51" s="94"/>
      <c r="AC51" s="94"/>
      <c r="AD51" s="94"/>
      <c r="AE51" s="94"/>
      <c r="AF51" s="94"/>
      <c r="AG51" s="93" t="s">
        <v>1724</v>
      </c>
      <c r="AQ51" s="93" t="s">
        <v>1729</v>
      </c>
      <c r="AR51" s="93" t="s">
        <v>1633</v>
      </c>
      <c r="AS51" s="94"/>
      <c r="AT51" s="94"/>
      <c r="AU51" s="94">
        <v>110</v>
      </c>
      <c r="AV51" s="94"/>
      <c r="BA51" s="94" t="s">
        <v>1727</v>
      </c>
      <c r="BB51" s="108">
        <f>Schäden_Einband!X51+Schäden_Buchblock!AC51</f>
        <v>0</v>
      </c>
      <c r="BC51" s="95"/>
      <c r="BD51" s="93" t="s">
        <v>1887</v>
      </c>
    </row>
    <row r="52" spans="1:58" ht="23" x14ac:dyDescent="0.25">
      <c r="A52" s="82">
        <v>51</v>
      </c>
      <c r="B52" s="64" t="s">
        <v>212</v>
      </c>
      <c r="C52" s="64">
        <v>1066972907</v>
      </c>
      <c r="D52" s="84" t="str">
        <f t="shared" si="0"/>
        <v>https://portal.dnb.de/opac.htm?method=simpleSearch&amp;cqlMode=true&amp;query=idn%3D1066972907</v>
      </c>
      <c r="E52" s="64" t="s">
        <v>213</v>
      </c>
      <c r="F52" s="82" t="s">
        <v>89</v>
      </c>
      <c r="G52" s="85" t="s">
        <v>45</v>
      </c>
      <c r="H52" s="82" t="s">
        <v>50</v>
      </c>
      <c r="I52" s="85" t="s">
        <v>90</v>
      </c>
      <c r="J52" s="85" t="s">
        <v>60</v>
      </c>
      <c r="K52" s="82" t="s">
        <v>67</v>
      </c>
      <c r="L52" s="82" t="s">
        <v>35</v>
      </c>
      <c r="M52" s="82" t="s">
        <v>37</v>
      </c>
      <c r="N52" s="82">
        <v>0</v>
      </c>
      <c r="O52" s="82"/>
      <c r="P52" s="82"/>
      <c r="Q52" s="82"/>
      <c r="R52" s="82"/>
      <c r="S52" s="97"/>
      <c r="T52" s="97"/>
      <c r="X52" s="94"/>
      <c r="Y52" s="95"/>
      <c r="Z52" s="95"/>
      <c r="AA52" s="94"/>
      <c r="AB52" s="94"/>
      <c r="AC52" s="94"/>
      <c r="AD52" s="94"/>
      <c r="AE52" s="94"/>
      <c r="AF52" s="94"/>
      <c r="AS52" s="94"/>
      <c r="AT52" s="94"/>
      <c r="AU52" s="94"/>
      <c r="AV52" s="94"/>
      <c r="BB52" s="108">
        <f>Schäden_Einband!X52+Schäden_Buchblock!AC52</f>
        <v>0</v>
      </c>
      <c r="BC52" s="95"/>
    </row>
    <row r="53" spans="1:58" ht="46" x14ac:dyDescent="0.25">
      <c r="A53" s="82">
        <v>52</v>
      </c>
      <c r="B53" s="64" t="s">
        <v>214</v>
      </c>
      <c r="C53" s="64">
        <v>1072051036</v>
      </c>
      <c r="D53" s="84" t="str">
        <f t="shared" si="0"/>
        <v>https://portal.dnb.de/opac.htm?method=simpleSearch&amp;cqlMode=true&amp;query=idn%3D1072051036</v>
      </c>
      <c r="E53" s="64" t="s">
        <v>215</v>
      </c>
      <c r="F53" s="82" t="s">
        <v>89</v>
      </c>
      <c r="G53" s="85" t="s">
        <v>1584</v>
      </c>
      <c r="H53" s="82" t="s">
        <v>50</v>
      </c>
      <c r="I53" s="85" t="s">
        <v>90</v>
      </c>
      <c r="J53" s="85" t="s">
        <v>94</v>
      </c>
      <c r="K53" s="82"/>
      <c r="L53" s="82" t="s">
        <v>35</v>
      </c>
      <c r="M53" s="82" t="s">
        <v>37</v>
      </c>
      <c r="N53" s="82">
        <v>1</v>
      </c>
      <c r="O53" s="82"/>
      <c r="P53" s="82"/>
      <c r="Q53" s="82"/>
      <c r="R53" s="82"/>
      <c r="S53" s="97"/>
      <c r="T53" s="97"/>
      <c r="X53" s="94"/>
      <c r="Y53" s="95"/>
      <c r="Z53" s="95"/>
      <c r="AA53" s="94"/>
      <c r="AB53" s="94"/>
      <c r="AC53" s="94"/>
      <c r="AD53" s="94"/>
      <c r="AE53" s="94"/>
      <c r="AF53" s="94"/>
      <c r="AS53" s="94"/>
      <c r="AT53" s="94"/>
      <c r="AU53" s="94"/>
      <c r="AV53" s="94"/>
      <c r="BB53" s="108">
        <f>Schäden_Einband!X53+Schäden_Buchblock!AC53</f>
        <v>0</v>
      </c>
      <c r="BC53" s="95"/>
    </row>
    <row r="54" spans="1:58" ht="46" x14ac:dyDescent="0.25">
      <c r="A54" s="82">
        <v>53</v>
      </c>
      <c r="B54" s="64" t="s">
        <v>216</v>
      </c>
      <c r="C54" s="64">
        <v>1066972923</v>
      </c>
      <c r="D54" s="84" t="str">
        <f t="shared" si="0"/>
        <v>https://portal.dnb.de/opac.htm?method=simpleSearch&amp;cqlMode=true&amp;query=idn%3D1066972923</v>
      </c>
      <c r="E54" s="64" t="s">
        <v>217</v>
      </c>
      <c r="F54" s="82" t="s">
        <v>89</v>
      </c>
      <c r="G54" s="85" t="s">
        <v>1584</v>
      </c>
      <c r="H54" s="82" t="s">
        <v>50</v>
      </c>
      <c r="I54" s="85" t="s">
        <v>90</v>
      </c>
      <c r="J54" s="85" t="s">
        <v>94</v>
      </c>
      <c r="K54" s="82"/>
      <c r="L54" s="82" t="s">
        <v>35</v>
      </c>
      <c r="M54" s="82" t="s">
        <v>37</v>
      </c>
      <c r="N54" s="82">
        <v>1</v>
      </c>
      <c r="O54" s="82"/>
      <c r="P54" s="82"/>
      <c r="Q54" s="82"/>
      <c r="R54" s="82"/>
      <c r="S54" s="97"/>
      <c r="T54" s="97"/>
      <c r="X54" s="94"/>
      <c r="Y54" s="95"/>
      <c r="Z54" s="95"/>
      <c r="AA54" s="94"/>
      <c r="AB54" s="94"/>
      <c r="AC54" s="94"/>
      <c r="AD54" s="94"/>
      <c r="AE54" s="94"/>
      <c r="AF54" s="94"/>
      <c r="AS54" s="94"/>
      <c r="AT54" s="94"/>
      <c r="AU54" s="94"/>
      <c r="AV54" s="94"/>
      <c r="BB54" s="108">
        <f>Schäden_Einband!X54+Schäden_Buchblock!AC54</f>
        <v>0</v>
      </c>
      <c r="BC54" s="95"/>
    </row>
    <row r="55" spans="1:58" ht="46" x14ac:dyDescent="0.25">
      <c r="A55" s="82">
        <v>54</v>
      </c>
      <c r="B55" s="64" t="s">
        <v>218</v>
      </c>
      <c r="C55" s="64">
        <v>1066972923</v>
      </c>
      <c r="D55" s="84" t="str">
        <f t="shared" si="0"/>
        <v>https://portal.dnb.de/opac.htm?method=simpleSearch&amp;cqlMode=true&amp;query=idn%3D1066972923</v>
      </c>
      <c r="E55" s="64" t="s">
        <v>219</v>
      </c>
      <c r="F55" s="82" t="s">
        <v>89</v>
      </c>
      <c r="G55" s="85" t="s">
        <v>1601</v>
      </c>
      <c r="H55" s="82" t="s">
        <v>50</v>
      </c>
      <c r="I55" s="85" t="s">
        <v>90</v>
      </c>
      <c r="J55" s="85" t="s">
        <v>81</v>
      </c>
      <c r="K55" s="82"/>
      <c r="L55" s="82" t="s">
        <v>35</v>
      </c>
      <c r="M55" s="82" t="s">
        <v>37</v>
      </c>
      <c r="N55" s="82">
        <v>0</v>
      </c>
      <c r="O55" s="82"/>
      <c r="P55" s="82"/>
      <c r="Q55" s="82"/>
      <c r="R55" s="82"/>
      <c r="S55" s="97"/>
      <c r="T55" s="97"/>
      <c r="X55" s="94"/>
      <c r="Y55" s="95"/>
      <c r="Z55" s="95"/>
      <c r="AA55" s="94"/>
      <c r="AB55" s="94"/>
      <c r="AC55" s="94"/>
      <c r="AD55" s="94"/>
      <c r="AE55" s="94"/>
      <c r="AF55" s="94"/>
      <c r="AS55" s="94"/>
      <c r="AT55" s="94"/>
      <c r="AU55" s="94"/>
      <c r="AV55" s="94"/>
      <c r="BB55" s="108">
        <f>Schäden_Einband!X55+Schäden_Buchblock!AC55</f>
        <v>0</v>
      </c>
      <c r="BC55" s="95"/>
    </row>
    <row r="56" spans="1:58" x14ac:dyDescent="0.25">
      <c r="A56" s="82">
        <v>55</v>
      </c>
      <c r="B56" s="64" t="s">
        <v>220</v>
      </c>
      <c r="C56" s="64">
        <v>1066973199</v>
      </c>
      <c r="D56" s="84" t="str">
        <f t="shared" si="0"/>
        <v>https://portal.dnb.de/opac.htm?method=simpleSearch&amp;cqlMode=true&amp;query=idn%3D1066973199</v>
      </c>
      <c r="E56" s="64" t="s">
        <v>221</v>
      </c>
      <c r="F56" s="82"/>
      <c r="G56" s="85"/>
      <c r="H56" s="82"/>
      <c r="I56" s="85"/>
      <c r="J56" s="85"/>
      <c r="K56" s="82"/>
      <c r="L56" s="82"/>
      <c r="M56" s="82"/>
      <c r="N56" s="82"/>
      <c r="O56" s="82"/>
      <c r="P56" s="82"/>
      <c r="Q56" s="82"/>
      <c r="R56" s="82"/>
      <c r="S56" s="97"/>
      <c r="T56" s="97"/>
      <c r="X56" s="94"/>
      <c r="Y56" s="95"/>
      <c r="Z56" s="95"/>
      <c r="AA56" s="94"/>
      <c r="AB56" s="94"/>
      <c r="AC56" s="94"/>
      <c r="AD56" s="94"/>
      <c r="AE56" s="94"/>
      <c r="AF56" s="94"/>
      <c r="AS56" s="94"/>
      <c r="AT56" s="94"/>
      <c r="AU56" s="94"/>
      <c r="AV56" s="94"/>
      <c r="BB56" s="108">
        <f>Schäden_Einband!X56+Schäden_Buchblock!AC56</f>
        <v>0</v>
      </c>
      <c r="BC56" s="95"/>
    </row>
    <row r="57" spans="1:58" ht="46" x14ac:dyDescent="0.25">
      <c r="A57" s="82">
        <v>56</v>
      </c>
      <c r="B57" s="64" t="s">
        <v>222</v>
      </c>
      <c r="C57" s="64">
        <v>1066966923</v>
      </c>
      <c r="D57" s="84" t="str">
        <f t="shared" si="0"/>
        <v>https://portal.dnb.de/opac.htm?method=simpleSearch&amp;cqlMode=true&amp;query=idn%3D1066966923</v>
      </c>
      <c r="E57" s="64" t="s">
        <v>223</v>
      </c>
      <c r="F57" s="82" t="s">
        <v>89</v>
      </c>
      <c r="G57" s="85" t="s">
        <v>1585</v>
      </c>
      <c r="H57" s="82" t="s">
        <v>51</v>
      </c>
      <c r="I57" s="85" t="s">
        <v>90</v>
      </c>
      <c r="J57" s="85" t="s">
        <v>1625</v>
      </c>
      <c r="K57" s="82" t="s">
        <v>67</v>
      </c>
      <c r="L57" s="82" t="s">
        <v>35</v>
      </c>
      <c r="M57" s="82" t="s">
        <v>37</v>
      </c>
      <c r="N57" s="82">
        <v>3</v>
      </c>
      <c r="O57" s="82"/>
      <c r="P57" s="82"/>
      <c r="Q57" s="82"/>
      <c r="R57" s="82"/>
      <c r="S57" s="97"/>
      <c r="T57" s="97"/>
      <c r="X57" s="94"/>
      <c r="Y57" s="95"/>
      <c r="Z57" s="95"/>
      <c r="AA57" s="94"/>
      <c r="AB57" s="94"/>
      <c r="AC57" s="94"/>
      <c r="AD57" s="94"/>
      <c r="AE57" s="94"/>
      <c r="AF57" s="94"/>
      <c r="AS57" s="94"/>
      <c r="AT57" s="94"/>
      <c r="AU57" s="94"/>
      <c r="AV57" s="94"/>
      <c r="BB57" s="108">
        <f>Schäden_Einband!X57+Schäden_Buchblock!AC57</f>
        <v>0</v>
      </c>
      <c r="BC57" s="95"/>
    </row>
    <row r="58" spans="1:58" x14ac:dyDescent="0.25">
      <c r="A58" s="82">
        <v>57</v>
      </c>
      <c r="B58" s="64" t="s">
        <v>224</v>
      </c>
      <c r="C58" s="64">
        <v>1067435948</v>
      </c>
      <c r="D58" s="84" t="str">
        <f t="shared" si="0"/>
        <v>https://portal.dnb.de/opac.htm?method=simpleSearch&amp;cqlMode=true&amp;query=idn%3D1067435948</v>
      </c>
      <c r="E58" s="64" t="s">
        <v>225</v>
      </c>
      <c r="F58" s="82"/>
      <c r="G58" s="85"/>
      <c r="H58" s="82"/>
      <c r="I58" s="85"/>
      <c r="J58" s="85"/>
      <c r="K58" s="82"/>
      <c r="L58" s="82"/>
      <c r="M58" s="82"/>
      <c r="N58" s="82"/>
      <c r="O58" s="82"/>
      <c r="P58" s="82"/>
      <c r="Q58" s="82"/>
      <c r="R58" s="82"/>
      <c r="S58" s="97"/>
      <c r="T58" s="97"/>
      <c r="X58" s="94"/>
      <c r="Y58" s="95"/>
      <c r="Z58" s="95"/>
      <c r="AA58" s="94"/>
      <c r="AB58" s="94"/>
      <c r="AC58" s="94"/>
      <c r="AD58" s="94"/>
      <c r="AE58" s="94"/>
      <c r="AF58" s="94"/>
      <c r="AS58" s="94"/>
      <c r="AT58" s="94"/>
      <c r="AU58" s="94"/>
      <c r="AV58" s="94"/>
      <c r="BB58" s="108">
        <f>Schäden_Einband!X58+Schäden_Buchblock!AC58</f>
        <v>0</v>
      </c>
      <c r="BC58" s="95"/>
    </row>
    <row r="59" spans="1:58" x14ac:dyDescent="0.25">
      <c r="A59" s="82">
        <v>58</v>
      </c>
      <c r="B59" s="64" t="s">
        <v>226</v>
      </c>
      <c r="C59" s="64">
        <v>1067435948</v>
      </c>
      <c r="D59" s="84" t="str">
        <f t="shared" si="0"/>
        <v>https://portal.dnb.de/opac.htm?method=simpleSearch&amp;cqlMode=true&amp;query=idn%3D1067435948</v>
      </c>
      <c r="E59" s="64" t="s">
        <v>227</v>
      </c>
      <c r="F59" s="82"/>
      <c r="G59" s="85"/>
      <c r="H59" s="82"/>
      <c r="I59" s="85"/>
      <c r="J59" s="85"/>
      <c r="K59" s="82"/>
      <c r="L59" s="82"/>
      <c r="M59" s="82"/>
      <c r="N59" s="82"/>
      <c r="O59" s="82"/>
      <c r="P59" s="82"/>
      <c r="Q59" s="82"/>
      <c r="R59" s="82"/>
      <c r="S59" s="97"/>
      <c r="T59" s="97"/>
      <c r="X59" s="94"/>
      <c r="Y59" s="95"/>
      <c r="Z59" s="95"/>
      <c r="AA59" s="94"/>
      <c r="AB59" s="94"/>
      <c r="AC59" s="94"/>
      <c r="AD59" s="94"/>
      <c r="AE59" s="94"/>
      <c r="AF59" s="94"/>
      <c r="AS59" s="94"/>
      <c r="AT59" s="94"/>
      <c r="AU59" s="94"/>
      <c r="AV59" s="94"/>
      <c r="BB59" s="108">
        <f>Schäden_Einband!X59+Schäden_Buchblock!AC59</f>
        <v>0</v>
      </c>
      <c r="BC59" s="95"/>
    </row>
    <row r="60" spans="1:58" ht="23" x14ac:dyDescent="0.25">
      <c r="A60" s="82">
        <v>59</v>
      </c>
      <c r="B60" s="64" t="s">
        <v>228</v>
      </c>
      <c r="C60" s="64">
        <v>1066969930</v>
      </c>
      <c r="D60" s="84" t="str">
        <f t="shared" si="0"/>
        <v>https://portal.dnb.de/opac.htm?method=simpleSearch&amp;cqlMode=true&amp;query=idn%3D1066969930</v>
      </c>
      <c r="E60" s="64" t="s">
        <v>229</v>
      </c>
      <c r="F60" s="82" t="s">
        <v>89</v>
      </c>
      <c r="G60" s="85" t="s">
        <v>45</v>
      </c>
      <c r="H60" s="82" t="s">
        <v>51</v>
      </c>
      <c r="I60" s="85" t="s">
        <v>90</v>
      </c>
      <c r="J60" s="85" t="s">
        <v>1586</v>
      </c>
      <c r="K60" s="82" t="s">
        <v>67</v>
      </c>
      <c r="L60" s="82" t="s">
        <v>35</v>
      </c>
      <c r="M60" s="82" t="s">
        <v>37</v>
      </c>
      <c r="N60" s="82">
        <v>0</v>
      </c>
      <c r="O60" s="82"/>
      <c r="P60" s="82"/>
      <c r="Q60" s="82"/>
      <c r="R60" s="82"/>
      <c r="S60" s="97"/>
      <c r="T60" s="97"/>
      <c r="X60" s="94"/>
      <c r="Y60" s="95"/>
      <c r="Z60" s="95"/>
      <c r="AA60" s="94"/>
      <c r="AB60" s="94"/>
      <c r="AC60" s="94"/>
      <c r="AD60" s="94"/>
      <c r="AE60" s="94"/>
      <c r="AF60" s="94"/>
      <c r="AS60" s="94"/>
      <c r="AT60" s="94"/>
      <c r="AU60" s="94"/>
      <c r="AV60" s="94"/>
      <c r="BB60" s="108">
        <f>Schäden_Einband!X60+Schäden_Buchblock!AC60</f>
        <v>0</v>
      </c>
      <c r="BC60" s="95"/>
    </row>
    <row r="61" spans="1:58" ht="46" x14ac:dyDescent="0.25">
      <c r="A61" s="82">
        <v>60</v>
      </c>
      <c r="B61" s="64" t="s">
        <v>230</v>
      </c>
      <c r="C61" s="64">
        <v>1066967903</v>
      </c>
      <c r="D61" s="84" t="str">
        <f t="shared" si="0"/>
        <v>https://portal.dnb.de/opac.htm?method=simpleSearch&amp;cqlMode=true&amp;query=idn%3D1066967903</v>
      </c>
      <c r="E61" s="64" t="s">
        <v>231</v>
      </c>
      <c r="F61" s="82" t="s">
        <v>89</v>
      </c>
      <c r="G61" s="85" t="s">
        <v>1585</v>
      </c>
      <c r="H61" s="82" t="s">
        <v>52</v>
      </c>
      <c r="I61" s="85" t="s">
        <v>90</v>
      </c>
      <c r="J61" s="85" t="s">
        <v>1591</v>
      </c>
      <c r="K61" s="82" t="s">
        <v>67</v>
      </c>
      <c r="L61" s="82"/>
      <c r="M61" s="82" t="s">
        <v>101</v>
      </c>
      <c r="N61" s="82">
        <v>2</v>
      </c>
      <c r="O61" s="82"/>
      <c r="P61" s="82"/>
      <c r="Q61" s="82"/>
      <c r="R61" s="82"/>
      <c r="S61" s="97"/>
      <c r="T61" s="97"/>
      <c r="X61" s="94" t="s">
        <v>1722</v>
      </c>
      <c r="Y61" s="95" t="s">
        <v>1633</v>
      </c>
      <c r="Z61" s="95"/>
      <c r="AA61" s="94" t="s">
        <v>1723</v>
      </c>
      <c r="AB61" s="94"/>
      <c r="AC61" s="94" t="s">
        <v>1633</v>
      </c>
      <c r="AD61" s="94"/>
      <c r="AE61" s="94"/>
      <c r="AF61" s="94"/>
      <c r="AG61" s="93" t="s">
        <v>1724</v>
      </c>
      <c r="AQ61" s="93" t="s">
        <v>1729</v>
      </c>
      <c r="AR61" s="93" t="s">
        <v>1633</v>
      </c>
      <c r="AS61" s="94"/>
      <c r="AT61" s="94"/>
      <c r="AU61" s="94">
        <v>110</v>
      </c>
      <c r="AV61" s="94"/>
      <c r="BA61" s="94" t="s">
        <v>1733</v>
      </c>
      <c r="BB61" s="108">
        <f>Schäden_Einband!X61+Schäden_Buchblock!AC61</f>
        <v>3</v>
      </c>
      <c r="BC61" s="95"/>
      <c r="BF61" s="93" t="s">
        <v>1633</v>
      </c>
    </row>
    <row r="62" spans="1:58" ht="34.5" x14ac:dyDescent="0.25">
      <c r="A62" s="82">
        <v>61</v>
      </c>
      <c r="B62" s="64" t="s">
        <v>232</v>
      </c>
      <c r="C62" s="64" t="s">
        <v>233</v>
      </c>
      <c r="D62" s="84" t="str">
        <f t="shared" si="0"/>
        <v>https://portal.dnb.de/opac.htm?method=simpleSearch&amp;cqlMode=true&amp;query=idn%3D106697201X</v>
      </c>
      <c r="E62" s="64" t="s">
        <v>234</v>
      </c>
      <c r="F62" s="82" t="s">
        <v>89</v>
      </c>
      <c r="G62" s="85" t="s">
        <v>45</v>
      </c>
      <c r="H62" s="82" t="s">
        <v>51</v>
      </c>
      <c r="I62" s="85" t="s">
        <v>90</v>
      </c>
      <c r="J62" s="85" t="s">
        <v>1626</v>
      </c>
      <c r="K62" s="82" t="s">
        <v>67</v>
      </c>
      <c r="L62" s="82" t="s">
        <v>35</v>
      </c>
      <c r="M62" s="82" t="s">
        <v>37</v>
      </c>
      <c r="N62" s="82">
        <v>0</v>
      </c>
      <c r="O62" s="82"/>
      <c r="P62" s="82" t="s">
        <v>1603</v>
      </c>
      <c r="Q62" s="82"/>
      <c r="R62" s="82"/>
      <c r="S62" s="97"/>
      <c r="T62" s="97"/>
      <c r="X62" s="94"/>
      <c r="Y62" s="95"/>
      <c r="Z62" s="95"/>
      <c r="AA62" s="94"/>
      <c r="AB62" s="94"/>
      <c r="AC62" s="94"/>
      <c r="AD62" s="94"/>
      <c r="AE62" s="94"/>
      <c r="AF62" s="94"/>
      <c r="AS62" s="94"/>
      <c r="AT62" s="94"/>
      <c r="AU62" s="94"/>
      <c r="AV62" s="94"/>
      <c r="BB62" s="108">
        <f>Schäden_Einband!X62+Schäden_Buchblock!AC62</f>
        <v>0</v>
      </c>
      <c r="BC62" s="95"/>
    </row>
    <row r="63" spans="1:58" ht="46" x14ac:dyDescent="0.25">
      <c r="A63" s="82">
        <v>62</v>
      </c>
      <c r="B63" s="64" t="s">
        <v>235</v>
      </c>
      <c r="C63" s="64">
        <v>1066969477</v>
      </c>
      <c r="D63" s="84" t="str">
        <f t="shared" si="0"/>
        <v>https://portal.dnb.de/opac.htm?method=simpleSearch&amp;cqlMode=true&amp;query=idn%3D1066969477</v>
      </c>
      <c r="E63" s="64" t="s">
        <v>236</v>
      </c>
      <c r="F63" s="82" t="s">
        <v>89</v>
      </c>
      <c r="G63" s="85" t="s">
        <v>1585</v>
      </c>
      <c r="H63" s="82" t="s">
        <v>51</v>
      </c>
      <c r="I63" s="85" t="s">
        <v>90</v>
      </c>
      <c r="J63" s="85" t="s">
        <v>60</v>
      </c>
      <c r="K63" s="82" t="s">
        <v>67</v>
      </c>
      <c r="L63" s="82" t="s">
        <v>35</v>
      </c>
      <c r="M63" s="82" t="s">
        <v>37</v>
      </c>
      <c r="N63" s="82">
        <v>0</v>
      </c>
      <c r="O63" s="82"/>
      <c r="P63" s="82" t="s">
        <v>1603</v>
      </c>
      <c r="Q63" s="82"/>
      <c r="R63" s="82"/>
      <c r="S63" s="97"/>
      <c r="T63" s="97"/>
      <c r="X63" s="94"/>
      <c r="Y63" s="95"/>
      <c r="Z63" s="95"/>
      <c r="AA63" s="94"/>
      <c r="AB63" s="94"/>
      <c r="AC63" s="94"/>
      <c r="AD63" s="94"/>
      <c r="AE63" s="94"/>
      <c r="AF63" s="94"/>
      <c r="AS63" s="94"/>
      <c r="AT63" s="94"/>
      <c r="AU63" s="94"/>
      <c r="AV63" s="94"/>
      <c r="BB63" s="108">
        <f>Schäden_Einband!X63+Schäden_Buchblock!AC63</f>
        <v>0</v>
      </c>
      <c r="BC63" s="95"/>
    </row>
    <row r="64" spans="1:58" ht="46" x14ac:dyDescent="0.25">
      <c r="A64" s="82">
        <v>63</v>
      </c>
      <c r="B64" s="64" t="s">
        <v>237</v>
      </c>
      <c r="C64" s="64">
        <v>1066969469</v>
      </c>
      <c r="D64" s="84" t="str">
        <f t="shared" si="0"/>
        <v>https://portal.dnb.de/opac.htm?method=simpleSearch&amp;cqlMode=true&amp;query=idn%3D1066969469</v>
      </c>
      <c r="E64" s="64" t="s">
        <v>238</v>
      </c>
      <c r="F64" s="82" t="s">
        <v>89</v>
      </c>
      <c r="G64" s="85" t="s">
        <v>1585</v>
      </c>
      <c r="H64" s="82" t="s">
        <v>51</v>
      </c>
      <c r="I64" s="85" t="s">
        <v>90</v>
      </c>
      <c r="J64" s="85" t="s">
        <v>1586</v>
      </c>
      <c r="K64" s="82" t="s">
        <v>67</v>
      </c>
      <c r="L64" s="82" t="s">
        <v>35</v>
      </c>
      <c r="M64" s="82" t="s">
        <v>37</v>
      </c>
      <c r="N64" s="82">
        <v>2</v>
      </c>
      <c r="O64" s="82"/>
      <c r="P64" s="82"/>
      <c r="Q64" s="82"/>
      <c r="R64" s="82"/>
      <c r="S64" s="97"/>
      <c r="T64" s="97"/>
      <c r="X64" s="94"/>
      <c r="Y64" s="95"/>
      <c r="Z64" s="95"/>
      <c r="AA64" s="94"/>
      <c r="AB64" s="94"/>
      <c r="AC64" s="94"/>
      <c r="AD64" s="94"/>
      <c r="AE64" s="94"/>
      <c r="AF64" s="94"/>
      <c r="AS64" s="94"/>
      <c r="AT64" s="94"/>
      <c r="AU64" s="94"/>
      <c r="AV64" s="94"/>
      <c r="BB64" s="108">
        <f>Schäden_Einband!X64+Schäden_Buchblock!AC64</f>
        <v>0</v>
      </c>
      <c r="BC64" s="95"/>
    </row>
    <row r="65" spans="1:62" ht="46" x14ac:dyDescent="0.25">
      <c r="A65" s="82">
        <v>64</v>
      </c>
      <c r="B65" s="64" t="s">
        <v>239</v>
      </c>
      <c r="C65" s="64" t="s">
        <v>240</v>
      </c>
      <c r="D65" s="84" t="str">
        <f t="shared" si="0"/>
        <v>https://portal.dnb.de/opac.htm?method=simpleSearch&amp;cqlMode=true&amp;query=idn%3D106696887X</v>
      </c>
      <c r="E65" s="64" t="s">
        <v>241</v>
      </c>
      <c r="F65" s="82" t="s">
        <v>89</v>
      </c>
      <c r="G65" s="85" t="s">
        <v>1584</v>
      </c>
      <c r="H65" s="82" t="s">
        <v>51</v>
      </c>
      <c r="I65" s="85" t="s">
        <v>90</v>
      </c>
      <c r="J65" s="85" t="s">
        <v>81</v>
      </c>
      <c r="K65" s="82"/>
      <c r="L65" s="82" t="s">
        <v>35</v>
      </c>
      <c r="M65" s="82" t="s">
        <v>37</v>
      </c>
      <c r="N65" s="82">
        <v>1</v>
      </c>
      <c r="O65" s="82"/>
      <c r="P65" s="82"/>
      <c r="Q65" s="82"/>
      <c r="R65" s="82"/>
      <c r="S65" s="97"/>
      <c r="T65" s="97"/>
      <c r="X65" s="94"/>
      <c r="Y65" s="95"/>
      <c r="Z65" s="95"/>
      <c r="AA65" s="94"/>
      <c r="AB65" s="94"/>
      <c r="AC65" s="94"/>
      <c r="AD65" s="94"/>
      <c r="AE65" s="94"/>
      <c r="AF65" s="94"/>
      <c r="AS65" s="94"/>
      <c r="AT65" s="94"/>
      <c r="AU65" s="94"/>
      <c r="AV65" s="94"/>
      <c r="BB65" s="108">
        <f>Schäden_Einband!X65+Schäden_Buchblock!AC65</f>
        <v>0</v>
      </c>
      <c r="BC65" s="95"/>
    </row>
    <row r="66" spans="1:62" ht="46" x14ac:dyDescent="0.25">
      <c r="A66" s="82">
        <v>65</v>
      </c>
      <c r="B66" s="64" t="s">
        <v>242</v>
      </c>
      <c r="C66" s="64">
        <v>1079550038</v>
      </c>
      <c r="D66" s="84" t="str">
        <f t="shared" si="0"/>
        <v>https://portal.dnb.de/opac.htm?method=simpleSearch&amp;cqlMode=true&amp;query=idn%3D1079550038</v>
      </c>
      <c r="E66" s="64" t="s">
        <v>243</v>
      </c>
      <c r="F66" s="82" t="s">
        <v>89</v>
      </c>
      <c r="G66" s="85" t="s">
        <v>1585</v>
      </c>
      <c r="H66" s="82" t="s">
        <v>51</v>
      </c>
      <c r="I66" s="85" t="s">
        <v>55</v>
      </c>
      <c r="J66" s="85" t="s">
        <v>1625</v>
      </c>
      <c r="K66" s="82" t="s">
        <v>67</v>
      </c>
      <c r="L66" s="82" t="s">
        <v>35</v>
      </c>
      <c r="M66" s="82" t="s">
        <v>37</v>
      </c>
      <c r="N66" s="82">
        <v>3</v>
      </c>
      <c r="O66" s="82"/>
      <c r="P66" s="82"/>
      <c r="Q66" s="82"/>
      <c r="R66" s="82"/>
      <c r="S66" s="97"/>
      <c r="T66" s="97"/>
      <c r="X66" s="94"/>
      <c r="Y66" s="95"/>
      <c r="Z66" s="95"/>
      <c r="AA66" s="94"/>
      <c r="AB66" s="94"/>
      <c r="AC66" s="94"/>
      <c r="AD66" s="94"/>
      <c r="AE66" s="94"/>
      <c r="AF66" s="94"/>
      <c r="AS66" s="94"/>
      <c r="AT66" s="94"/>
      <c r="AU66" s="94"/>
      <c r="AV66" s="94"/>
      <c r="BB66" s="108">
        <f>Schäden_Einband!X66+Schäden_Buchblock!AC66</f>
        <v>0</v>
      </c>
      <c r="BC66" s="95"/>
    </row>
    <row r="67" spans="1:62" x14ac:dyDescent="0.25">
      <c r="A67" s="82">
        <v>66</v>
      </c>
      <c r="B67" s="64" t="s">
        <v>244</v>
      </c>
      <c r="C67" s="64" t="s">
        <v>245</v>
      </c>
      <c r="D67" s="84" t="str">
        <f t="shared" ref="D67:D135" si="1">HYPERLINK(CONCATENATE("https://portal.dnb.de/opac.htm?method=simpleSearch&amp;cqlMode=true&amp;query=idn%3D",C67))</f>
        <v>https://portal.dnb.de/opac.htm?method=simpleSearch&amp;cqlMode=true&amp;query=idn%3D107955016X</v>
      </c>
      <c r="E67" s="64" t="s">
        <v>246</v>
      </c>
      <c r="F67" s="82"/>
      <c r="G67" s="85"/>
      <c r="H67" s="82"/>
      <c r="I67" s="85"/>
      <c r="J67" s="85"/>
      <c r="K67" s="82"/>
      <c r="L67" s="82"/>
      <c r="M67" s="82"/>
      <c r="N67" s="82"/>
      <c r="O67" s="82"/>
      <c r="P67" s="82"/>
      <c r="Q67" s="82"/>
      <c r="R67" s="82"/>
      <c r="S67" s="97"/>
      <c r="T67" s="97"/>
      <c r="X67" s="94"/>
      <c r="Y67" s="95"/>
      <c r="Z67" s="95"/>
      <c r="AA67" s="94"/>
      <c r="AB67" s="94"/>
      <c r="AC67" s="94"/>
      <c r="AD67" s="94"/>
      <c r="AE67" s="94"/>
      <c r="AF67" s="94"/>
      <c r="AS67" s="94"/>
      <c r="AT67" s="94"/>
      <c r="AU67" s="94"/>
      <c r="AV67" s="94"/>
      <c r="BB67" s="108">
        <f>Schäden_Einband!X67+Schäden_Buchblock!AC67</f>
        <v>0</v>
      </c>
      <c r="BC67" s="95"/>
    </row>
    <row r="68" spans="1:62" x14ac:dyDescent="0.25">
      <c r="A68" s="82">
        <v>67</v>
      </c>
      <c r="B68" s="64" t="s">
        <v>247</v>
      </c>
      <c r="C68" s="64">
        <v>1079550275</v>
      </c>
      <c r="D68" s="84" t="str">
        <f t="shared" si="1"/>
        <v>https://portal.dnb.de/opac.htm?method=simpleSearch&amp;cqlMode=true&amp;query=idn%3D1079550275</v>
      </c>
      <c r="E68" s="64" t="s">
        <v>248</v>
      </c>
      <c r="F68" s="82"/>
      <c r="G68" s="85"/>
      <c r="H68" s="82"/>
      <c r="I68" s="85"/>
      <c r="J68" s="85"/>
      <c r="K68" s="82"/>
      <c r="L68" s="82"/>
      <c r="M68" s="82"/>
      <c r="N68" s="82"/>
      <c r="O68" s="82"/>
      <c r="P68" s="82"/>
      <c r="Q68" s="82"/>
      <c r="R68" s="82"/>
      <c r="S68" s="97"/>
      <c r="T68" s="97"/>
      <c r="X68" s="94"/>
      <c r="Y68" s="95"/>
      <c r="Z68" s="95"/>
      <c r="AA68" s="94"/>
      <c r="AB68" s="94"/>
      <c r="AC68" s="94"/>
      <c r="AD68" s="94"/>
      <c r="AE68" s="94"/>
      <c r="AF68" s="94"/>
      <c r="AS68" s="94"/>
      <c r="AT68" s="94"/>
      <c r="AU68" s="94"/>
      <c r="AV68" s="94"/>
      <c r="BB68" s="108">
        <f>Schäden_Einband!X68+Schäden_Buchblock!AC68</f>
        <v>0</v>
      </c>
      <c r="BC68" s="95"/>
    </row>
    <row r="69" spans="1:62" x14ac:dyDescent="0.25">
      <c r="A69" s="82">
        <v>68</v>
      </c>
      <c r="B69" s="64" t="s">
        <v>249</v>
      </c>
      <c r="C69" s="64">
        <v>1079550437</v>
      </c>
      <c r="D69" s="84" t="str">
        <f t="shared" si="1"/>
        <v>https://portal.dnb.de/opac.htm?method=simpleSearch&amp;cqlMode=true&amp;query=idn%3D1079550437</v>
      </c>
      <c r="E69" s="64" t="s">
        <v>250</v>
      </c>
      <c r="F69" s="82"/>
      <c r="G69" s="85"/>
      <c r="H69" s="82"/>
      <c r="I69" s="85"/>
      <c r="J69" s="85"/>
      <c r="K69" s="82"/>
      <c r="L69" s="82"/>
      <c r="M69" s="82"/>
      <c r="N69" s="82"/>
      <c r="O69" s="82"/>
      <c r="P69" s="82"/>
      <c r="Q69" s="82"/>
      <c r="R69" s="82"/>
      <c r="S69" s="97"/>
      <c r="T69" s="97"/>
      <c r="X69" s="94"/>
      <c r="Y69" s="95"/>
      <c r="Z69" s="95"/>
      <c r="AA69" s="94"/>
      <c r="AB69" s="94"/>
      <c r="AC69" s="94"/>
      <c r="AD69" s="94"/>
      <c r="AE69" s="94"/>
      <c r="AF69" s="94"/>
      <c r="AS69" s="94"/>
      <c r="AT69" s="94"/>
      <c r="AU69" s="94"/>
      <c r="AV69" s="94"/>
      <c r="BB69" s="108">
        <f>Schäden_Einband!X69+Schäden_Buchblock!AC69</f>
        <v>0</v>
      </c>
      <c r="BC69" s="95"/>
    </row>
    <row r="70" spans="1:62" x14ac:dyDescent="0.25">
      <c r="A70" s="82">
        <v>69</v>
      </c>
      <c r="B70" s="64" t="s">
        <v>251</v>
      </c>
      <c r="C70" s="64">
        <v>1079550615</v>
      </c>
      <c r="D70" s="84" t="str">
        <f t="shared" si="1"/>
        <v>https://portal.dnb.de/opac.htm?method=simpleSearch&amp;cqlMode=true&amp;query=idn%3D1079550615</v>
      </c>
      <c r="E70" s="64" t="s">
        <v>252</v>
      </c>
      <c r="F70" s="82"/>
      <c r="G70" s="85"/>
      <c r="H70" s="82"/>
      <c r="I70" s="85"/>
      <c r="J70" s="85"/>
      <c r="K70" s="82"/>
      <c r="L70" s="82"/>
      <c r="M70" s="82"/>
      <c r="N70" s="82"/>
      <c r="O70" s="82"/>
      <c r="P70" s="82"/>
      <c r="Q70" s="82"/>
      <c r="R70" s="82"/>
      <c r="S70" s="97"/>
      <c r="T70" s="97"/>
      <c r="X70" s="94"/>
      <c r="Y70" s="95"/>
      <c r="Z70" s="95"/>
      <c r="AA70" s="94"/>
      <c r="AB70" s="94"/>
      <c r="AC70" s="94"/>
      <c r="AD70" s="94"/>
      <c r="AE70" s="94"/>
      <c r="AF70" s="94"/>
      <c r="AS70" s="94"/>
      <c r="AT70" s="94"/>
      <c r="AU70" s="94"/>
      <c r="AV70" s="94"/>
      <c r="BB70" s="108">
        <f>Schäden_Einband!X70+Schäden_Buchblock!AC70</f>
        <v>0</v>
      </c>
      <c r="BC70" s="95"/>
    </row>
    <row r="71" spans="1:62" x14ac:dyDescent="0.25">
      <c r="A71" s="82">
        <v>70</v>
      </c>
      <c r="B71" s="64" t="s">
        <v>253</v>
      </c>
      <c r="C71" s="64">
        <v>1079551522</v>
      </c>
      <c r="D71" s="84" t="str">
        <f t="shared" si="1"/>
        <v>https://portal.dnb.de/opac.htm?method=simpleSearch&amp;cqlMode=true&amp;query=idn%3D1079551522</v>
      </c>
      <c r="E71" s="64" t="s">
        <v>254</v>
      </c>
      <c r="F71" s="82"/>
      <c r="G71" s="85"/>
      <c r="H71" s="82"/>
      <c r="I71" s="85"/>
      <c r="J71" s="85"/>
      <c r="K71" s="82"/>
      <c r="L71" s="82"/>
      <c r="M71" s="82"/>
      <c r="N71" s="82"/>
      <c r="O71" s="82"/>
      <c r="P71" s="82"/>
      <c r="Q71" s="82"/>
      <c r="R71" s="82"/>
      <c r="S71" s="97"/>
      <c r="T71" s="97"/>
      <c r="X71" s="94"/>
      <c r="Y71" s="95"/>
      <c r="Z71" s="95"/>
      <c r="AA71" s="94"/>
      <c r="AB71" s="94"/>
      <c r="AC71" s="94"/>
      <c r="AD71" s="94"/>
      <c r="AE71" s="94"/>
      <c r="AF71" s="94"/>
      <c r="AS71" s="94"/>
      <c r="AT71" s="94"/>
      <c r="AU71" s="94"/>
      <c r="AV71" s="94"/>
      <c r="BB71" s="108">
        <f>Schäden_Einband!X71+Schäden_Buchblock!AC71</f>
        <v>0</v>
      </c>
      <c r="BC71" s="95"/>
    </row>
    <row r="72" spans="1:62" x14ac:dyDescent="0.25">
      <c r="A72" s="82">
        <v>71</v>
      </c>
      <c r="B72" s="64" t="s">
        <v>255</v>
      </c>
      <c r="C72" s="64">
        <v>1066971773</v>
      </c>
      <c r="D72" s="84" t="str">
        <f t="shared" si="1"/>
        <v>https://portal.dnb.de/opac.htm?method=simpleSearch&amp;cqlMode=true&amp;query=idn%3D1066971773</v>
      </c>
      <c r="E72" s="64" t="s">
        <v>256</v>
      </c>
      <c r="F72" s="82"/>
      <c r="G72" s="85"/>
      <c r="H72" s="82"/>
      <c r="I72" s="85"/>
      <c r="J72" s="85"/>
      <c r="K72" s="82"/>
      <c r="L72" s="82"/>
      <c r="M72" s="82"/>
      <c r="N72" s="82"/>
      <c r="O72" s="82"/>
      <c r="P72" s="82"/>
      <c r="Q72" s="82"/>
      <c r="R72" s="82"/>
      <c r="S72" s="97"/>
      <c r="T72" s="97"/>
      <c r="X72" s="94"/>
      <c r="Y72" s="95"/>
      <c r="Z72" s="95"/>
      <c r="AA72" s="94"/>
      <c r="AB72" s="94"/>
      <c r="AC72" s="94"/>
      <c r="AD72" s="94"/>
      <c r="AE72" s="94"/>
      <c r="AF72" s="94"/>
      <c r="AS72" s="94"/>
      <c r="AT72" s="94"/>
      <c r="AU72" s="94"/>
      <c r="AV72" s="94"/>
      <c r="BB72" s="108">
        <f>Schäden_Einband!X72+Schäden_Buchblock!AC72</f>
        <v>0</v>
      </c>
      <c r="BC72" s="95"/>
    </row>
    <row r="73" spans="1:62" x14ac:dyDescent="0.25">
      <c r="A73" s="82">
        <v>72</v>
      </c>
      <c r="B73" s="64" t="s">
        <v>257</v>
      </c>
      <c r="C73" s="64">
        <v>1079551913</v>
      </c>
      <c r="D73" s="84" t="str">
        <f t="shared" si="1"/>
        <v>https://portal.dnb.de/opac.htm?method=simpleSearch&amp;cqlMode=true&amp;query=idn%3D1079551913</v>
      </c>
      <c r="E73" s="64" t="s">
        <v>258</v>
      </c>
      <c r="F73" s="82"/>
      <c r="G73" s="85"/>
      <c r="H73" s="82"/>
      <c r="I73" s="85"/>
      <c r="J73" s="85"/>
      <c r="K73" s="82"/>
      <c r="L73" s="82"/>
      <c r="M73" s="82"/>
      <c r="N73" s="82"/>
      <c r="O73" s="82"/>
      <c r="P73" s="82"/>
      <c r="Q73" s="82"/>
      <c r="R73" s="82"/>
      <c r="S73" s="97"/>
      <c r="T73" s="97"/>
      <c r="X73" s="94"/>
      <c r="Y73" s="95"/>
      <c r="Z73" s="95"/>
      <c r="AA73" s="94"/>
      <c r="AB73" s="94"/>
      <c r="AC73" s="94"/>
      <c r="AD73" s="94"/>
      <c r="AE73" s="94"/>
      <c r="AF73" s="94"/>
      <c r="AS73" s="94"/>
      <c r="AT73" s="94"/>
      <c r="AU73" s="94"/>
      <c r="AV73" s="94"/>
      <c r="BB73" s="108">
        <f>Schäden_Einband!X73+Schäden_Buchblock!AC73</f>
        <v>0</v>
      </c>
      <c r="BC73" s="95"/>
    </row>
    <row r="74" spans="1:62" x14ac:dyDescent="0.25">
      <c r="A74" s="82">
        <v>73</v>
      </c>
      <c r="B74" s="64" t="s">
        <v>259</v>
      </c>
      <c r="C74" s="64">
        <v>1079551808</v>
      </c>
      <c r="D74" s="84" t="str">
        <f t="shared" si="1"/>
        <v>https://portal.dnb.de/opac.htm?method=simpleSearch&amp;cqlMode=true&amp;query=idn%3D1079551808</v>
      </c>
      <c r="E74" s="64" t="s">
        <v>260</v>
      </c>
      <c r="F74" s="82"/>
      <c r="G74" s="85"/>
      <c r="H74" s="82"/>
      <c r="I74" s="85"/>
      <c r="J74" s="85"/>
      <c r="K74" s="82"/>
      <c r="L74" s="82"/>
      <c r="M74" s="82"/>
      <c r="N74" s="82"/>
      <c r="O74" s="82"/>
      <c r="P74" s="82"/>
      <c r="Q74" s="82"/>
      <c r="R74" s="82"/>
      <c r="S74" s="97"/>
      <c r="T74" s="97"/>
      <c r="X74" s="94"/>
      <c r="Y74" s="95"/>
      <c r="Z74" s="95"/>
      <c r="AA74" s="94"/>
      <c r="AB74" s="94"/>
      <c r="AC74" s="94"/>
      <c r="AD74" s="94"/>
      <c r="AE74" s="94"/>
      <c r="AF74" s="94"/>
      <c r="AS74" s="94"/>
      <c r="AT74" s="94"/>
      <c r="AU74" s="94"/>
      <c r="AV74" s="94"/>
      <c r="BB74" s="108">
        <f>Schäden_Einband!X74+Schäden_Buchblock!AC74</f>
        <v>0</v>
      </c>
      <c r="BC74" s="95"/>
    </row>
    <row r="75" spans="1:62" ht="46" x14ac:dyDescent="0.25">
      <c r="A75" s="82">
        <v>74</v>
      </c>
      <c r="B75" s="64" t="s">
        <v>261</v>
      </c>
      <c r="C75" s="64">
        <v>1066972435</v>
      </c>
      <c r="D75" s="84" t="str">
        <f t="shared" si="1"/>
        <v>https://portal.dnb.de/opac.htm?method=simpleSearch&amp;cqlMode=true&amp;query=idn%3D1066972435</v>
      </c>
      <c r="E75" s="64" t="s">
        <v>262</v>
      </c>
      <c r="F75" s="82" t="s">
        <v>89</v>
      </c>
      <c r="G75" s="85" t="s">
        <v>1584</v>
      </c>
      <c r="H75" s="82" t="s">
        <v>52</v>
      </c>
      <c r="I75" s="85" t="s">
        <v>90</v>
      </c>
      <c r="J75" s="85" t="s">
        <v>60</v>
      </c>
      <c r="K75" s="82" t="s">
        <v>67</v>
      </c>
      <c r="L75" s="82"/>
      <c r="M75" s="82"/>
      <c r="N75" s="82">
        <v>2</v>
      </c>
      <c r="O75" s="82"/>
      <c r="P75" s="82"/>
      <c r="Q75" s="82" t="s">
        <v>1588</v>
      </c>
      <c r="R75" s="82"/>
      <c r="S75" s="97"/>
      <c r="T75" s="97"/>
      <c r="V75" s="93">
        <v>15</v>
      </c>
      <c r="X75" s="94" t="s">
        <v>1728</v>
      </c>
      <c r="Y75" s="95" t="s">
        <v>1633</v>
      </c>
      <c r="Z75" s="95"/>
      <c r="AA75" s="94" t="s">
        <v>1723</v>
      </c>
      <c r="AB75" s="94"/>
      <c r="AC75" s="94"/>
      <c r="AD75" s="94"/>
      <c r="AE75" s="94"/>
      <c r="AF75" s="94"/>
      <c r="AG75" s="93" t="s">
        <v>1724</v>
      </c>
      <c r="AL75" s="93" t="s">
        <v>1736</v>
      </c>
      <c r="AQ75" s="93" t="s">
        <v>1725</v>
      </c>
      <c r="AR75" s="93" t="s">
        <v>1736</v>
      </c>
      <c r="AS75" s="94" t="s">
        <v>1745</v>
      </c>
      <c r="AT75" s="94"/>
      <c r="AU75" s="94">
        <v>110</v>
      </c>
      <c r="AV75" s="94" t="s">
        <v>1746</v>
      </c>
      <c r="BA75" s="94" t="s">
        <v>1727</v>
      </c>
      <c r="BB75" s="108">
        <f>Schäden_Einband!X75+Schäden_Buchblock!AC75</f>
        <v>0</v>
      </c>
      <c r="BC75" s="95"/>
      <c r="BF75" s="93" t="s">
        <v>1633</v>
      </c>
      <c r="BJ75" s="81" t="s">
        <v>1747</v>
      </c>
    </row>
    <row r="76" spans="1:62" ht="46" x14ac:dyDescent="0.25">
      <c r="A76" s="82">
        <v>75</v>
      </c>
      <c r="B76" s="64" t="s">
        <v>263</v>
      </c>
      <c r="C76" s="64">
        <v>1066969779</v>
      </c>
      <c r="D76" s="84" t="str">
        <f t="shared" si="1"/>
        <v>https://portal.dnb.de/opac.htm?method=simpleSearch&amp;cqlMode=true&amp;query=idn%3D1066969779</v>
      </c>
      <c r="E76" s="64" t="s">
        <v>264</v>
      </c>
      <c r="F76" s="82" t="s">
        <v>89</v>
      </c>
      <c r="G76" s="85" t="s">
        <v>1585</v>
      </c>
      <c r="H76" s="82" t="s">
        <v>52</v>
      </c>
      <c r="I76" s="85" t="s">
        <v>90</v>
      </c>
      <c r="J76" s="85" t="s">
        <v>1592</v>
      </c>
      <c r="K76" s="82" t="s">
        <v>67</v>
      </c>
      <c r="L76" s="82" t="s">
        <v>35</v>
      </c>
      <c r="M76" s="82" t="s">
        <v>37</v>
      </c>
      <c r="N76" s="82">
        <v>3</v>
      </c>
      <c r="O76" s="82"/>
      <c r="P76" s="82"/>
      <c r="Q76" s="82"/>
      <c r="R76" s="82"/>
      <c r="S76" s="97"/>
      <c r="T76" s="97"/>
      <c r="X76" s="94" t="s">
        <v>1722</v>
      </c>
      <c r="Y76" s="95" t="s">
        <v>1633</v>
      </c>
      <c r="Z76" s="95"/>
      <c r="AA76" s="94" t="s">
        <v>1723</v>
      </c>
      <c r="AB76" s="94"/>
      <c r="AC76" s="94" t="s">
        <v>1633</v>
      </c>
      <c r="AD76" s="94"/>
      <c r="AE76" s="94"/>
      <c r="AF76" s="94"/>
      <c r="AG76" s="93" t="s">
        <v>1724</v>
      </c>
      <c r="AQ76" s="93" t="s">
        <v>1729</v>
      </c>
      <c r="AR76" s="93" t="s">
        <v>1633</v>
      </c>
      <c r="AS76" s="94"/>
      <c r="AT76" s="94"/>
      <c r="AU76" s="94">
        <v>110</v>
      </c>
      <c r="AV76" s="94"/>
      <c r="BA76" s="94" t="s">
        <v>1733</v>
      </c>
      <c r="BB76" s="108">
        <f>Schäden_Einband!X76+Schäden_Buchblock!AC76</f>
        <v>3</v>
      </c>
      <c r="BC76" s="95"/>
      <c r="BD76" s="93" t="s">
        <v>1886</v>
      </c>
    </row>
    <row r="77" spans="1:62" ht="46" x14ac:dyDescent="0.25">
      <c r="A77" s="82">
        <v>76</v>
      </c>
      <c r="B77" s="64" t="s">
        <v>265</v>
      </c>
      <c r="C77" s="64">
        <v>1079551808</v>
      </c>
      <c r="D77" s="84" t="str">
        <f t="shared" si="1"/>
        <v>https://portal.dnb.de/opac.htm?method=simpleSearch&amp;cqlMode=true&amp;query=idn%3D1079551808</v>
      </c>
      <c r="E77" s="64" t="s">
        <v>266</v>
      </c>
      <c r="F77" s="82" t="s">
        <v>89</v>
      </c>
      <c r="G77" s="85" t="s">
        <v>1584</v>
      </c>
      <c r="H77" s="82" t="s">
        <v>51</v>
      </c>
      <c r="I77" s="85" t="s">
        <v>55</v>
      </c>
      <c r="J77" s="85" t="s">
        <v>1586</v>
      </c>
      <c r="K77" s="82" t="s">
        <v>67</v>
      </c>
      <c r="L77" s="82" t="s">
        <v>35</v>
      </c>
      <c r="M77" s="82" t="s">
        <v>37</v>
      </c>
      <c r="N77" s="82">
        <v>1</v>
      </c>
      <c r="O77" s="82"/>
      <c r="P77" s="82"/>
      <c r="Q77" s="82"/>
      <c r="R77" s="82"/>
      <c r="S77" s="97"/>
      <c r="T77" s="97"/>
      <c r="X77" s="94"/>
      <c r="Y77" s="95"/>
      <c r="Z77" s="95"/>
      <c r="AA77" s="94"/>
      <c r="AB77" s="94"/>
      <c r="AC77" s="94"/>
      <c r="AD77" s="94"/>
      <c r="AE77" s="94"/>
      <c r="AF77" s="94"/>
      <c r="AS77" s="94"/>
      <c r="AT77" s="94"/>
      <c r="AU77" s="94"/>
      <c r="AV77" s="94"/>
      <c r="BB77" s="108">
        <f>Schäden_Einband!X77+Schäden_Buchblock!AC77</f>
        <v>0</v>
      </c>
      <c r="BC77" s="95"/>
    </row>
    <row r="78" spans="1:62" ht="23" x14ac:dyDescent="0.25">
      <c r="A78" s="82">
        <v>77</v>
      </c>
      <c r="B78" s="64" t="s">
        <v>267</v>
      </c>
      <c r="C78" s="64">
        <v>1079550275</v>
      </c>
      <c r="D78" s="84" t="str">
        <f t="shared" si="1"/>
        <v>https://portal.dnb.de/opac.htm?method=simpleSearch&amp;cqlMode=true&amp;query=idn%3D1079550275</v>
      </c>
      <c r="E78" s="64" t="s">
        <v>268</v>
      </c>
      <c r="F78" s="87" t="s">
        <v>89</v>
      </c>
      <c r="G78" s="85" t="s">
        <v>45</v>
      </c>
      <c r="H78" s="82" t="s">
        <v>51</v>
      </c>
      <c r="I78" s="85" t="s">
        <v>90</v>
      </c>
      <c r="J78" s="85" t="s">
        <v>60</v>
      </c>
      <c r="K78" s="82" t="s">
        <v>67</v>
      </c>
      <c r="L78" s="82" t="s">
        <v>35</v>
      </c>
      <c r="M78" s="82" t="s">
        <v>37</v>
      </c>
      <c r="N78" s="82">
        <v>0</v>
      </c>
      <c r="O78" s="82"/>
      <c r="P78" s="82"/>
      <c r="Q78" s="82"/>
      <c r="R78" s="82"/>
      <c r="S78" s="97"/>
      <c r="T78" s="97"/>
      <c r="X78" s="94"/>
      <c r="Y78" s="95"/>
      <c r="Z78" s="95"/>
      <c r="AA78" s="94"/>
      <c r="AB78" s="94"/>
      <c r="AC78" s="94"/>
      <c r="AD78" s="94"/>
      <c r="AE78" s="94"/>
      <c r="AF78" s="94"/>
      <c r="AS78" s="94"/>
      <c r="AT78" s="94"/>
      <c r="AU78" s="94"/>
      <c r="AV78" s="94"/>
      <c r="BB78" s="108">
        <f>Schäden_Einband!X78+Schäden_Buchblock!AC78</f>
        <v>0</v>
      </c>
      <c r="BC78" s="95"/>
    </row>
    <row r="79" spans="1:62" ht="46" x14ac:dyDescent="0.25">
      <c r="A79" s="82">
        <v>78</v>
      </c>
      <c r="B79" s="64" t="s">
        <v>269</v>
      </c>
      <c r="C79" s="64">
        <v>1079550437</v>
      </c>
      <c r="D79" s="84" t="str">
        <f t="shared" si="1"/>
        <v>https://portal.dnb.de/opac.htm?method=simpleSearch&amp;cqlMode=true&amp;query=idn%3D1079550437</v>
      </c>
      <c r="E79" s="64" t="s">
        <v>270</v>
      </c>
      <c r="F79" s="87" t="s">
        <v>89</v>
      </c>
      <c r="G79" s="85" t="s">
        <v>1584</v>
      </c>
      <c r="H79" s="82" t="s">
        <v>51</v>
      </c>
      <c r="I79" s="85" t="s">
        <v>55</v>
      </c>
      <c r="J79" s="85" t="s">
        <v>1591</v>
      </c>
      <c r="K79" s="82" t="s">
        <v>67</v>
      </c>
      <c r="L79" s="82" t="s">
        <v>35</v>
      </c>
      <c r="M79" s="82" t="s">
        <v>37</v>
      </c>
      <c r="N79" s="82">
        <v>3</v>
      </c>
      <c r="O79" s="82"/>
      <c r="P79" s="82"/>
      <c r="Q79" s="82"/>
      <c r="R79" s="82"/>
      <c r="S79" s="97"/>
      <c r="T79" s="97"/>
      <c r="X79" s="94"/>
      <c r="Y79" s="95"/>
      <c r="Z79" s="95"/>
      <c r="AA79" s="94"/>
      <c r="AB79" s="94"/>
      <c r="AC79" s="94"/>
      <c r="AD79" s="94"/>
      <c r="AE79" s="94"/>
      <c r="AF79" s="94"/>
      <c r="AS79" s="94"/>
      <c r="AT79" s="94"/>
      <c r="AU79" s="94"/>
      <c r="AV79" s="94"/>
      <c r="BB79" s="108">
        <f>Schäden_Einband!X79+Schäden_Buchblock!AC79</f>
        <v>0</v>
      </c>
      <c r="BC79" s="95"/>
    </row>
    <row r="80" spans="1:62" ht="23" x14ac:dyDescent="0.25">
      <c r="A80" s="82">
        <v>79</v>
      </c>
      <c r="B80" s="64" t="s">
        <v>271</v>
      </c>
      <c r="C80" s="64">
        <v>1066970335</v>
      </c>
      <c r="D80" s="84" t="str">
        <f t="shared" si="1"/>
        <v>https://portal.dnb.de/opac.htm?method=simpleSearch&amp;cqlMode=true&amp;query=idn%3D1066970335</v>
      </c>
      <c r="E80" s="64" t="s">
        <v>272</v>
      </c>
      <c r="F80" s="82" t="s">
        <v>89</v>
      </c>
      <c r="G80" s="85" t="s">
        <v>4</v>
      </c>
      <c r="H80" s="82" t="s">
        <v>52</v>
      </c>
      <c r="I80" s="85" t="s">
        <v>90</v>
      </c>
      <c r="J80" s="85" t="s">
        <v>1586</v>
      </c>
      <c r="K80" s="82" t="s">
        <v>67</v>
      </c>
      <c r="L80" s="82"/>
      <c r="M80" s="82"/>
      <c r="N80" s="82">
        <v>1</v>
      </c>
      <c r="O80" s="82"/>
      <c r="P80" s="82"/>
      <c r="Q80" s="82"/>
      <c r="R80" s="82"/>
      <c r="S80" s="97"/>
      <c r="T80" s="97"/>
      <c r="X80" s="94" t="s">
        <v>1722</v>
      </c>
      <c r="Y80" s="95" t="s">
        <v>1633</v>
      </c>
      <c r="Z80" s="95"/>
      <c r="AA80" s="94" t="s">
        <v>1723</v>
      </c>
      <c r="AB80" s="94"/>
      <c r="AC80" s="94"/>
      <c r="AD80" s="94"/>
      <c r="AE80" s="94"/>
      <c r="AF80" s="94"/>
      <c r="AG80" s="93" t="s">
        <v>1724</v>
      </c>
      <c r="AQ80" s="93" t="s">
        <v>1725</v>
      </c>
      <c r="AR80" s="93" t="s">
        <v>1736</v>
      </c>
      <c r="AS80" s="94"/>
      <c r="AT80" s="94"/>
      <c r="AU80" s="94">
        <v>60</v>
      </c>
      <c r="AV80" s="94"/>
      <c r="BA80" s="94" t="s">
        <v>1733</v>
      </c>
      <c r="BB80" s="108">
        <f>Schäden_Einband!X80+Schäden_Buchblock!AC80</f>
        <v>2</v>
      </c>
      <c r="BC80" s="95"/>
      <c r="BF80" s="93" t="s">
        <v>1633</v>
      </c>
    </row>
    <row r="81" spans="1:62" x14ac:dyDescent="0.25">
      <c r="A81" s="82">
        <v>80</v>
      </c>
      <c r="B81" s="64" t="s">
        <v>273</v>
      </c>
      <c r="C81" s="64">
        <v>1066964998</v>
      </c>
      <c r="D81" s="84" t="str">
        <f t="shared" si="1"/>
        <v>https://portal.dnb.de/opac.htm?method=simpleSearch&amp;cqlMode=true&amp;query=idn%3D1066964998</v>
      </c>
      <c r="E81" s="64" t="s">
        <v>274</v>
      </c>
      <c r="F81" s="82"/>
      <c r="G81" s="85"/>
      <c r="H81" s="82"/>
      <c r="I81" s="85"/>
      <c r="J81" s="85"/>
      <c r="K81" s="82"/>
      <c r="L81" s="82"/>
      <c r="M81" s="82"/>
      <c r="N81" s="82"/>
      <c r="O81" s="82"/>
      <c r="P81" s="82"/>
      <c r="Q81" s="82"/>
      <c r="R81" s="82"/>
      <c r="S81" s="97"/>
      <c r="T81" s="97"/>
      <c r="X81" s="94"/>
      <c r="Y81" s="95"/>
      <c r="Z81" s="95"/>
      <c r="AA81" s="94"/>
      <c r="AB81" s="94"/>
      <c r="AC81" s="94"/>
      <c r="AD81" s="94"/>
      <c r="AE81" s="94"/>
      <c r="AF81" s="94"/>
      <c r="AS81" s="94"/>
      <c r="AT81" s="94"/>
      <c r="AU81" s="94"/>
      <c r="AV81" s="94"/>
      <c r="BB81" s="108">
        <f>Schäden_Einband!X81+Schäden_Buchblock!AC81</f>
        <v>0</v>
      </c>
      <c r="BC81" s="95"/>
    </row>
    <row r="82" spans="1:62" ht="46" x14ac:dyDescent="0.25">
      <c r="A82" s="82">
        <v>81</v>
      </c>
      <c r="B82" s="64" t="s">
        <v>275</v>
      </c>
      <c r="C82" s="64">
        <v>1066967415</v>
      </c>
      <c r="D82" s="84" t="str">
        <f t="shared" si="1"/>
        <v>https://portal.dnb.de/opac.htm?method=simpleSearch&amp;cqlMode=true&amp;query=idn%3D1066967415</v>
      </c>
      <c r="E82" s="64" t="s">
        <v>276</v>
      </c>
      <c r="F82" s="82" t="s">
        <v>89</v>
      </c>
      <c r="G82" s="85" t="s">
        <v>1585</v>
      </c>
      <c r="H82" s="82" t="s">
        <v>51</v>
      </c>
      <c r="I82" s="85" t="s">
        <v>90</v>
      </c>
      <c r="J82" s="85" t="s">
        <v>1586</v>
      </c>
      <c r="K82" s="82" t="s">
        <v>67</v>
      </c>
      <c r="L82" s="82" t="s">
        <v>35</v>
      </c>
      <c r="M82" s="82" t="s">
        <v>37</v>
      </c>
      <c r="N82" s="82">
        <v>2</v>
      </c>
      <c r="O82" s="82"/>
      <c r="P82" s="82"/>
      <c r="Q82" s="82"/>
      <c r="R82" s="82"/>
      <c r="S82" s="97"/>
      <c r="T82" s="97"/>
      <c r="X82" s="94"/>
      <c r="Y82" s="95"/>
      <c r="Z82" s="95"/>
      <c r="AA82" s="94"/>
      <c r="AB82" s="94"/>
      <c r="AC82" s="94"/>
      <c r="AD82" s="94"/>
      <c r="AE82" s="94"/>
      <c r="AF82" s="94"/>
      <c r="AS82" s="94"/>
      <c r="AT82" s="94"/>
      <c r="AU82" s="94"/>
      <c r="AV82" s="94"/>
      <c r="BB82" s="108">
        <f>Schäden_Einband!X82+Schäden_Buchblock!AC82</f>
        <v>0</v>
      </c>
      <c r="BC82" s="95"/>
    </row>
    <row r="83" spans="1:62" ht="23" x14ac:dyDescent="0.25">
      <c r="A83" s="82">
        <v>82</v>
      </c>
      <c r="B83" s="64" t="s">
        <v>277</v>
      </c>
      <c r="C83" s="64">
        <v>1066969701</v>
      </c>
      <c r="D83" s="84" t="str">
        <f t="shared" si="1"/>
        <v>https://portal.dnb.de/opac.htm?method=simpleSearch&amp;cqlMode=true&amp;query=idn%3D1066969701</v>
      </c>
      <c r="E83" s="64" t="s">
        <v>278</v>
      </c>
      <c r="F83" s="82" t="s">
        <v>89</v>
      </c>
      <c r="G83" s="85" t="s">
        <v>3</v>
      </c>
      <c r="H83" s="82" t="s">
        <v>51</v>
      </c>
      <c r="I83" s="85" t="s">
        <v>90</v>
      </c>
      <c r="J83" s="85" t="s">
        <v>1586</v>
      </c>
      <c r="K83" s="82" t="s">
        <v>67</v>
      </c>
      <c r="L83" s="82" t="s">
        <v>35</v>
      </c>
      <c r="M83" s="82" t="s">
        <v>37</v>
      </c>
      <c r="N83" s="82">
        <v>2</v>
      </c>
      <c r="O83" s="82"/>
      <c r="P83" s="82"/>
      <c r="Q83" s="82"/>
      <c r="R83" s="82"/>
      <c r="S83" s="97"/>
      <c r="T83" s="97"/>
      <c r="X83" s="94"/>
      <c r="Y83" s="95"/>
      <c r="Z83" s="95"/>
      <c r="AA83" s="94"/>
      <c r="AB83" s="94"/>
      <c r="AC83" s="94"/>
      <c r="AD83" s="94"/>
      <c r="AE83" s="94"/>
      <c r="AF83" s="94"/>
      <c r="AS83" s="94"/>
      <c r="AT83" s="94"/>
      <c r="AU83" s="94"/>
      <c r="AV83" s="94"/>
      <c r="BB83" s="108">
        <f>Schäden_Einband!X83+Schäden_Buchblock!AC83</f>
        <v>0</v>
      </c>
      <c r="BC83" s="95"/>
    </row>
    <row r="84" spans="1:62" x14ac:dyDescent="0.25">
      <c r="A84" s="82">
        <v>83</v>
      </c>
      <c r="B84" s="64" t="s">
        <v>279</v>
      </c>
      <c r="C84" s="64">
        <v>1066969876</v>
      </c>
      <c r="D84" s="84" t="str">
        <f t="shared" si="1"/>
        <v>https://portal.dnb.de/opac.htm?method=simpleSearch&amp;cqlMode=true&amp;query=idn%3D1066969876</v>
      </c>
      <c r="E84" s="64" t="s">
        <v>280</v>
      </c>
      <c r="F84" s="82" t="s">
        <v>89</v>
      </c>
      <c r="G84" s="85" t="s">
        <v>4</v>
      </c>
      <c r="H84" s="82" t="s">
        <v>51</v>
      </c>
      <c r="I84" s="85" t="s">
        <v>55</v>
      </c>
      <c r="J84" s="85"/>
      <c r="K84" s="82"/>
      <c r="L84" s="82" t="s">
        <v>35</v>
      </c>
      <c r="M84" s="82" t="s">
        <v>37</v>
      </c>
      <c r="N84" s="82">
        <v>0</v>
      </c>
      <c r="O84" s="82"/>
      <c r="P84" s="82"/>
      <c r="Q84" s="82"/>
      <c r="R84" s="82"/>
      <c r="S84" s="97"/>
      <c r="T84" s="97"/>
      <c r="X84" s="94"/>
      <c r="Y84" s="95"/>
      <c r="Z84" s="95"/>
      <c r="AA84" s="94"/>
      <c r="AB84" s="94"/>
      <c r="AC84" s="94"/>
      <c r="AD84" s="94"/>
      <c r="AE84" s="94"/>
      <c r="AF84" s="94"/>
      <c r="AS84" s="94"/>
      <c r="AT84" s="94"/>
      <c r="AU84" s="94"/>
      <c r="AV84" s="94"/>
      <c r="BB84" s="108">
        <f>Schäden_Einband!X84+Schäden_Buchblock!AC84</f>
        <v>0</v>
      </c>
      <c r="BC84" s="95"/>
    </row>
    <row r="85" spans="1:62" ht="23" x14ac:dyDescent="0.25">
      <c r="A85" s="82">
        <v>84</v>
      </c>
      <c r="B85" s="64" t="s">
        <v>281</v>
      </c>
      <c r="C85" s="64">
        <v>1066970599</v>
      </c>
      <c r="D85" s="84" t="str">
        <f t="shared" si="1"/>
        <v>https://portal.dnb.de/opac.htm?method=simpleSearch&amp;cqlMode=true&amp;query=idn%3D1066970599</v>
      </c>
      <c r="E85" s="64" t="s">
        <v>282</v>
      </c>
      <c r="F85" s="82" t="s">
        <v>89</v>
      </c>
      <c r="G85" s="85" t="s">
        <v>3</v>
      </c>
      <c r="H85" s="82" t="s">
        <v>51</v>
      </c>
      <c r="I85" s="85" t="s">
        <v>86</v>
      </c>
      <c r="J85" s="85" t="s">
        <v>1605</v>
      </c>
      <c r="K85" s="82"/>
      <c r="L85" s="82" t="s">
        <v>35</v>
      </c>
      <c r="M85" s="82" t="s">
        <v>37</v>
      </c>
      <c r="N85" s="82">
        <v>1</v>
      </c>
      <c r="O85" s="82"/>
      <c r="P85" s="82"/>
      <c r="Q85" s="82"/>
      <c r="R85" s="82"/>
      <c r="S85" s="97"/>
      <c r="T85" s="97"/>
      <c r="X85" s="94"/>
      <c r="Y85" s="95"/>
      <c r="Z85" s="95"/>
      <c r="AA85" s="94"/>
      <c r="AB85" s="94"/>
      <c r="AC85" s="94"/>
      <c r="AD85" s="94"/>
      <c r="AE85" s="94"/>
      <c r="AF85" s="94"/>
      <c r="AS85" s="94"/>
      <c r="AT85" s="94"/>
      <c r="AU85" s="94"/>
      <c r="AV85" s="94"/>
      <c r="BB85" s="108">
        <f>Schäden_Einband!X85+Schäden_Buchblock!AC85</f>
        <v>0</v>
      </c>
      <c r="BC85" s="95"/>
    </row>
    <row r="86" spans="1:62" ht="46" x14ac:dyDescent="0.25">
      <c r="A86" s="82">
        <v>85</v>
      </c>
      <c r="B86" s="64" t="s">
        <v>283</v>
      </c>
      <c r="C86" s="64">
        <v>1066972087</v>
      </c>
      <c r="D86" s="84" t="str">
        <f t="shared" si="1"/>
        <v>https://portal.dnb.de/opac.htm?method=simpleSearch&amp;cqlMode=true&amp;query=idn%3D1066972087</v>
      </c>
      <c r="E86" s="64" t="s">
        <v>284</v>
      </c>
      <c r="F86" s="82" t="s">
        <v>89</v>
      </c>
      <c r="G86" s="85" t="s">
        <v>1584</v>
      </c>
      <c r="H86" s="82" t="s">
        <v>52</v>
      </c>
      <c r="I86" s="85" t="s">
        <v>90</v>
      </c>
      <c r="J86" s="85" t="s">
        <v>1586</v>
      </c>
      <c r="K86" s="82" t="s">
        <v>67</v>
      </c>
      <c r="L86" s="82"/>
      <c r="M86" s="82"/>
      <c r="N86" s="82">
        <v>1</v>
      </c>
      <c r="O86" s="82"/>
      <c r="P86" s="82"/>
      <c r="Q86" s="82"/>
      <c r="R86" s="82"/>
      <c r="S86" s="97"/>
      <c r="T86" s="97"/>
      <c r="X86" s="94" t="s">
        <v>1722</v>
      </c>
      <c r="Y86" s="95" t="s">
        <v>1633</v>
      </c>
      <c r="Z86" s="95"/>
      <c r="AA86" s="94" t="s">
        <v>1723</v>
      </c>
      <c r="AB86" s="94"/>
      <c r="AC86" s="94"/>
      <c r="AD86" s="94"/>
      <c r="AE86" s="94"/>
      <c r="AF86" s="94"/>
      <c r="AG86" s="93" t="s">
        <v>1724</v>
      </c>
      <c r="AQ86" s="93" t="s">
        <v>1725</v>
      </c>
      <c r="AR86" s="93" t="s">
        <v>1736</v>
      </c>
      <c r="AS86" s="94"/>
      <c r="AT86" s="94"/>
      <c r="AU86" s="94" t="s">
        <v>1726</v>
      </c>
      <c r="AV86" s="94"/>
      <c r="BA86" s="94" t="s">
        <v>1733</v>
      </c>
      <c r="BB86" s="108">
        <f>Schäden_Einband!X86+Schäden_Buchblock!AC86</f>
        <v>0.5</v>
      </c>
      <c r="BC86" s="95"/>
      <c r="BF86" s="93" t="s">
        <v>1633</v>
      </c>
    </row>
    <row r="87" spans="1:62" ht="23" x14ac:dyDescent="0.25">
      <c r="A87" s="82">
        <v>86</v>
      </c>
      <c r="B87" s="64" t="s">
        <v>285</v>
      </c>
      <c r="C87" s="64">
        <v>1066965870</v>
      </c>
      <c r="D87" s="84" t="str">
        <f t="shared" si="1"/>
        <v>https://portal.dnb.de/opac.htm?method=simpleSearch&amp;cqlMode=true&amp;query=idn%3D1066965870</v>
      </c>
      <c r="E87" s="64" t="s">
        <v>286</v>
      </c>
      <c r="F87" s="82" t="s">
        <v>89</v>
      </c>
      <c r="G87" s="85" t="s">
        <v>45</v>
      </c>
      <c r="H87" s="82" t="s">
        <v>51</v>
      </c>
      <c r="I87" s="85" t="s">
        <v>90</v>
      </c>
      <c r="J87" s="85" t="s">
        <v>81</v>
      </c>
      <c r="K87" s="82"/>
      <c r="L87" s="82" t="s">
        <v>35</v>
      </c>
      <c r="M87" s="82" t="s">
        <v>37</v>
      </c>
      <c r="N87" s="82">
        <v>0</v>
      </c>
      <c r="O87" s="82"/>
      <c r="P87" s="82"/>
      <c r="Q87" s="82"/>
      <c r="R87" s="82"/>
      <c r="S87" s="97"/>
      <c r="T87" s="97"/>
      <c r="X87" s="94" t="s">
        <v>1730</v>
      </c>
      <c r="Y87" s="95"/>
      <c r="Z87" s="95" t="s">
        <v>1633</v>
      </c>
      <c r="AA87" s="94" t="s">
        <v>1737</v>
      </c>
      <c r="AB87" s="94"/>
      <c r="AC87" s="94"/>
      <c r="AD87" s="94"/>
      <c r="AE87" s="94"/>
      <c r="AF87" s="94"/>
      <c r="AG87" s="93" t="s">
        <v>1724</v>
      </c>
      <c r="AS87" s="94"/>
      <c r="AT87" s="94"/>
      <c r="AU87" s="94">
        <v>110</v>
      </c>
      <c r="AV87" s="94"/>
      <c r="BA87" s="94" t="s">
        <v>1727</v>
      </c>
      <c r="BB87" s="108">
        <f>Schäden_Einband!X87+Schäden_Buchblock!AC87</f>
        <v>0</v>
      </c>
      <c r="BC87" s="95"/>
      <c r="BD87" s="93" t="s">
        <v>1886</v>
      </c>
    </row>
    <row r="88" spans="1:62" ht="46" x14ac:dyDescent="0.25">
      <c r="A88" s="82">
        <v>87</v>
      </c>
      <c r="B88" s="64" t="s">
        <v>287</v>
      </c>
      <c r="C88" s="64" t="s">
        <v>288</v>
      </c>
      <c r="D88" s="84" t="str">
        <f t="shared" si="1"/>
        <v>https://portal.dnb.de/opac.htm?method=simpleSearch&amp;cqlMode=true&amp;query=idn%3D106696758X</v>
      </c>
      <c r="E88" s="64" t="s">
        <v>289</v>
      </c>
      <c r="F88" s="82" t="s">
        <v>89</v>
      </c>
      <c r="G88" s="85" t="s">
        <v>1584</v>
      </c>
      <c r="H88" s="82" t="s">
        <v>52</v>
      </c>
      <c r="I88" s="85" t="s">
        <v>86</v>
      </c>
      <c r="J88" s="85" t="s">
        <v>1583</v>
      </c>
      <c r="K88" s="82" t="s">
        <v>67</v>
      </c>
      <c r="L88" s="82"/>
      <c r="M88" s="82" t="s">
        <v>101</v>
      </c>
      <c r="N88" s="82">
        <v>0</v>
      </c>
      <c r="O88" s="82"/>
      <c r="P88" s="82"/>
      <c r="Q88" s="82"/>
      <c r="R88" s="82"/>
      <c r="S88" s="97"/>
      <c r="T88" s="97"/>
      <c r="X88" s="94" t="s">
        <v>1728</v>
      </c>
      <c r="Y88" s="95" t="s">
        <v>1633</v>
      </c>
      <c r="Z88" s="95"/>
      <c r="AA88" s="94" t="s">
        <v>1723</v>
      </c>
      <c r="AB88" s="94"/>
      <c r="AC88" s="94"/>
      <c r="AD88" s="94"/>
      <c r="AE88" s="94"/>
      <c r="AF88" s="94"/>
      <c r="AG88" s="93" t="s">
        <v>1724</v>
      </c>
      <c r="AK88" s="93" t="s">
        <v>1633</v>
      </c>
      <c r="AQ88" s="93" t="s">
        <v>1729</v>
      </c>
      <c r="AR88" s="93" t="s">
        <v>1736</v>
      </c>
      <c r="AS88" s="94"/>
      <c r="AT88" s="94"/>
      <c r="AU88" s="94">
        <v>60</v>
      </c>
      <c r="AV88" s="94"/>
      <c r="BA88" s="94" t="s">
        <v>1733</v>
      </c>
      <c r="BB88" s="108">
        <f>Schäden_Einband!X88+Schäden_Buchblock!AC88</f>
        <v>40</v>
      </c>
      <c r="BC88" s="95"/>
    </row>
    <row r="89" spans="1:62" ht="34.5" x14ac:dyDescent="0.25">
      <c r="A89" s="82">
        <v>88</v>
      </c>
      <c r="B89" s="64" t="s">
        <v>290</v>
      </c>
      <c r="C89" s="64">
        <v>1066965250</v>
      </c>
      <c r="D89" s="84" t="str">
        <f t="shared" si="1"/>
        <v>https://portal.dnb.de/opac.htm?method=simpleSearch&amp;cqlMode=true&amp;query=idn%3D1066965250</v>
      </c>
      <c r="E89" s="64" t="s">
        <v>291</v>
      </c>
      <c r="F89" s="82" t="s">
        <v>89</v>
      </c>
      <c r="G89" s="85" t="s">
        <v>4</v>
      </c>
      <c r="H89" s="82" t="s">
        <v>51</v>
      </c>
      <c r="I89" s="85" t="s">
        <v>90</v>
      </c>
      <c r="J89" s="85" t="s">
        <v>1606</v>
      </c>
      <c r="K89" s="82"/>
      <c r="L89" s="82" t="s">
        <v>35</v>
      </c>
      <c r="M89" s="82" t="s">
        <v>37</v>
      </c>
      <c r="N89" s="82">
        <v>3</v>
      </c>
      <c r="O89" s="82"/>
      <c r="P89" s="82"/>
      <c r="Q89" s="82"/>
      <c r="R89" s="82"/>
      <c r="S89" s="97"/>
      <c r="T89" s="97"/>
      <c r="X89" s="94" t="s">
        <v>1722</v>
      </c>
      <c r="Y89" s="95" t="s">
        <v>1633</v>
      </c>
      <c r="Z89" s="95"/>
      <c r="AA89" s="94" t="s">
        <v>1742</v>
      </c>
      <c r="AB89" s="94"/>
      <c r="AC89" s="94"/>
      <c r="AD89" s="94"/>
      <c r="AE89" s="94"/>
      <c r="AF89" s="94"/>
      <c r="AG89" s="93" t="s">
        <v>1724</v>
      </c>
      <c r="AS89" s="94"/>
      <c r="AT89" s="94"/>
      <c r="AU89" s="94">
        <v>60</v>
      </c>
      <c r="AV89" s="94"/>
      <c r="BA89" s="94" t="s">
        <v>1733</v>
      </c>
      <c r="BB89" s="108">
        <f>Schäden_Einband!X89+Schäden_Buchblock!AC89</f>
        <v>6</v>
      </c>
      <c r="BC89" s="95"/>
      <c r="BD89" s="93" t="s">
        <v>1887</v>
      </c>
    </row>
    <row r="90" spans="1:62" ht="46" x14ac:dyDescent="0.25">
      <c r="A90" s="82">
        <v>89</v>
      </c>
      <c r="B90" s="64" t="s">
        <v>292</v>
      </c>
      <c r="C90" s="64">
        <v>1066972400</v>
      </c>
      <c r="D90" s="84" t="str">
        <f t="shared" si="1"/>
        <v>https://portal.dnb.de/opac.htm?method=simpleSearch&amp;cqlMode=true&amp;query=idn%3D1066972400</v>
      </c>
      <c r="E90" s="64" t="s">
        <v>293</v>
      </c>
      <c r="F90" s="82" t="s">
        <v>89</v>
      </c>
      <c r="G90" s="85" t="s">
        <v>1584</v>
      </c>
      <c r="H90" s="82" t="s">
        <v>50</v>
      </c>
      <c r="I90" s="85" t="s">
        <v>86</v>
      </c>
      <c r="J90" s="85" t="s">
        <v>60</v>
      </c>
      <c r="K90" s="82" t="s">
        <v>67</v>
      </c>
      <c r="L90" s="82" t="s">
        <v>35</v>
      </c>
      <c r="M90" s="82" t="s">
        <v>37</v>
      </c>
      <c r="N90" s="82">
        <v>0</v>
      </c>
      <c r="O90" s="82"/>
      <c r="P90" s="82"/>
      <c r="Q90" s="82"/>
      <c r="R90" s="82"/>
      <c r="S90" s="97"/>
      <c r="T90" s="97"/>
      <c r="X90" s="94" t="s">
        <v>1741</v>
      </c>
      <c r="Y90" s="95"/>
      <c r="Z90" s="95" t="s">
        <v>1633</v>
      </c>
      <c r="AA90" s="94" t="s">
        <v>1738</v>
      </c>
      <c r="AB90" s="94"/>
      <c r="AC90" s="94"/>
      <c r="AD90" s="94"/>
      <c r="AE90" s="94"/>
      <c r="AF90" s="94"/>
      <c r="AG90" s="93" t="s">
        <v>1724</v>
      </c>
      <c r="AL90" s="93" t="s">
        <v>1633</v>
      </c>
      <c r="AQ90" s="93" t="s">
        <v>1729</v>
      </c>
      <c r="AR90" s="93" t="s">
        <v>1633</v>
      </c>
      <c r="AS90" s="94"/>
      <c r="AT90" s="94"/>
      <c r="AU90" s="94">
        <v>110</v>
      </c>
      <c r="AV90" s="94"/>
      <c r="BA90" s="94" t="s">
        <v>1727</v>
      </c>
      <c r="BB90" s="108">
        <f>Schäden_Einband!X90+Schäden_Buchblock!AC90</f>
        <v>0</v>
      </c>
      <c r="BC90" s="95"/>
      <c r="BD90" s="93" t="s">
        <v>1887</v>
      </c>
    </row>
    <row r="91" spans="1:62" ht="23" x14ac:dyDescent="0.25">
      <c r="A91" s="82">
        <v>90</v>
      </c>
      <c r="B91" s="64" t="s">
        <v>294</v>
      </c>
      <c r="C91" s="64">
        <v>1066967210</v>
      </c>
      <c r="D91" s="84" t="str">
        <f t="shared" si="1"/>
        <v>https://portal.dnb.de/opac.htm?method=simpleSearch&amp;cqlMode=true&amp;query=idn%3D1066967210</v>
      </c>
      <c r="E91" s="64" t="s">
        <v>295</v>
      </c>
      <c r="F91" s="82" t="s">
        <v>89</v>
      </c>
      <c r="G91" s="85" t="s">
        <v>4</v>
      </c>
      <c r="H91" s="82" t="s">
        <v>51</v>
      </c>
      <c r="I91" s="85" t="s">
        <v>90</v>
      </c>
      <c r="J91" s="85" t="s">
        <v>60</v>
      </c>
      <c r="K91" s="82" t="s">
        <v>67</v>
      </c>
      <c r="L91" s="82" t="s">
        <v>35</v>
      </c>
      <c r="M91" s="82" t="s">
        <v>37</v>
      </c>
      <c r="N91" s="82">
        <v>0</v>
      </c>
      <c r="O91" s="82"/>
      <c r="P91" s="82"/>
      <c r="Q91" s="82"/>
      <c r="R91" s="82"/>
      <c r="S91" s="97"/>
      <c r="T91" s="97"/>
      <c r="X91" s="94" t="s">
        <v>1722</v>
      </c>
      <c r="Y91" s="95"/>
      <c r="Z91" s="95" t="s">
        <v>1633</v>
      </c>
      <c r="AA91" s="94" t="s">
        <v>1738</v>
      </c>
      <c r="AB91" s="94"/>
      <c r="AC91" s="94"/>
      <c r="AD91" s="94"/>
      <c r="AE91" s="94"/>
      <c r="AF91" s="94"/>
      <c r="AG91" s="93" t="s">
        <v>1724</v>
      </c>
      <c r="AL91" s="93" t="s">
        <v>1633</v>
      </c>
      <c r="AS91" s="94"/>
      <c r="AT91" s="94"/>
      <c r="AU91" s="94" t="s">
        <v>1748</v>
      </c>
      <c r="AV91" s="94"/>
      <c r="BA91" s="94" t="s">
        <v>1727</v>
      </c>
      <c r="BB91" s="108">
        <f>Schäden_Einband!X91+Schäden_Buchblock!AC91</f>
        <v>0</v>
      </c>
      <c r="BC91" s="95"/>
      <c r="BD91" s="93" t="s">
        <v>1886</v>
      </c>
      <c r="BJ91" s="81" t="s">
        <v>1749</v>
      </c>
    </row>
    <row r="92" spans="1:62" ht="23" x14ac:dyDescent="0.25">
      <c r="A92" s="82">
        <v>91</v>
      </c>
      <c r="B92" s="64" t="s">
        <v>296</v>
      </c>
      <c r="C92" s="64">
        <v>1072051486</v>
      </c>
      <c r="D92" s="84" t="str">
        <f t="shared" si="1"/>
        <v>https://portal.dnb.de/opac.htm?method=simpleSearch&amp;cqlMode=true&amp;query=idn%3D1072051486</v>
      </c>
      <c r="E92" s="64" t="s">
        <v>297</v>
      </c>
      <c r="F92" s="82" t="s">
        <v>89</v>
      </c>
      <c r="G92" s="85" t="s">
        <v>4</v>
      </c>
      <c r="H92" s="82" t="s">
        <v>50</v>
      </c>
      <c r="I92" s="85" t="s">
        <v>86</v>
      </c>
      <c r="J92" s="85" t="s">
        <v>1627</v>
      </c>
      <c r="K92" s="82" t="s">
        <v>67</v>
      </c>
      <c r="L92" s="82" t="s">
        <v>35</v>
      </c>
      <c r="M92" s="82" t="s">
        <v>37</v>
      </c>
      <c r="N92" s="82">
        <v>0</v>
      </c>
      <c r="O92" s="82"/>
      <c r="P92" s="82"/>
      <c r="Q92" s="82"/>
      <c r="R92" s="82"/>
      <c r="S92" s="97"/>
      <c r="T92" s="97"/>
      <c r="X92" s="94" t="s">
        <v>1722</v>
      </c>
      <c r="Y92" s="95"/>
      <c r="Z92" s="95" t="s">
        <v>1633</v>
      </c>
      <c r="AA92" s="94" t="s">
        <v>1738</v>
      </c>
      <c r="AB92" s="94"/>
      <c r="AC92" s="94"/>
      <c r="AD92" s="94"/>
      <c r="AE92" s="94"/>
      <c r="AF92" s="94"/>
      <c r="AG92" s="93" t="s">
        <v>1724</v>
      </c>
      <c r="AL92" s="93" t="s">
        <v>1633</v>
      </c>
      <c r="AQ92" s="93" t="s">
        <v>1729</v>
      </c>
      <c r="AR92" s="93" t="s">
        <v>1633</v>
      </c>
      <c r="AS92" s="94">
        <v>2</v>
      </c>
      <c r="AT92" s="94"/>
      <c r="AU92" s="94" t="s">
        <v>1748</v>
      </c>
      <c r="AV92" s="94"/>
      <c r="BA92" s="94" t="s">
        <v>1727</v>
      </c>
      <c r="BB92" s="108">
        <f>Schäden_Einband!X92+Schäden_Buchblock!AC92</f>
        <v>0</v>
      </c>
      <c r="BC92" s="95"/>
      <c r="BD92" s="93" t="s">
        <v>1886</v>
      </c>
      <c r="BJ92" s="81" t="s">
        <v>1749</v>
      </c>
    </row>
    <row r="93" spans="1:62" ht="46" x14ac:dyDescent="0.25">
      <c r="A93" s="82">
        <v>92</v>
      </c>
      <c r="B93" s="64" t="s">
        <v>298</v>
      </c>
      <c r="C93" s="64">
        <v>1066967288</v>
      </c>
      <c r="D93" s="84" t="str">
        <f t="shared" si="1"/>
        <v>https://portal.dnb.de/opac.htm?method=simpleSearch&amp;cqlMode=true&amp;query=idn%3D1066967288</v>
      </c>
      <c r="E93" s="64" t="s">
        <v>299</v>
      </c>
      <c r="F93" s="82" t="s">
        <v>89</v>
      </c>
      <c r="G93" s="85" t="s">
        <v>1585</v>
      </c>
      <c r="H93" s="82" t="s">
        <v>50</v>
      </c>
      <c r="I93" s="85" t="s">
        <v>86</v>
      </c>
      <c r="J93" s="85"/>
      <c r="K93" s="82"/>
      <c r="L93" s="82" t="s">
        <v>35</v>
      </c>
      <c r="M93" s="82" t="s">
        <v>37</v>
      </c>
      <c r="N93" s="82">
        <v>0</v>
      </c>
      <c r="O93" s="82"/>
      <c r="P93" s="82" t="s">
        <v>1603</v>
      </c>
      <c r="Q93" s="82"/>
      <c r="R93" s="82"/>
      <c r="S93" s="97"/>
      <c r="T93" s="97"/>
      <c r="X93" s="94" t="s">
        <v>1741</v>
      </c>
      <c r="Y93" s="95"/>
      <c r="Z93" s="95" t="s">
        <v>1633</v>
      </c>
      <c r="AA93" s="94" t="s">
        <v>1738</v>
      </c>
      <c r="AB93" s="94"/>
      <c r="AC93" s="94"/>
      <c r="AD93" s="94"/>
      <c r="AE93" s="94"/>
      <c r="AF93" s="94"/>
      <c r="AG93" s="93" t="s">
        <v>1724</v>
      </c>
      <c r="AL93" s="93" t="s">
        <v>1633</v>
      </c>
      <c r="AS93" s="94">
        <v>2</v>
      </c>
      <c r="AT93" s="94"/>
      <c r="AU93" s="94">
        <v>110</v>
      </c>
      <c r="AV93" s="94"/>
      <c r="BA93" s="94" t="s">
        <v>1727</v>
      </c>
      <c r="BB93" s="108">
        <f>Schäden_Einband!X93+Schäden_Buchblock!AC93</f>
        <v>0</v>
      </c>
      <c r="BC93" s="95"/>
      <c r="BD93" s="93" t="s">
        <v>1886</v>
      </c>
    </row>
    <row r="94" spans="1:62" ht="46" x14ac:dyDescent="0.25">
      <c r="A94" s="82">
        <v>93</v>
      </c>
      <c r="B94" s="64" t="s">
        <v>300</v>
      </c>
      <c r="C94" s="64">
        <v>1066971455</v>
      </c>
      <c r="D94" s="84" t="str">
        <f t="shared" si="1"/>
        <v>https://portal.dnb.de/opac.htm?method=simpleSearch&amp;cqlMode=true&amp;query=idn%3D1066971455</v>
      </c>
      <c r="E94" s="64" t="s">
        <v>301</v>
      </c>
      <c r="F94" s="82" t="s">
        <v>89</v>
      </c>
      <c r="G94" s="85" t="s">
        <v>1607</v>
      </c>
      <c r="H94" s="82" t="s">
        <v>51</v>
      </c>
      <c r="I94" s="85" t="s">
        <v>90</v>
      </c>
      <c r="J94" s="85" t="s">
        <v>1587</v>
      </c>
      <c r="K94" s="82" t="s">
        <v>67</v>
      </c>
      <c r="L94" s="82" t="s">
        <v>35</v>
      </c>
      <c r="M94" s="82" t="s">
        <v>37</v>
      </c>
      <c r="N94" s="82">
        <v>1</v>
      </c>
      <c r="O94" s="82"/>
      <c r="P94" s="82"/>
      <c r="Q94" s="82"/>
      <c r="R94" s="82"/>
      <c r="S94" s="97"/>
      <c r="T94" s="97"/>
      <c r="X94" s="94" t="s">
        <v>1739</v>
      </c>
      <c r="Y94" s="95" t="s">
        <v>1633</v>
      </c>
      <c r="Z94" s="95"/>
      <c r="AA94" s="94" t="s">
        <v>1737</v>
      </c>
      <c r="AB94" s="94"/>
      <c r="AC94" s="94"/>
      <c r="AD94" s="94"/>
      <c r="AE94" s="94"/>
      <c r="AF94" s="94"/>
      <c r="AG94" s="93" t="s">
        <v>1724</v>
      </c>
      <c r="AQ94" s="93" t="s">
        <v>1729</v>
      </c>
      <c r="AR94" s="93" t="s">
        <v>1633</v>
      </c>
      <c r="AS94" s="94"/>
      <c r="AT94" s="94"/>
      <c r="AU94" s="94">
        <v>180</v>
      </c>
      <c r="AV94" s="94"/>
      <c r="BA94" s="94" t="s">
        <v>1727</v>
      </c>
      <c r="BB94" s="108">
        <f>Schäden_Einband!X94+Schäden_Buchblock!AC94</f>
        <v>0</v>
      </c>
      <c r="BC94" s="95"/>
      <c r="BD94" s="93" t="s">
        <v>1887</v>
      </c>
    </row>
    <row r="95" spans="1:62" x14ac:dyDescent="0.25">
      <c r="A95" s="82">
        <v>94</v>
      </c>
      <c r="B95" s="64" t="s">
        <v>302</v>
      </c>
      <c r="C95" s="64">
        <v>1067436936</v>
      </c>
      <c r="D95" s="84" t="str">
        <f t="shared" si="1"/>
        <v>https://portal.dnb.de/opac.htm?method=simpleSearch&amp;cqlMode=true&amp;query=idn%3D1067436936</v>
      </c>
      <c r="E95" s="64" t="s">
        <v>303</v>
      </c>
      <c r="F95" s="82"/>
      <c r="G95" s="85"/>
      <c r="H95" s="82"/>
      <c r="I95" s="85"/>
      <c r="J95" s="85"/>
      <c r="K95" s="82"/>
      <c r="L95" s="82"/>
      <c r="M95" s="82"/>
      <c r="N95" s="82"/>
      <c r="O95" s="82"/>
      <c r="P95" s="82"/>
      <c r="Q95" s="82"/>
      <c r="R95" s="82"/>
      <c r="S95" s="97"/>
      <c r="T95" s="97"/>
      <c r="X95" s="94"/>
      <c r="Y95" s="95"/>
      <c r="Z95" s="95"/>
      <c r="AA95" s="94"/>
      <c r="AB95" s="94"/>
      <c r="AC95" s="94"/>
      <c r="AD95" s="94"/>
      <c r="AE95" s="94"/>
      <c r="AF95" s="94"/>
      <c r="AS95" s="94"/>
      <c r="AT95" s="94"/>
      <c r="AU95" s="94"/>
      <c r="AV95" s="94"/>
      <c r="BB95" s="108">
        <f>Schäden_Einband!X95+Schäden_Buchblock!AC95</f>
        <v>0</v>
      </c>
      <c r="BC95" s="95"/>
    </row>
    <row r="96" spans="1:62" ht="23" x14ac:dyDescent="0.25">
      <c r="A96" s="82">
        <v>95</v>
      </c>
      <c r="B96" s="64" t="s">
        <v>304</v>
      </c>
      <c r="C96" s="64">
        <v>1066966966</v>
      </c>
      <c r="D96" s="84" t="str">
        <f t="shared" si="1"/>
        <v>https://portal.dnb.de/opac.htm?method=simpleSearch&amp;cqlMode=true&amp;query=idn%3D1066966966</v>
      </c>
      <c r="E96" s="64" t="s">
        <v>305</v>
      </c>
      <c r="F96" s="82"/>
      <c r="G96" s="85" t="s">
        <v>46</v>
      </c>
      <c r="H96" s="82" t="s">
        <v>51</v>
      </c>
      <c r="I96" s="85" t="s">
        <v>55</v>
      </c>
      <c r="J96" s="85" t="s">
        <v>1586</v>
      </c>
      <c r="K96" s="82" t="s">
        <v>67</v>
      </c>
      <c r="L96" s="82" t="s">
        <v>35</v>
      </c>
      <c r="M96" s="82" t="s">
        <v>37</v>
      </c>
      <c r="N96" s="82">
        <v>1</v>
      </c>
      <c r="O96" s="82"/>
      <c r="P96" s="82"/>
      <c r="Q96" s="82"/>
      <c r="R96" s="82"/>
      <c r="S96" s="97"/>
      <c r="T96" s="97"/>
      <c r="X96" s="94"/>
      <c r="Y96" s="95"/>
      <c r="Z96" s="95"/>
      <c r="AA96" s="94"/>
      <c r="AB96" s="94"/>
      <c r="AC96" s="94"/>
      <c r="AD96" s="94"/>
      <c r="AE96" s="94"/>
      <c r="AF96" s="94"/>
      <c r="AS96" s="94"/>
      <c r="AT96" s="94"/>
      <c r="AU96" s="94"/>
      <c r="AV96" s="94"/>
      <c r="BB96" s="108">
        <f>Schäden_Einband!X96+Schäden_Buchblock!AC96</f>
        <v>0</v>
      </c>
      <c r="BC96" s="95"/>
    </row>
    <row r="97" spans="1:62" ht="46" x14ac:dyDescent="0.25">
      <c r="A97" s="82">
        <v>96</v>
      </c>
      <c r="B97" s="64" t="s">
        <v>306</v>
      </c>
      <c r="C97" s="64" t="s">
        <v>307</v>
      </c>
      <c r="D97" s="84" t="str">
        <f t="shared" si="1"/>
        <v>https://portal.dnb.de/opac.htm?method=simpleSearch&amp;cqlMode=true&amp;query=idn%3D106696842X</v>
      </c>
      <c r="E97" s="64" t="s">
        <v>308</v>
      </c>
      <c r="F97" s="82" t="s">
        <v>89</v>
      </c>
      <c r="G97" s="85" t="s">
        <v>1607</v>
      </c>
      <c r="H97" s="82" t="s">
        <v>51</v>
      </c>
      <c r="I97" s="85" t="s">
        <v>90</v>
      </c>
      <c r="J97" s="85" t="s">
        <v>81</v>
      </c>
      <c r="K97" s="82"/>
      <c r="L97" s="82" t="s">
        <v>35</v>
      </c>
      <c r="M97" s="82" t="s">
        <v>37</v>
      </c>
      <c r="N97" s="82">
        <v>1</v>
      </c>
      <c r="O97" s="82"/>
      <c r="P97" s="82"/>
      <c r="Q97" s="82"/>
      <c r="R97" s="82"/>
      <c r="S97" s="97"/>
      <c r="T97" s="97"/>
      <c r="X97" s="94"/>
      <c r="Y97" s="95"/>
      <c r="Z97" s="95"/>
      <c r="AA97" s="94"/>
      <c r="AB97" s="94"/>
      <c r="AC97" s="94"/>
      <c r="AD97" s="94"/>
      <c r="AE97" s="94"/>
      <c r="AF97" s="94"/>
      <c r="AS97" s="94"/>
      <c r="AT97" s="94"/>
      <c r="AU97" s="94"/>
      <c r="AV97" s="94"/>
      <c r="BB97" s="108">
        <f>Schäden_Einband!X97+Schäden_Buchblock!AC97</f>
        <v>0</v>
      </c>
      <c r="BC97" s="95"/>
    </row>
    <row r="98" spans="1:62" ht="46" x14ac:dyDescent="0.25">
      <c r="A98" s="82">
        <v>97</v>
      </c>
      <c r="B98" s="64" t="s">
        <v>309</v>
      </c>
      <c r="C98" s="64">
        <v>1066969051</v>
      </c>
      <c r="D98" s="84" t="str">
        <f t="shared" si="1"/>
        <v>https://portal.dnb.de/opac.htm?method=simpleSearch&amp;cqlMode=true&amp;query=idn%3D1066969051</v>
      </c>
      <c r="E98" s="64" t="s">
        <v>310</v>
      </c>
      <c r="F98" s="82" t="s">
        <v>89</v>
      </c>
      <c r="G98" s="85" t="s">
        <v>1585</v>
      </c>
      <c r="H98" s="82" t="s">
        <v>51</v>
      </c>
      <c r="I98" s="85" t="s">
        <v>86</v>
      </c>
      <c r="J98" s="85" t="s">
        <v>1616</v>
      </c>
      <c r="K98" s="82" t="s">
        <v>67</v>
      </c>
      <c r="L98" s="82" t="s">
        <v>35</v>
      </c>
      <c r="M98" s="82" t="s">
        <v>37</v>
      </c>
      <c r="N98" s="82">
        <v>0</v>
      </c>
      <c r="O98" s="82"/>
      <c r="P98" s="82"/>
      <c r="Q98" s="82"/>
      <c r="R98" s="82"/>
      <c r="S98" s="97"/>
      <c r="T98" s="97"/>
      <c r="X98" s="94"/>
      <c r="Y98" s="95"/>
      <c r="Z98" s="95"/>
      <c r="AA98" s="94"/>
      <c r="AB98" s="94"/>
      <c r="AC98" s="94"/>
      <c r="AD98" s="94"/>
      <c r="AE98" s="94"/>
      <c r="AF98" s="94"/>
      <c r="AS98" s="94"/>
      <c r="AT98" s="94"/>
      <c r="AU98" s="94"/>
      <c r="AV98" s="94"/>
      <c r="BB98" s="108">
        <f>Schäden_Einband!X98+Schäden_Buchblock!AC98</f>
        <v>0</v>
      </c>
      <c r="BC98" s="95"/>
    </row>
    <row r="99" spans="1:62" ht="46" x14ac:dyDescent="0.25">
      <c r="A99" s="82"/>
      <c r="B99" s="64"/>
      <c r="C99" s="64"/>
      <c r="D99" s="84"/>
      <c r="E99" s="64" t="s">
        <v>1609</v>
      </c>
      <c r="F99" s="82" t="s">
        <v>89</v>
      </c>
      <c r="G99" s="85" t="s">
        <v>1585</v>
      </c>
      <c r="H99" s="82" t="s">
        <v>51</v>
      </c>
      <c r="I99" s="85" t="s">
        <v>86</v>
      </c>
      <c r="J99" s="85" t="s">
        <v>1616</v>
      </c>
      <c r="K99" s="82" t="s">
        <v>67</v>
      </c>
      <c r="L99" s="82" t="s">
        <v>35</v>
      </c>
      <c r="M99" s="82" t="s">
        <v>37</v>
      </c>
      <c r="N99" s="82">
        <v>2</v>
      </c>
      <c r="O99" s="82"/>
      <c r="P99" s="82"/>
      <c r="Q99" s="82"/>
      <c r="R99" s="82"/>
      <c r="S99" s="97"/>
      <c r="T99" s="97"/>
      <c r="X99" s="94"/>
      <c r="Y99" s="95"/>
      <c r="Z99" s="95"/>
      <c r="AA99" s="94"/>
      <c r="AB99" s="94"/>
      <c r="AC99" s="94"/>
      <c r="AD99" s="94"/>
      <c r="AE99" s="94"/>
      <c r="AF99" s="94"/>
      <c r="AS99" s="94"/>
      <c r="AT99" s="94"/>
      <c r="AU99" s="94"/>
      <c r="AV99" s="94"/>
      <c r="BB99" s="108">
        <f>Schäden_Einband!X99+Schäden_Buchblock!AC99</f>
        <v>0</v>
      </c>
      <c r="BC99" s="95"/>
    </row>
    <row r="100" spans="1:62" ht="23" x14ac:dyDescent="0.25">
      <c r="A100" s="82"/>
      <c r="B100" s="64"/>
      <c r="C100" s="64"/>
      <c r="D100" s="84"/>
      <c r="E100" s="64" t="s">
        <v>1610</v>
      </c>
      <c r="F100" s="82" t="s">
        <v>89</v>
      </c>
      <c r="G100" s="85" t="s">
        <v>4</v>
      </c>
      <c r="H100" s="82" t="s">
        <v>51</v>
      </c>
      <c r="I100" s="85" t="s">
        <v>86</v>
      </c>
      <c r="J100" s="85" t="s">
        <v>1616</v>
      </c>
      <c r="K100" s="82" t="s">
        <v>67</v>
      </c>
      <c r="L100" s="82" t="s">
        <v>35</v>
      </c>
      <c r="M100" s="82" t="s">
        <v>37</v>
      </c>
      <c r="N100" s="82">
        <v>1</v>
      </c>
      <c r="O100" s="82"/>
      <c r="P100" s="82"/>
      <c r="Q100" s="82"/>
      <c r="R100" s="82"/>
      <c r="S100" s="97"/>
      <c r="T100" s="97"/>
      <c r="X100" s="94" t="s">
        <v>1741</v>
      </c>
      <c r="Y100" s="95"/>
      <c r="Z100" s="95"/>
      <c r="AA100" s="94" t="s">
        <v>1738</v>
      </c>
      <c r="AB100" s="94"/>
      <c r="AC100" s="94"/>
      <c r="AD100" s="94"/>
      <c r="AE100" s="94"/>
      <c r="AF100" s="94"/>
      <c r="AG100" s="93" t="s">
        <v>1724</v>
      </c>
      <c r="AQ100" s="93" t="s">
        <v>1729</v>
      </c>
      <c r="AR100" s="93" t="s">
        <v>1633</v>
      </c>
      <c r="AS100" s="94"/>
      <c r="AT100" s="94"/>
      <c r="AU100" s="94">
        <v>60</v>
      </c>
      <c r="AV100" s="94"/>
      <c r="BA100" s="94" t="s">
        <v>1727</v>
      </c>
      <c r="BB100" s="108">
        <f>Schäden_Einband!X100+Schäden_Buchblock!AC100</f>
        <v>0</v>
      </c>
      <c r="BC100" s="95"/>
      <c r="BD100" s="93" t="s">
        <v>1887</v>
      </c>
      <c r="BJ100" s="81" t="s">
        <v>1750</v>
      </c>
    </row>
    <row r="101" spans="1:62" ht="46" x14ac:dyDescent="0.25">
      <c r="A101" s="82"/>
      <c r="B101" s="64"/>
      <c r="C101" s="64"/>
      <c r="D101" s="84"/>
      <c r="E101" s="64" t="s">
        <v>1611</v>
      </c>
      <c r="F101" s="82" t="s">
        <v>89</v>
      </c>
      <c r="G101" s="85" t="s">
        <v>1584</v>
      </c>
      <c r="H101" s="82" t="s">
        <v>51</v>
      </c>
      <c r="I101" s="85" t="s">
        <v>90</v>
      </c>
      <c r="J101" s="85" t="s">
        <v>1616</v>
      </c>
      <c r="K101" s="82" t="s">
        <v>67</v>
      </c>
      <c r="L101" s="82" t="s">
        <v>35</v>
      </c>
      <c r="M101" s="82" t="s">
        <v>37</v>
      </c>
      <c r="N101" s="82">
        <v>3</v>
      </c>
      <c r="O101" s="82"/>
      <c r="P101" s="82"/>
      <c r="Q101" s="82"/>
      <c r="R101" s="82"/>
      <c r="S101" s="97"/>
      <c r="T101" s="97"/>
      <c r="X101" s="94" t="s">
        <v>1741</v>
      </c>
      <c r="Y101" s="95"/>
      <c r="Z101" s="95"/>
      <c r="AA101" s="94" t="s">
        <v>1738</v>
      </c>
      <c r="AB101" s="94"/>
      <c r="AC101" s="94"/>
      <c r="AD101" s="94"/>
      <c r="AE101" s="94"/>
      <c r="AF101" s="94"/>
      <c r="AG101" s="93" t="s">
        <v>1724</v>
      </c>
      <c r="AQ101" s="93" t="s">
        <v>1729</v>
      </c>
      <c r="AR101" s="93" t="s">
        <v>1633</v>
      </c>
      <c r="AS101" s="94"/>
      <c r="AT101" s="94"/>
      <c r="AU101" s="94">
        <v>60</v>
      </c>
      <c r="AV101" s="94" t="s">
        <v>1751</v>
      </c>
      <c r="BA101" s="94" t="s">
        <v>1733</v>
      </c>
      <c r="BB101" s="108">
        <f>Schäden_Einband!X101+Schäden_Buchblock!AC101</f>
        <v>1</v>
      </c>
      <c r="BC101" s="95"/>
      <c r="BD101" s="93" t="s">
        <v>1887</v>
      </c>
      <c r="BJ101" s="81" t="s">
        <v>1752</v>
      </c>
    </row>
    <row r="102" spans="1:62" ht="46" x14ac:dyDescent="0.25">
      <c r="A102" s="82"/>
      <c r="B102" s="64"/>
      <c r="C102" s="64"/>
      <c r="D102" s="84"/>
      <c r="E102" s="64" t="s">
        <v>1611</v>
      </c>
      <c r="F102" s="82" t="s">
        <v>89</v>
      </c>
      <c r="G102" s="85" t="s">
        <v>1585</v>
      </c>
      <c r="H102" s="82" t="s">
        <v>51</v>
      </c>
      <c r="I102" s="85" t="s">
        <v>86</v>
      </c>
      <c r="J102" s="85" t="s">
        <v>1616</v>
      </c>
      <c r="K102" s="82" t="s">
        <v>67</v>
      </c>
      <c r="L102" s="82" t="s">
        <v>35</v>
      </c>
      <c r="M102" s="82" t="s">
        <v>37</v>
      </c>
      <c r="N102" s="82">
        <v>2</v>
      </c>
      <c r="O102" s="82"/>
      <c r="P102" s="82"/>
      <c r="Q102" s="82"/>
      <c r="R102" s="82"/>
      <c r="S102" s="97"/>
      <c r="T102" s="97"/>
      <c r="X102" s="94" t="s">
        <v>1741</v>
      </c>
      <c r="Y102" s="95"/>
      <c r="Z102" s="95"/>
      <c r="AA102" s="94" t="s">
        <v>1738</v>
      </c>
      <c r="AB102" s="94"/>
      <c r="AC102" s="94"/>
      <c r="AD102" s="94"/>
      <c r="AE102" s="94"/>
      <c r="AF102" s="94"/>
      <c r="AG102" s="93" t="s">
        <v>1724</v>
      </c>
      <c r="AK102" s="93" t="s">
        <v>1633</v>
      </c>
      <c r="AQ102" s="93" t="s">
        <v>1729</v>
      </c>
      <c r="AR102" s="93" t="s">
        <v>1633</v>
      </c>
      <c r="AS102" s="94"/>
      <c r="AT102" s="94"/>
      <c r="AU102" s="94">
        <v>45</v>
      </c>
      <c r="AV102" s="94"/>
      <c r="BA102" s="94" t="s">
        <v>1727</v>
      </c>
      <c r="BB102" s="108">
        <f>Schäden_Einband!X102+Schäden_Buchblock!AC102</f>
        <v>0</v>
      </c>
      <c r="BC102" s="95"/>
      <c r="BD102" s="93" t="s">
        <v>1887</v>
      </c>
      <c r="BJ102" s="81" t="s">
        <v>1752</v>
      </c>
    </row>
    <row r="103" spans="1:62" ht="23" x14ac:dyDescent="0.25">
      <c r="A103" s="82">
        <v>98</v>
      </c>
      <c r="B103" s="64" t="s">
        <v>311</v>
      </c>
      <c r="C103" s="64">
        <v>1066966761</v>
      </c>
      <c r="D103" s="84" t="str">
        <f t="shared" si="1"/>
        <v>https://portal.dnb.de/opac.htm?method=simpleSearch&amp;cqlMode=true&amp;query=idn%3D1066966761</v>
      </c>
      <c r="E103" s="64" t="s">
        <v>312</v>
      </c>
      <c r="F103" s="82" t="s">
        <v>89</v>
      </c>
      <c r="G103" s="85" t="s">
        <v>4</v>
      </c>
      <c r="H103" s="82" t="s">
        <v>51</v>
      </c>
      <c r="I103" s="85" t="s">
        <v>55</v>
      </c>
      <c r="J103" s="85" t="s">
        <v>1586</v>
      </c>
      <c r="K103" s="82" t="s">
        <v>67</v>
      </c>
      <c r="L103" s="82" t="s">
        <v>35</v>
      </c>
      <c r="M103" s="82" t="s">
        <v>37</v>
      </c>
      <c r="N103" s="82">
        <v>2</v>
      </c>
      <c r="O103" s="82"/>
      <c r="P103" s="82"/>
      <c r="Q103" s="82"/>
      <c r="R103" s="82"/>
      <c r="S103" s="97"/>
      <c r="T103" s="97"/>
      <c r="X103" s="94" t="s">
        <v>1722</v>
      </c>
      <c r="Y103" s="95" t="s">
        <v>1633</v>
      </c>
      <c r="Z103" s="95"/>
      <c r="AA103" s="94" t="s">
        <v>1723</v>
      </c>
      <c r="AB103" s="94"/>
      <c r="AC103" s="94"/>
      <c r="AD103" s="94"/>
      <c r="AE103" s="94"/>
      <c r="AF103" s="94"/>
      <c r="AG103" s="93" t="s">
        <v>1724</v>
      </c>
      <c r="AQ103" s="93" t="s">
        <v>1753</v>
      </c>
      <c r="AR103" s="93" t="s">
        <v>1736</v>
      </c>
      <c r="AS103" s="94"/>
      <c r="AT103" s="94"/>
      <c r="AU103" s="94">
        <v>110</v>
      </c>
      <c r="AV103" s="94"/>
      <c r="BA103" s="94" t="s">
        <v>1733</v>
      </c>
      <c r="BB103" s="108">
        <f>Schäden_Einband!X103+Schäden_Buchblock!AC103</f>
        <v>0.5</v>
      </c>
      <c r="BC103" s="95"/>
      <c r="BD103" s="93" t="s">
        <v>1887</v>
      </c>
    </row>
    <row r="104" spans="1:62" ht="23" x14ac:dyDescent="0.25">
      <c r="A104" s="82">
        <v>99</v>
      </c>
      <c r="B104" s="64" t="s">
        <v>313</v>
      </c>
      <c r="C104" s="64">
        <v>1066973148</v>
      </c>
      <c r="D104" s="84" t="str">
        <f t="shared" si="1"/>
        <v>https://portal.dnb.de/opac.htm?method=simpleSearch&amp;cqlMode=true&amp;query=idn%3D1066973148</v>
      </c>
      <c r="E104" s="64" t="s">
        <v>314</v>
      </c>
      <c r="F104" s="82" t="s">
        <v>89</v>
      </c>
      <c r="G104" s="85" t="s">
        <v>45</v>
      </c>
      <c r="H104" s="82" t="s">
        <v>51</v>
      </c>
      <c r="I104" s="85" t="s">
        <v>86</v>
      </c>
      <c r="J104" s="85" t="s">
        <v>1602</v>
      </c>
      <c r="K104" s="82"/>
      <c r="L104" s="82" t="s">
        <v>35</v>
      </c>
      <c r="M104" s="82" t="s">
        <v>37</v>
      </c>
      <c r="N104" s="82">
        <v>0</v>
      </c>
      <c r="O104" s="82"/>
      <c r="P104" s="82"/>
      <c r="Q104" s="82"/>
      <c r="R104" s="82"/>
      <c r="S104" s="97"/>
      <c r="T104" s="97"/>
      <c r="X104" s="94" t="s">
        <v>1730</v>
      </c>
      <c r="Y104" s="95"/>
      <c r="Z104" s="95" t="s">
        <v>1633</v>
      </c>
      <c r="AA104" s="94" t="s">
        <v>1737</v>
      </c>
      <c r="AB104" s="94" t="s">
        <v>1633</v>
      </c>
      <c r="AC104" s="94"/>
      <c r="AD104" s="94"/>
      <c r="AE104" s="94"/>
      <c r="AF104" s="94"/>
      <c r="AG104" s="93" t="s">
        <v>1724</v>
      </c>
      <c r="AS104" s="94"/>
      <c r="AT104" s="94"/>
      <c r="AU104" s="94">
        <v>110</v>
      </c>
      <c r="AV104" s="94"/>
      <c r="BA104" s="94" t="s">
        <v>1727</v>
      </c>
      <c r="BB104" s="108">
        <f>Schäden_Einband!X104+Schäden_Buchblock!AC104</f>
        <v>0</v>
      </c>
      <c r="BC104" s="95"/>
      <c r="BD104" s="93" t="s">
        <v>1886</v>
      </c>
    </row>
    <row r="105" spans="1:62" ht="46" x14ac:dyDescent="0.25">
      <c r="A105" s="82">
        <v>100</v>
      </c>
      <c r="B105" s="64" t="s">
        <v>315</v>
      </c>
      <c r="C105" s="64">
        <v>1066969787</v>
      </c>
      <c r="D105" s="84" t="str">
        <f t="shared" si="1"/>
        <v>https://portal.dnb.de/opac.htm?method=simpleSearch&amp;cqlMode=true&amp;query=idn%3D1066969787</v>
      </c>
      <c r="E105" s="64" t="s">
        <v>316</v>
      </c>
      <c r="F105" s="82" t="s">
        <v>89</v>
      </c>
      <c r="G105" s="85" t="s">
        <v>1585</v>
      </c>
      <c r="H105" s="82" t="s">
        <v>51</v>
      </c>
      <c r="I105" s="85" t="s">
        <v>90</v>
      </c>
      <c r="J105" s="85"/>
      <c r="K105" s="82"/>
      <c r="L105" s="82" t="s">
        <v>35</v>
      </c>
      <c r="M105" s="82" t="s">
        <v>37</v>
      </c>
      <c r="N105" s="82">
        <v>1</v>
      </c>
      <c r="O105" s="82"/>
      <c r="P105" s="82"/>
      <c r="Q105" s="82"/>
      <c r="R105" s="82"/>
      <c r="S105" s="97"/>
      <c r="T105" s="97"/>
      <c r="X105" s="94" t="s">
        <v>1741</v>
      </c>
      <c r="Y105" s="95"/>
      <c r="Z105" s="95" t="s">
        <v>1633</v>
      </c>
      <c r="AA105" s="94" t="s">
        <v>1738</v>
      </c>
      <c r="AB105" s="94"/>
      <c r="AC105" s="94"/>
      <c r="AD105" s="94"/>
      <c r="AE105" s="94" t="s">
        <v>1633</v>
      </c>
      <c r="AF105" s="94"/>
      <c r="AG105" s="93" t="s">
        <v>1724</v>
      </c>
      <c r="AS105" s="94"/>
      <c r="AT105" s="94"/>
      <c r="AU105" s="94">
        <v>110</v>
      </c>
      <c r="AV105" s="94"/>
      <c r="BA105" s="94" t="s">
        <v>1727</v>
      </c>
      <c r="BB105" s="108">
        <f>Schäden_Einband!X105+Schäden_Buchblock!AC105</f>
        <v>0</v>
      </c>
      <c r="BC105" s="95"/>
      <c r="BD105" s="93" t="s">
        <v>1886</v>
      </c>
    </row>
    <row r="106" spans="1:62" ht="23" x14ac:dyDescent="0.25">
      <c r="A106" s="82">
        <v>101</v>
      </c>
      <c r="B106" s="64" t="s">
        <v>317</v>
      </c>
      <c r="C106" s="64">
        <v>1066967156</v>
      </c>
      <c r="D106" s="84" t="str">
        <f>HYPERLINK(CONCATENATE("https://portal.dnb.de/opac.htm?method=simpleSearch&amp;cqlMode=true&amp;query=idn%3D",C106))</f>
        <v>https://portal.dnb.de/opac.htm?method=simpleSearch&amp;cqlMode=true&amp;query=idn%3D1066967156</v>
      </c>
      <c r="E106" s="64" t="s">
        <v>318</v>
      </c>
      <c r="F106" s="82" t="s">
        <v>89</v>
      </c>
      <c r="G106" s="85" t="s">
        <v>4</v>
      </c>
      <c r="H106" s="82" t="s">
        <v>50</v>
      </c>
      <c r="I106" s="85" t="s">
        <v>90</v>
      </c>
      <c r="J106" s="85" t="s">
        <v>1586</v>
      </c>
      <c r="K106" s="82" t="s">
        <v>67</v>
      </c>
      <c r="L106" s="82" t="s">
        <v>35</v>
      </c>
      <c r="M106" s="82" t="s">
        <v>37</v>
      </c>
      <c r="N106" s="82">
        <v>2</v>
      </c>
      <c r="O106" s="82"/>
      <c r="P106" s="82"/>
      <c r="Q106" s="82"/>
      <c r="R106" s="82"/>
      <c r="S106" s="97"/>
      <c r="T106" s="97"/>
      <c r="X106" s="94" t="s">
        <v>1722</v>
      </c>
      <c r="Y106" s="95" t="s">
        <v>1633</v>
      </c>
      <c r="Z106" s="95" t="s">
        <v>1633</v>
      </c>
      <c r="AA106" s="94" t="s">
        <v>1737</v>
      </c>
      <c r="AB106" s="94"/>
      <c r="AC106" s="94"/>
      <c r="AD106" s="94"/>
      <c r="AE106" s="94"/>
      <c r="AF106" s="94"/>
      <c r="AG106" s="93" t="s">
        <v>1724</v>
      </c>
      <c r="AS106" s="94"/>
      <c r="AT106" s="94"/>
      <c r="AU106" s="94">
        <v>110</v>
      </c>
      <c r="AV106" s="94"/>
      <c r="BA106" s="94" t="s">
        <v>1727</v>
      </c>
      <c r="BB106" s="108">
        <f>Schäden_Einband!X106+Schäden_Buchblock!AC106</f>
        <v>0</v>
      </c>
      <c r="BC106" s="95"/>
      <c r="BD106" s="93" t="s">
        <v>1887</v>
      </c>
    </row>
    <row r="107" spans="1:62" ht="46" x14ac:dyDescent="0.25">
      <c r="A107" s="82">
        <v>102</v>
      </c>
      <c r="B107" s="64" t="s">
        <v>319</v>
      </c>
      <c r="C107" s="64">
        <v>1066972109</v>
      </c>
      <c r="D107" s="84" t="str">
        <f>HYPERLINK(CONCATENATE("https://portal.dnb.de/opac.htm?method=simpleSearch&amp;cqlMode=true&amp;query=idn%3D",C107))</f>
        <v>https://portal.dnb.de/opac.htm?method=simpleSearch&amp;cqlMode=true&amp;query=idn%3D1066972109</v>
      </c>
      <c r="E107" s="64" t="s">
        <v>320</v>
      </c>
      <c r="F107" s="82" t="s">
        <v>89</v>
      </c>
      <c r="G107" s="85" t="s">
        <v>1585</v>
      </c>
      <c r="H107" s="82" t="s">
        <v>51</v>
      </c>
      <c r="I107" s="85" t="s">
        <v>90</v>
      </c>
      <c r="J107" s="85" t="s">
        <v>1586</v>
      </c>
      <c r="K107" s="82" t="s">
        <v>67</v>
      </c>
      <c r="L107" s="82" t="s">
        <v>35</v>
      </c>
      <c r="M107" s="82" t="s">
        <v>37</v>
      </c>
      <c r="N107" s="82">
        <v>1</v>
      </c>
      <c r="O107" s="82"/>
      <c r="P107" s="82"/>
      <c r="Q107" s="82"/>
      <c r="R107" s="82"/>
      <c r="S107" s="97"/>
      <c r="T107" s="97"/>
      <c r="X107" s="94" t="s">
        <v>1728</v>
      </c>
      <c r="Y107" s="95" t="s">
        <v>1633</v>
      </c>
      <c r="Z107" s="95"/>
      <c r="AA107" s="94" t="s">
        <v>1723</v>
      </c>
      <c r="AB107" s="94"/>
      <c r="AC107" s="94"/>
      <c r="AD107" s="94"/>
      <c r="AE107" s="94"/>
      <c r="AF107" s="94"/>
      <c r="AG107" s="93" t="s">
        <v>1724</v>
      </c>
      <c r="AL107" s="93" t="s">
        <v>1633</v>
      </c>
      <c r="AQ107" s="93" t="s">
        <v>1754</v>
      </c>
      <c r="AR107" s="93" t="s">
        <v>1633</v>
      </c>
      <c r="AS107" s="94"/>
      <c r="AT107" s="94"/>
      <c r="AU107" s="94">
        <v>110</v>
      </c>
      <c r="AV107" s="94"/>
      <c r="BA107" s="94" t="s">
        <v>1727</v>
      </c>
      <c r="BB107" s="108">
        <f>Schäden_Einband!X107+Schäden_Buchblock!AC107</f>
        <v>0</v>
      </c>
      <c r="BC107" s="95"/>
      <c r="BD107" s="93" t="s">
        <v>1887</v>
      </c>
    </row>
    <row r="108" spans="1:62" x14ac:dyDescent="0.25">
      <c r="A108" s="82">
        <v>103</v>
      </c>
      <c r="B108" s="64" t="s">
        <v>321</v>
      </c>
      <c r="C108" s="64" t="s">
        <v>322</v>
      </c>
      <c r="D108" s="84" t="str">
        <f t="shared" si="1"/>
        <v>https://portal.dnb.de/opac.htm?method=simpleSearch&amp;cqlMode=true&amp;query=idn%3D107205194X</v>
      </c>
      <c r="E108" s="64" t="s">
        <v>323</v>
      </c>
      <c r="F108" s="82"/>
      <c r="G108" s="85"/>
      <c r="H108" s="82"/>
      <c r="I108" s="85"/>
      <c r="J108" s="85"/>
      <c r="K108" s="82"/>
      <c r="L108" s="82"/>
      <c r="M108" s="82"/>
      <c r="N108" s="82"/>
      <c r="O108" s="82"/>
      <c r="P108" s="82"/>
      <c r="Q108" s="82"/>
      <c r="R108" s="82"/>
      <c r="S108" s="97" t="s">
        <v>1721</v>
      </c>
      <c r="T108" s="97"/>
      <c r="X108" s="94"/>
      <c r="Y108" s="95"/>
      <c r="Z108" s="95"/>
      <c r="AA108" s="94"/>
      <c r="AB108" s="94"/>
      <c r="AC108" s="94"/>
      <c r="AD108" s="94"/>
      <c r="AE108" s="94"/>
      <c r="AF108" s="94"/>
      <c r="AS108" s="94"/>
      <c r="AT108" s="94"/>
      <c r="AU108" s="94"/>
      <c r="AV108" s="94"/>
      <c r="BB108" s="108">
        <f>Schäden_Einband!X108+Schäden_Buchblock!AC108</f>
        <v>0</v>
      </c>
      <c r="BC108" s="95"/>
    </row>
    <row r="109" spans="1:62" ht="46" x14ac:dyDescent="0.25">
      <c r="A109" s="82">
        <v>104</v>
      </c>
      <c r="B109" s="64" t="s">
        <v>324</v>
      </c>
      <c r="C109" s="64">
        <v>1066971803</v>
      </c>
      <c r="D109" s="84" t="str">
        <f t="shared" si="1"/>
        <v>https://portal.dnb.de/opac.htm?method=simpleSearch&amp;cqlMode=true&amp;query=idn%3D1066971803</v>
      </c>
      <c r="E109" s="64" t="s">
        <v>325</v>
      </c>
      <c r="F109" s="82" t="s">
        <v>89</v>
      </c>
      <c r="G109" s="85" t="s">
        <v>1585</v>
      </c>
      <c r="H109" s="82" t="s">
        <v>50</v>
      </c>
      <c r="I109" s="85" t="s">
        <v>55</v>
      </c>
      <c r="J109" s="85" t="s">
        <v>1586</v>
      </c>
      <c r="K109" s="82" t="s">
        <v>67</v>
      </c>
      <c r="L109" s="82" t="s">
        <v>35</v>
      </c>
      <c r="M109" s="82" t="s">
        <v>37</v>
      </c>
      <c r="N109" s="82">
        <v>1</v>
      </c>
      <c r="O109" s="82"/>
      <c r="P109" s="82"/>
      <c r="Q109" s="82"/>
      <c r="R109" s="82"/>
      <c r="S109" s="97"/>
      <c r="T109" s="97"/>
      <c r="X109" s="94" t="s">
        <v>1741</v>
      </c>
      <c r="Y109" s="95" t="s">
        <v>1633</v>
      </c>
      <c r="Z109" s="95"/>
      <c r="AA109" s="94" t="s">
        <v>1738</v>
      </c>
      <c r="AB109" s="94"/>
      <c r="AC109" s="94"/>
      <c r="AD109" s="94"/>
      <c r="AE109" s="94"/>
      <c r="AF109" s="94"/>
      <c r="AG109" s="93" t="s">
        <v>1724</v>
      </c>
      <c r="AI109" s="93" t="s">
        <v>1633</v>
      </c>
      <c r="AQ109" s="93" t="s">
        <v>1729</v>
      </c>
      <c r="AR109" s="93" t="s">
        <v>1633</v>
      </c>
      <c r="AS109" s="94"/>
      <c r="AT109" s="94"/>
      <c r="AU109" s="94">
        <v>110</v>
      </c>
      <c r="AV109" s="94"/>
      <c r="BA109" s="94" t="s">
        <v>1727</v>
      </c>
      <c r="BB109" s="108">
        <f>Schäden_Einband!X109+Schäden_Buchblock!AC109</f>
        <v>0</v>
      </c>
      <c r="BC109" s="95"/>
      <c r="BD109" s="93" t="s">
        <v>1887</v>
      </c>
    </row>
    <row r="110" spans="1:62" ht="23" x14ac:dyDescent="0.25">
      <c r="A110" s="82">
        <v>105</v>
      </c>
      <c r="B110" s="64" t="s">
        <v>326</v>
      </c>
      <c r="C110" s="64">
        <v>1066970394</v>
      </c>
      <c r="D110" s="84" t="str">
        <f>HYPERLINK(CONCATENATE("https://portal.dnb.de/opac.htm?method=simpleSearch&amp;cqlMode=true&amp;query=idn%3D",C110))</f>
        <v>https://portal.dnb.de/opac.htm?method=simpleSearch&amp;cqlMode=true&amp;query=idn%3D1066970394</v>
      </c>
      <c r="E110" s="64" t="s">
        <v>327</v>
      </c>
      <c r="F110" s="82" t="s">
        <v>89</v>
      </c>
      <c r="G110" s="85" t="s">
        <v>4</v>
      </c>
      <c r="H110" s="82" t="s">
        <v>50</v>
      </c>
      <c r="I110" s="85" t="s">
        <v>55</v>
      </c>
      <c r="J110" s="85" t="s">
        <v>1586</v>
      </c>
      <c r="K110" s="82" t="s">
        <v>67</v>
      </c>
      <c r="L110" s="82" t="s">
        <v>35</v>
      </c>
      <c r="M110" s="82" t="s">
        <v>37</v>
      </c>
      <c r="N110" s="82">
        <v>0</v>
      </c>
      <c r="O110" s="82"/>
      <c r="P110" s="82"/>
      <c r="Q110" s="82"/>
      <c r="R110" s="82"/>
      <c r="S110" s="97"/>
      <c r="T110" s="97"/>
      <c r="X110" s="94" t="s">
        <v>1722</v>
      </c>
      <c r="Y110" s="95" t="s">
        <v>1633</v>
      </c>
      <c r="Z110" s="95"/>
      <c r="AA110" s="94" t="s">
        <v>1723</v>
      </c>
      <c r="AB110" s="94"/>
      <c r="AC110" s="94"/>
      <c r="AD110" s="94"/>
      <c r="AE110" s="94"/>
      <c r="AF110" s="94"/>
      <c r="AG110" s="93" t="s">
        <v>1724</v>
      </c>
      <c r="AQ110" s="93" t="s">
        <v>1729</v>
      </c>
      <c r="AR110" s="93" t="s">
        <v>1633</v>
      </c>
      <c r="AS110" s="94"/>
      <c r="AT110" s="94"/>
      <c r="AU110" s="94">
        <v>110</v>
      </c>
      <c r="AV110" s="94"/>
      <c r="BA110" s="94" t="s">
        <v>1727</v>
      </c>
      <c r="BB110" s="108">
        <f>Schäden_Einband!X110+Schäden_Buchblock!AC110</f>
        <v>0</v>
      </c>
      <c r="BC110" s="95"/>
      <c r="BD110" s="93" t="s">
        <v>1887</v>
      </c>
    </row>
    <row r="111" spans="1:62" ht="46" x14ac:dyDescent="0.25">
      <c r="A111" s="82">
        <v>106</v>
      </c>
      <c r="B111" s="64" t="s">
        <v>328</v>
      </c>
      <c r="C111" s="64">
        <v>1066970394</v>
      </c>
      <c r="D111" s="84" t="str">
        <f t="shared" si="1"/>
        <v>https://portal.dnb.de/opac.htm?method=simpleSearch&amp;cqlMode=true&amp;query=idn%3D1066970394</v>
      </c>
      <c r="E111" s="64" t="s">
        <v>329</v>
      </c>
      <c r="F111" s="82" t="s">
        <v>89</v>
      </c>
      <c r="G111" s="85" t="s">
        <v>1585</v>
      </c>
      <c r="H111" s="82" t="s">
        <v>51</v>
      </c>
      <c r="I111" s="85" t="s">
        <v>90</v>
      </c>
      <c r="J111" s="85" t="s">
        <v>94</v>
      </c>
      <c r="K111" s="82"/>
      <c r="L111" s="82" t="s">
        <v>35</v>
      </c>
      <c r="M111" s="82" t="s">
        <v>37</v>
      </c>
      <c r="N111" s="82">
        <v>0</v>
      </c>
      <c r="O111" s="82"/>
      <c r="P111" s="82"/>
      <c r="Q111" s="82"/>
      <c r="R111" s="82"/>
      <c r="S111" s="97"/>
      <c r="T111" s="97"/>
      <c r="X111" s="94" t="s">
        <v>1741</v>
      </c>
      <c r="Y111" s="95"/>
      <c r="Z111" s="95" t="s">
        <v>1633</v>
      </c>
      <c r="AA111" s="94" t="s">
        <v>1738</v>
      </c>
      <c r="AB111" s="94"/>
      <c r="AC111" s="94"/>
      <c r="AD111" s="94"/>
      <c r="AE111" s="94"/>
      <c r="AF111" s="94"/>
      <c r="AG111" s="93" t="s">
        <v>1724</v>
      </c>
      <c r="AL111" s="93" t="s">
        <v>1633</v>
      </c>
      <c r="AS111" s="94"/>
      <c r="AT111" s="94"/>
      <c r="AU111" s="94">
        <v>110</v>
      </c>
      <c r="AV111" s="94"/>
      <c r="BA111" s="94" t="s">
        <v>1727</v>
      </c>
      <c r="BB111" s="108">
        <f>Schäden_Einband!X111+Schäden_Buchblock!AC111</f>
        <v>0</v>
      </c>
      <c r="BC111" s="95"/>
      <c r="BD111" s="93" t="s">
        <v>1886</v>
      </c>
      <c r="BJ111" s="81" t="s">
        <v>1755</v>
      </c>
    </row>
    <row r="112" spans="1:62" ht="46" x14ac:dyDescent="0.25">
      <c r="A112" s="82">
        <v>107</v>
      </c>
      <c r="B112" s="64" t="s">
        <v>330</v>
      </c>
      <c r="C112" s="64">
        <v>1072052393</v>
      </c>
      <c r="D112" s="84" t="str">
        <f>HYPERLINK(CONCATENATE("https://portal.dnb.de/opac.htm?method=simpleSearch&amp;cqlMode=true&amp;query=idn%3D",C112))</f>
        <v>https://portal.dnb.de/opac.htm?method=simpleSearch&amp;cqlMode=true&amp;query=idn%3D1072052393</v>
      </c>
      <c r="E112" s="64" t="s">
        <v>331</v>
      </c>
      <c r="F112" s="82" t="s">
        <v>89</v>
      </c>
      <c r="G112" s="85" t="s">
        <v>1584</v>
      </c>
      <c r="H112" s="82" t="s">
        <v>50</v>
      </c>
      <c r="I112" s="85" t="s">
        <v>90</v>
      </c>
      <c r="J112" s="85" t="s">
        <v>1583</v>
      </c>
      <c r="K112" s="82" t="s">
        <v>67</v>
      </c>
      <c r="L112" s="82" t="s">
        <v>35</v>
      </c>
      <c r="M112" s="82" t="s">
        <v>37</v>
      </c>
      <c r="N112" s="82">
        <v>0</v>
      </c>
      <c r="O112" s="82"/>
      <c r="P112" s="82"/>
      <c r="Q112" s="82"/>
      <c r="R112" s="82"/>
      <c r="S112" s="97"/>
      <c r="T112" s="97"/>
      <c r="X112" s="94" t="s">
        <v>1741</v>
      </c>
      <c r="Y112" s="95"/>
      <c r="Z112" s="95" t="s">
        <v>1633</v>
      </c>
      <c r="AA112" s="94" t="s">
        <v>1738</v>
      </c>
      <c r="AB112" s="94"/>
      <c r="AC112" s="94"/>
      <c r="AD112" s="94"/>
      <c r="AE112" s="94"/>
      <c r="AF112" s="94"/>
      <c r="AG112" s="93" t="s">
        <v>1724</v>
      </c>
      <c r="AS112" s="94"/>
      <c r="AT112" s="94"/>
      <c r="AU112" s="94">
        <v>110</v>
      </c>
      <c r="AV112" s="94"/>
      <c r="BA112" s="94" t="s">
        <v>1727</v>
      </c>
      <c r="BB112" s="108">
        <f>Schäden_Einband!X112+Schäden_Buchblock!AC112</f>
        <v>0</v>
      </c>
      <c r="BC112" s="95"/>
      <c r="BD112" s="93" t="s">
        <v>1886</v>
      </c>
    </row>
    <row r="113" spans="1:64" ht="46" x14ac:dyDescent="0.25">
      <c r="A113" s="82">
        <v>108</v>
      </c>
      <c r="B113" s="64" t="s">
        <v>332</v>
      </c>
      <c r="C113" s="64">
        <v>1066970890</v>
      </c>
      <c r="D113" s="84" t="str">
        <f>HYPERLINK(CONCATENATE("https://portal.dnb.de/opac.htm?method=simpleSearch&amp;cqlMode=true&amp;query=idn%3D",C113))</f>
        <v>https://portal.dnb.de/opac.htm?method=simpleSearch&amp;cqlMode=true&amp;query=idn%3D1066970890</v>
      </c>
      <c r="E113" s="64" t="s">
        <v>333</v>
      </c>
      <c r="F113" s="82" t="s">
        <v>89</v>
      </c>
      <c r="G113" s="85" t="s">
        <v>1584</v>
      </c>
      <c r="H113" s="82" t="s">
        <v>50</v>
      </c>
      <c r="I113" s="85" t="s">
        <v>55</v>
      </c>
      <c r="J113" s="85" t="s">
        <v>1587</v>
      </c>
      <c r="K113" s="82" t="s">
        <v>67</v>
      </c>
      <c r="L113" s="82" t="s">
        <v>35</v>
      </c>
      <c r="M113" s="82" t="s">
        <v>37</v>
      </c>
      <c r="N113" s="82">
        <v>0</v>
      </c>
      <c r="O113" s="82"/>
      <c r="P113" s="82"/>
      <c r="Q113" s="82"/>
      <c r="R113" s="82"/>
      <c r="S113" s="97"/>
      <c r="T113" s="97"/>
      <c r="X113" s="94" t="s">
        <v>1739</v>
      </c>
      <c r="Y113" s="95" t="s">
        <v>1633</v>
      </c>
      <c r="Z113" s="95"/>
      <c r="AA113" s="94" t="s">
        <v>1737</v>
      </c>
      <c r="AB113" s="94"/>
      <c r="AC113" s="94"/>
      <c r="AD113" s="94"/>
      <c r="AE113" s="94"/>
      <c r="AF113" s="94"/>
      <c r="AG113" s="93" t="s">
        <v>1724</v>
      </c>
      <c r="AH113" s="93" t="s">
        <v>1633</v>
      </c>
      <c r="AQ113" s="93" t="s">
        <v>1756</v>
      </c>
      <c r="AR113" s="93" t="s">
        <v>1633</v>
      </c>
      <c r="AS113" s="94"/>
      <c r="AT113" s="94"/>
      <c r="AU113" s="94">
        <v>110</v>
      </c>
      <c r="AV113" s="94"/>
      <c r="BA113" s="94" t="s">
        <v>1727</v>
      </c>
      <c r="BB113" s="108">
        <f>Schäden_Einband!X113+Schäden_Buchblock!AC113</f>
        <v>0</v>
      </c>
      <c r="BC113" s="95"/>
      <c r="BD113" s="93" t="s">
        <v>1887</v>
      </c>
    </row>
    <row r="114" spans="1:64" x14ac:dyDescent="0.25">
      <c r="A114" s="82">
        <v>109</v>
      </c>
      <c r="B114" s="64" t="s">
        <v>334</v>
      </c>
      <c r="C114" s="64">
        <v>1066966524</v>
      </c>
      <c r="D114" s="84" t="str">
        <f t="shared" si="1"/>
        <v>https://portal.dnb.de/opac.htm?method=simpleSearch&amp;cqlMode=true&amp;query=idn%3D1066966524</v>
      </c>
      <c r="E114" s="64" t="s">
        <v>335</v>
      </c>
      <c r="F114" s="82"/>
      <c r="G114" s="85"/>
      <c r="H114" s="82"/>
      <c r="I114" s="85"/>
      <c r="J114" s="85"/>
      <c r="K114" s="82"/>
      <c r="L114" s="82"/>
      <c r="M114" s="82"/>
      <c r="N114" s="82"/>
      <c r="O114" s="82"/>
      <c r="P114" s="82"/>
      <c r="Q114" s="82"/>
      <c r="R114" s="82"/>
      <c r="S114" s="97"/>
      <c r="T114" s="97"/>
      <c r="X114" s="94"/>
      <c r="Y114" s="95"/>
      <c r="Z114" s="95"/>
      <c r="AA114" s="94"/>
      <c r="AB114" s="94"/>
      <c r="AC114" s="94"/>
      <c r="AD114" s="94"/>
      <c r="AE114" s="94"/>
      <c r="AF114" s="94"/>
      <c r="AS114" s="94"/>
      <c r="AT114" s="94"/>
      <c r="AU114" s="94"/>
      <c r="AV114" s="94"/>
      <c r="BB114" s="108">
        <f>Schäden_Einband!X114+Schäden_Buchblock!AC114</f>
        <v>0</v>
      </c>
      <c r="BC114" s="95"/>
    </row>
    <row r="115" spans="1:64" ht="23" x14ac:dyDescent="0.25">
      <c r="A115" s="82">
        <v>110</v>
      </c>
      <c r="B115" s="64" t="s">
        <v>336</v>
      </c>
      <c r="C115" s="64">
        <v>1066970971</v>
      </c>
      <c r="D115" s="84" t="str">
        <f t="shared" si="1"/>
        <v>https://portal.dnb.de/opac.htm?method=simpleSearch&amp;cqlMode=true&amp;query=idn%3D1066970971</v>
      </c>
      <c r="E115" s="64" t="s">
        <v>337</v>
      </c>
      <c r="F115" s="82" t="s">
        <v>1633</v>
      </c>
      <c r="G115" s="85" t="s">
        <v>4</v>
      </c>
      <c r="H115" s="82" t="s">
        <v>52</v>
      </c>
      <c r="I115" s="85" t="s">
        <v>90</v>
      </c>
      <c r="J115" s="85" t="s">
        <v>1586</v>
      </c>
      <c r="K115" s="82" t="s">
        <v>67</v>
      </c>
      <c r="L115" s="82"/>
      <c r="M115" s="82" t="s">
        <v>101</v>
      </c>
      <c r="N115" s="82">
        <v>0</v>
      </c>
      <c r="O115" s="82"/>
      <c r="P115" s="82" t="s">
        <v>1638</v>
      </c>
      <c r="Q115" s="82"/>
      <c r="R115" s="82"/>
      <c r="S115" s="97"/>
      <c r="T115" s="97"/>
      <c r="X115" s="94" t="s">
        <v>1722</v>
      </c>
      <c r="Y115" s="95" t="s">
        <v>1633</v>
      </c>
      <c r="Z115" s="95"/>
      <c r="AA115" s="94" t="s">
        <v>1723</v>
      </c>
      <c r="AB115" s="94"/>
      <c r="AC115" s="94"/>
      <c r="AD115" s="94"/>
      <c r="AE115" s="94"/>
      <c r="AF115" s="94"/>
      <c r="AG115" s="93" t="s">
        <v>1724</v>
      </c>
      <c r="AQ115" s="93" t="s">
        <v>1729</v>
      </c>
      <c r="AR115" s="93" t="s">
        <v>1633</v>
      </c>
      <c r="AS115" s="94"/>
      <c r="AT115" s="94"/>
      <c r="AU115" s="94">
        <v>110</v>
      </c>
      <c r="AV115" s="94"/>
      <c r="BA115" s="94" t="s">
        <v>1733</v>
      </c>
      <c r="BB115" s="108">
        <f>Schäden_Einband!X115+Schäden_Buchblock!AC115</f>
        <v>3</v>
      </c>
      <c r="BC115" s="95"/>
    </row>
    <row r="116" spans="1:64" ht="46" x14ac:dyDescent="0.25">
      <c r="A116" s="82">
        <v>111</v>
      </c>
      <c r="B116" s="64" t="s">
        <v>338</v>
      </c>
      <c r="C116" s="64">
        <v>1079552596</v>
      </c>
      <c r="D116" s="84" t="str">
        <f>HYPERLINK(CONCATENATE("https://portal.dnb.de/opac.htm?method=simpleSearch&amp;cqlMode=true&amp;query=idn%3D",C116))</f>
        <v>https://portal.dnb.de/opac.htm?method=simpleSearch&amp;cqlMode=true&amp;query=idn%3D1079552596</v>
      </c>
      <c r="E116" s="64" t="s">
        <v>339</v>
      </c>
      <c r="F116" s="82" t="s">
        <v>89</v>
      </c>
      <c r="G116" s="85" t="s">
        <v>3</v>
      </c>
      <c r="H116" s="82" t="s">
        <v>51</v>
      </c>
      <c r="I116" s="85" t="s">
        <v>90</v>
      </c>
      <c r="J116" s="85" t="s">
        <v>1687</v>
      </c>
      <c r="K116" s="82" t="s">
        <v>67</v>
      </c>
      <c r="L116" s="82" t="s">
        <v>35</v>
      </c>
      <c r="M116" s="82" t="s">
        <v>37</v>
      </c>
      <c r="N116" s="82">
        <v>1</v>
      </c>
      <c r="O116" s="82"/>
      <c r="P116" s="82" t="s">
        <v>1688</v>
      </c>
      <c r="Q116" s="82"/>
      <c r="R116" s="82"/>
      <c r="S116" s="97"/>
      <c r="T116" s="97"/>
      <c r="X116" s="94" t="s">
        <v>1741</v>
      </c>
      <c r="Y116" s="95"/>
      <c r="Z116" s="95"/>
      <c r="AA116" s="94" t="s">
        <v>1738</v>
      </c>
      <c r="AB116" s="94"/>
      <c r="AC116" s="94"/>
      <c r="AD116" s="94"/>
      <c r="AE116" s="94"/>
      <c r="AF116" s="94"/>
      <c r="AG116" s="93" t="s">
        <v>1724</v>
      </c>
      <c r="AI116" s="93" t="s">
        <v>1633</v>
      </c>
      <c r="AQ116" s="93" t="s">
        <v>1725</v>
      </c>
      <c r="AR116" s="93" t="s">
        <v>1736</v>
      </c>
      <c r="AS116" s="94"/>
      <c r="AT116" s="94"/>
      <c r="AU116" s="94">
        <v>110</v>
      </c>
      <c r="AV116" s="94"/>
      <c r="BA116" s="94" t="s">
        <v>1733</v>
      </c>
      <c r="BB116" s="108">
        <f>Schäden_Einband!X116+Schäden_Buchblock!AC116</f>
        <v>1</v>
      </c>
      <c r="BC116" s="95"/>
      <c r="BD116" s="93" t="s">
        <v>1887</v>
      </c>
    </row>
    <row r="117" spans="1:64" ht="46" x14ac:dyDescent="0.25">
      <c r="A117" s="82">
        <v>112</v>
      </c>
      <c r="B117" s="64" t="s">
        <v>340</v>
      </c>
      <c r="C117" s="64">
        <v>1077047398</v>
      </c>
      <c r="D117" s="84" t="str">
        <f t="shared" si="1"/>
        <v>https://portal.dnb.de/opac.htm?method=simpleSearch&amp;cqlMode=true&amp;query=idn%3D1077047398</v>
      </c>
      <c r="E117" s="64" t="s">
        <v>341</v>
      </c>
      <c r="F117" s="82" t="s">
        <v>89</v>
      </c>
      <c r="G117" s="85" t="s">
        <v>1601</v>
      </c>
      <c r="H117" s="82" t="s">
        <v>52</v>
      </c>
      <c r="I117" s="85" t="s">
        <v>90</v>
      </c>
      <c r="J117" s="85" t="s">
        <v>60</v>
      </c>
      <c r="K117" s="82" t="s">
        <v>67</v>
      </c>
      <c r="L117" s="82"/>
      <c r="M117" s="82"/>
      <c r="N117" s="82">
        <v>1</v>
      </c>
      <c r="O117" s="82"/>
      <c r="P117" s="82"/>
      <c r="Q117" s="82"/>
      <c r="R117" s="82"/>
      <c r="S117" s="97"/>
      <c r="T117" s="97"/>
      <c r="V117" s="93" t="s">
        <v>1633</v>
      </c>
      <c r="X117" s="94" t="s">
        <v>1741</v>
      </c>
      <c r="Y117" s="95"/>
      <c r="Z117" s="95"/>
      <c r="AA117" s="94" t="s">
        <v>1738</v>
      </c>
      <c r="AB117" s="94"/>
      <c r="AC117" s="94"/>
      <c r="AD117" s="94"/>
      <c r="AE117" s="94"/>
      <c r="AF117" s="94"/>
      <c r="AG117" s="93" t="s">
        <v>1724</v>
      </c>
      <c r="AQ117" s="93" t="s">
        <v>1729</v>
      </c>
      <c r="AR117" s="93" t="s">
        <v>1633</v>
      </c>
      <c r="AS117" s="94"/>
      <c r="AT117" s="94"/>
      <c r="AU117" s="94">
        <v>60</v>
      </c>
      <c r="AV117" s="94"/>
      <c r="BA117" s="94" t="s">
        <v>1727</v>
      </c>
      <c r="BB117" s="108">
        <f>Schäden_Einband!X117+Schäden_Buchblock!AC117</f>
        <v>0</v>
      </c>
      <c r="BC117" s="95"/>
      <c r="BL117" s="81" t="s">
        <v>1987</v>
      </c>
    </row>
    <row r="118" spans="1:64" ht="46" x14ac:dyDescent="0.25">
      <c r="A118" s="82">
        <v>113</v>
      </c>
      <c r="B118" s="64" t="s">
        <v>342</v>
      </c>
      <c r="C118" s="64">
        <v>1066968667</v>
      </c>
      <c r="D118" s="84" t="str">
        <f t="shared" si="1"/>
        <v>https://portal.dnb.de/opac.htm?method=simpleSearch&amp;cqlMode=true&amp;query=idn%3D1066968667</v>
      </c>
      <c r="E118" s="64" t="s">
        <v>343</v>
      </c>
      <c r="F118" s="82" t="s">
        <v>89</v>
      </c>
      <c r="G118" s="85" t="s">
        <v>1584</v>
      </c>
      <c r="H118" s="82" t="s">
        <v>52</v>
      </c>
      <c r="I118" s="85" t="s">
        <v>90</v>
      </c>
      <c r="J118" s="85" t="s">
        <v>1586</v>
      </c>
      <c r="K118" s="82" t="s">
        <v>67</v>
      </c>
      <c r="L118" s="82"/>
      <c r="M118" s="82"/>
      <c r="N118" s="82">
        <v>0</v>
      </c>
      <c r="O118" s="82"/>
      <c r="P118" s="82"/>
      <c r="Q118" s="82"/>
      <c r="R118" s="82"/>
      <c r="S118" s="97"/>
      <c r="T118" s="97"/>
      <c r="X118" s="94" t="s">
        <v>1728</v>
      </c>
      <c r="Y118" s="95" t="s">
        <v>1633</v>
      </c>
      <c r="Z118" s="95"/>
      <c r="AA118" s="94" t="s">
        <v>1723</v>
      </c>
      <c r="AB118" s="94"/>
      <c r="AC118" s="94"/>
      <c r="AD118" s="94"/>
      <c r="AE118" s="94"/>
      <c r="AF118" s="94"/>
      <c r="AG118" s="93" t="s">
        <v>1724</v>
      </c>
      <c r="AQ118" s="93" t="s">
        <v>1729</v>
      </c>
      <c r="AR118" s="93" t="s">
        <v>1633</v>
      </c>
      <c r="AS118" s="94"/>
      <c r="AT118" s="94"/>
      <c r="AU118" s="94">
        <v>110</v>
      </c>
      <c r="AV118" s="94"/>
      <c r="BA118" s="94" t="s">
        <v>1727</v>
      </c>
      <c r="BB118" s="108">
        <f>Schäden_Einband!X118+Schäden_Buchblock!AC118</f>
        <v>0</v>
      </c>
      <c r="BC118" s="95"/>
      <c r="BL118" s="81" t="s">
        <v>1988</v>
      </c>
    </row>
    <row r="119" spans="1:64" ht="23" x14ac:dyDescent="0.25">
      <c r="A119" s="82">
        <v>114</v>
      </c>
      <c r="B119" s="64" t="s">
        <v>344</v>
      </c>
      <c r="C119" s="64">
        <v>1066967598</v>
      </c>
      <c r="D119" s="84" t="str">
        <f t="shared" si="1"/>
        <v>https://portal.dnb.de/opac.htm?method=simpleSearch&amp;cqlMode=true&amp;query=idn%3D1066967598</v>
      </c>
      <c r="E119" s="64" t="s">
        <v>345</v>
      </c>
      <c r="F119" s="82" t="s">
        <v>89</v>
      </c>
      <c r="G119" s="85" t="s">
        <v>3</v>
      </c>
      <c r="H119" s="82" t="s">
        <v>51</v>
      </c>
      <c r="I119" s="85" t="s">
        <v>55</v>
      </c>
      <c r="J119" s="85" t="s">
        <v>1586</v>
      </c>
      <c r="K119" s="82" t="s">
        <v>67</v>
      </c>
      <c r="L119" s="82" t="s">
        <v>35</v>
      </c>
      <c r="M119" s="82" t="s">
        <v>37</v>
      </c>
      <c r="N119" s="82">
        <v>0</v>
      </c>
      <c r="O119" s="82"/>
      <c r="P119" s="82"/>
      <c r="Q119" s="82"/>
      <c r="R119" s="82"/>
      <c r="S119" s="97"/>
      <c r="T119" s="97"/>
      <c r="X119" s="94" t="s">
        <v>1728</v>
      </c>
      <c r="Y119" s="95" t="s">
        <v>1633</v>
      </c>
      <c r="Z119" s="95"/>
      <c r="AA119" s="94" t="s">
        <v>1723</v>
      </c>
      <c r="AB119" s="94"/>
      <c r="AC119" s="94"/>
      <c r="AD119" s="94"/>
      <c r="AE119" s="94"/>
      <c r="AF119" s="94"/>
      <c r="AG119" s="93" t="s">
        <v>1724</v>
      </c>
      <c r="AQ119" s="93" t="s">
        <v>1725</v>
      </c>
      <c r="AR119" s="93" t="s">
        <v>1736</v>
      </c>
      <c r="AS119" s="94"/>
      <c r="AT119" s="94"/>
      <c r="AU119" s="94">
        <v>110</v>
      </c>
      <c r="AV119" s="94"/>
      <c r="BA119" s="94" t="s">
        <v>1727</v>
      </c>
      <c r="BB119" s="108">
        <f>Schäden_Einband!X119+Schäden_Buchblock!AC119</f>
        <v>0</v>
      </c>
      <c r="BC119" s="95"/>
      <c r="BD119" s="93" t="s">
        <v>1887</v>
      </c>
    </row>
    <row r="120" spans="1:64" ht="23" x14ac:dyDescent="0.25">
      <c r="A120" s="82">
        <v>115</v>
      </c>
      <c r="B120" s="64" t="s">
        <v>346</v>
      </c>
      <c r="C120" s="64">
        <v>1066970114</v>
      </c>
      <c r="D120" s="84" t="str">
        <f>HYPERLINK(CONCATENATE("https://portal.dnb.de/opac.htm?method=simpleSearch&amp;cqlMode=true&amp;query=idn%3D",C120))</f>
        <v>https://portal.dnb.de/opac.htm?method=simpleSearch&amp;cqlMode=true&amp;query=idn%3D1066970114</v>
      </c>
      <c r="E120" s="64" t="s">
        <v>347</v>
      </c>
      <c r="F120" s="82" t="s">
        <v>89</v>
      </c>
      <c r="G120" s="85" t="s">
        <v>3</v>
      </c>
      <c r="H120" s="82" t="s">
        <v>50</v>
      </c>
      <c r="I120" s="85" t="s">
        <v>90</v>
      </c>
      <c r="J120" s="85" t="s">
        <v>1587</v>
      </c>
      <c r="K120" s="82" t="s">
        <v>67</v>
      </c>
      <c r="L120" s="82" t="s">
        <v>35</v>
      </c>
      <c r="M120" s="82" t="s">
        <v>37</v>
      </c>
      <c r="N120" s="82">
        <v>1</v>
      </c>
      <c r="O120" s="82"/>
      <c r="P120" s="82" t="s">
        <v>1676</v>
      </c>
      <c r="Q120" s="82"/>
      <c r="R120" s="82"/>
      <c r="S120" s="97"/>
      <c r="T120" s="97"/>
      <c r="X120" s="94" t="s">
        <v>1741</v>
      </c>
      <c r="Y120" s="95"/>
      <c r="Z120" s="95"/>
      <c r="AA120" s="94" t="s">
        <v>1738</v>
      </c>
      <c r="AB120" s="94"/>
      <c r="AC120" s="94"/>
      <c r="AD120" s="94"/>
      <c r="AE120" s="94"/>
      <c r="AF120" s="94"/>
      <c r="AG120" s="93" t="s">
        <v>1724</v>
      </c>
      <c r="AQ120" s="93" t="s">
        <v>1756</v>
      </c>
      <c r="AR120" s="93" t="s">
        <v>1633</v>
      </c>
      <c r="AS120" s="94"/>
      <c r="AT120" s="94"/>
      <c r="AU120" s="94">
        <v>110</v>
      </c>
      <c r="AV120" s="94"/>
      <c r="BA120" s="94" t="s">
        <v>1733</v>
      </c>
      <c r="BB120" s="108">
        <f>Schäden_Einband!X120+Schäden_Buchblock!AC120</f>
        <v>0.5</v>
      </c>
      <c r="BC120" s="95"/>
      <c r="BD120" s="93" t="s">
        <v>1886</v>
      </c>
    </row>
    <row r="121" spans="1:64" ht="23" x14ac:dyDescent="0.25">
      <c r="A121" s="82">
        <v>116</v>
      </c>
      <c r="B121" s="64" t="s">
        <v>348</v>
      </c>
      <c r="C121" s="64">
        <v>1066965684</v>
      </c>
      <c r="D121" s="84" t="str">
        <f t="shared" si="1"/>
        <v>https://portal.dnb.de/opac.htm?method=simpleSearch&amp;cqlMode=true&amp;query=idn%3D1066965684</v>
      </c>
      <c r="E121" s="64" t="s">
        <v>349</v>
      </c>
      <c r="F121" s="82" t="s">
        <v>89</v>
      </c>
      <c r="G121" s="85" t="s">
        <v>3</v>
      </c>
      <c r="H121" s="82" t="s">
        <v>53</v>
      </c>
      <c r="I121" s="85" t="s">
        <v>90</v>
      </c>
      <c r="J121" s="85" t="s">
        <v>1586</v>
      </c>
      <c r="K121" s="82" t="s">
        <v>67</v>
      </c>
      <c r="L121" s="82"/>
      <c r="M121" s="82"/>
      <c r="N121" s="82">
        <v>0</v>
      </c>
      <c r="O121" s="82"/>
      <c r="P121" s="82"/>
      <c r="Q121" s="82"/>
      <c r="R121" s="82"/>
      <c r="S121" s="97"/>
      <c r="T121" s="97"/>
      <c r="X121" s="94" t="s">
        <v>1728</v>
      </c>
      <c r="Y121" s="95" t="s">
        <v>1633</v>
      </c>
      <c r="Z121" s="95" t="s">
        <v>1633</v>
      </c>
      <c r="AA121" s="94" t="s">
        <v>1723</v>
      </c>
      <c r="AB121" s="94"/>
      <c r="AC121" s="94"/>
      <c r="AD121" s="94"/>
      <c r="AE121" s="94"/>
      <c r="AF121" s="94"/>
      <c r="AG121" s="93" t="s">
        <v>1724</v>
      </c>
      <c r="AQ121" s="93" t="s">
        <v>1729</v>
      </c>
      <c r="AR121" s="93" t="s">
        <v>1633</v>
      </c>
      <c r="AS121" s="94"/>
      <c r="AT121" s="94"/>
      <c r="AU121" s="94">
        <v>110</v>
      </c>
      <c r="AV121" s="94"/>
      <c r="BA121" s="94" t="s">
        <v>1727</v>
      </c>
      <c r="BB121" s="108">
        <f>Schäden_Einband!X121+Schäden_Buchblock!AC121</f>
        <v>0</v>
      </c>
      <c r="BC121" s="95"/>
    </row>
    <row r="122" spans="1:64" ht="46" x14ac:dyDescent="0.25">
      <c r="A122" s="82">
        <v>117</v>
      </c>
      <c r="B122" s="64" t="s">
        <v>350</v>
      </c>
      <c r="C122" s="64">
        <v>1066970920</v>
      </c>
      <c r="D122" s="84" t="str">
        <f t="shared" si="1"/>
        <v>https://portal.dnb.de/opac.htm?method=simpleSearch&amp;cqlMode=true&amp;query=idn%3D1066970920</v>
      </c>
      <c r="E122" s="64" t="s">
        <v>351</v>
      </c>
      <c r="F122" s="82" t="s">
        <v>89</v>
      </c>
      <c r="G122" s="85" t="s">
        <v>1585</v>
      </c>
      <c r="H122" s="82" t="s">
        <v>53</v>
      </c>
      <c r="I122" s="85" t="s">
        <v>90</v>
      </c>
      <c r="J122" s="85" t="s">
        <v>1612</v>
      </c>
      <c r="K122" s="82" t="s">
        <v>67</v>
      </c>
      <c r="L122" s="82"/>
      <c r="M122" s="82"/>
      <c r="N122" s="82">
        <v>1</v>
      </c>
      <c r="O122" s="82"/>
      <c r="P122" s="82"/>
      <c r="Q122" s="82"/>
      <c r="R122" s="82"/>
      <c r="S122" s="97"/>
      <c r="T122" s="97"/>
      <c r="X122" s="94" t="s">
        <v>1741</v>
      </c>
      <c r="Y122" s="95" t="s">
        <v>1633</v>
      </c>
      <c r="Z122" s="95"/>
      <c r="AA122" s="94" t="s">
        <v>1742</v>
      </c>
      <c r="AB122" s="94"/>
      <c r="AC122" s="94"/>
      <c r="AD122" s="94"/>
      <c r="AE122" s="94"/>
      <c r="AF122" s="94"/>
      <c r="AG122" s="93" t="s">
        <v>1724</v>
      </c>
      <c r="AK122" s="93" t="s">
        <v>1633</v>
      </c>
      <c r="AQ122" s="93" t="s">
        <v>1729</v>
      </c>
      <c r="AR122" s="93" t="s">
        <v>1633</v>
      </c>
      <c r="AS122" s="94"/>
      <c r="AT122" s="94"/>
      <c r="AU122" s="94">
        <v>45</v>
      </c>
      <c r="AV122" s="94"/>
      <c r="AW122" s="93" t="s">
        <v>1633</v>
      </c>
      <c r="BA122" s="94" t="s">
        <v>1733</v>
      </c>
      <c r="BB122" s="108">
        <f>Schäden_Einband!X122+Schäden_Buchblock!AC122</f>
        <v>1</v>
      </c>
      <c r="BC122" s="95"/>
    </row>
    <row r="123" spans="1:64" ht="46" x14ac:dyDescent="0.25">
      <c r="A123" s="82">
        <v>118</v>
      </c>
      <c r="B123" s="64" t="s">
        <v>352</v>
      </c>
      <c r="C123" s="64" t="s">
        <v>353</v>
      </c>
      <c r="D123" s="84" t="str">
        <f t="shared" si="1"/>
        <v>https://portal.dnb.de/opac.htm?method=simpleSearch&amp;cqlMode=true&amp;query=idn%3D106696856X</v>
      </c>
      <c r="E123" s="64" t="s">
        <v>354</v>
      </c>
      <c r="F123" s="82" t="s">
        <v>89</v>
      </c>
      <c r="G123" s="85" t="s">
        <v>1585</v>
      </c>
      <c r="H123" s="82" t="s">
        <v>53</v>
      </c>
      <c r="I123" s="85" t="s">
        <v>90</v>
      </c>
      <c r="J123" s="85" t="s">
        <v>1583</v>
      </c>
      <c r="K123" s="82" t="s">
        <v>67</v>
      </c>
      <c r="L123" s="82"/>
      <c r="M123" s="82" t="s">
        <v>101</v>
      </c>
      <c r="N123" s="82">
        <v>2</v>
      </c>
      <c r="O123" s="82"/>
      <c r="P123" s="82"/>
      <c r="Q123" s="82"/>
      <c r="R123" s="82"/>
      <c r="S123" s="97"/>
      <c r="T123" s="97"/>
      <c r="X123" s="94" t="s">
        <v>1741</v>
      </c>
      <c r="Y123" s="95" t="s">
        <v>1633</v>
      </c>
      <c r="Z123" s="95"/>
      <c r="AA123" s="94" t="s">
        <v>1742</v>
      </c>
      <c r="AB123" s="94"/>
      <c r="AC123" s="94"/>
      <c r="AD123" s="94"/>
      <c r="AE123" s="94"/>
      <c r="AF123" s="94"/>
      <c r="AG123" s="93" t="s">
        <v>1724</v>
      </c>
      <c r="AQ123" s="93" t="s">
        <v>1729</v>
      </c>
      <c r="AR123" s="93" t="s">
        <v>1633</v>
      </c>
      <c r="AS123" s="94"/>
      <c r="AT123" s="94"/>
      <c r="AU123" s="94">
        <v>60</v>
      </c>
      <c r="AV123" s="94"/>
      <c r="BA123" s="94" t="s">
        <v>1733</v>
      </c>
      <c r="BB123" s="108">
        <f>Schäden_Einband!X123+Schäden_Buchblock!AC123</f>
        <v>1</v>
      </c>
      <c r="BC123" s="95"/>
    </row>
    <row r="124" spans="1:64" ht="46" x14ac:dyDescent="0.25">
      <c r="A124" s="82">
        <v>119</v>
      </c>
      <c r="B124" s="64" t="s">
        <v>355</v>
      </c>
      <c r="C124" s="64">
        <v>1066968322</v>
      </c>
      <c r="D124" s="84" t="str">
        <f>HYPERLINK(CONCATENATE("https://portal.dnb.de/opac.htm?method=simpleSearch&amp;cqlMode=true&amp;query=idn%3D",C124))</f>
        <v>https://portal.dnb.de/opac.htm?method=simpleSearch&amp;cqlMode=true&amp;query=idn%3D1066968322</v>
      </c>
      <c r="E124" s="64" t="s">
        <v>356</v>
      </c>
      <c r="F124" s="82" t="s">
        <v>89</v>
      </c>
      <c r="G124" s="85" t="s">
        <v>1585</v>
      </c>
      <c r="H124" s="82" t="s">
        <v>51</v>
      </c>
      <c r="I124" s="85"/>
      <c r="J124" s="85" t="s">
        <v>1586</v>
      </c>
      <c r="K124" s="82" t="s">
        <v>67</v>
      </c>
      <c r="L124" s="82" t="s">
        <v>35</v>
      </c>
      <c r="M124" s="82" t="s">
        <v>37</v>
      </c>
      <c r="N124" s="82">
        <v>1</v>
      </c>
      <c r="O124" s="82"/>
      <c r="P124" s="82"/>
      <c r="Q124" s="82"/>
      <c r="R124" s="82"/>
      <c r="S124" s="97"/>
      <c r="T124" s="97"/>
      <c r="X124" s="94" t="s">
        <v>1722</v>
      </c>
      <c r="Y124" s="95" t="s">
        <v>1633</v>
      </c>
      <c r="Z124" s="95"/>
      <c r="AA124" s="94" t="s">
        <v>1723</v>
      </c>
      <c r="AB124" s="94"/>
      <c r="AC124" s="94" t="s">
        <v>1633</v>
      </c>
      <c r="AD124" s="94"/>
      <c r="AE124" s="94"/>
      <c r="AF124" s="94"/>
      <c r="AG124" s="93" t="s">
        <v>1724</v>
      </c>
      <c r="AQ124" s="93" t="s">
        <v>1757</v>
      </c>
      <c r="AR124" s="93" t="s">
        <v>1633</v>
      </c>
      <c r="AS124" s="94"/>
      <c r="AT124" s="94"/>
      <c r="AU124" s="94">
        <v>60</v>
      </c>
      <c r="AV124" s="94"/>
      <c r="BA124" s="94" t="s">
        <v>1733</v>
      </c>
      <c r="BB124" s="108">
        <f>Schäden_Einband!X124+Schäden_Buchblock!AC124</f>
        <v>3</v>
      </c>
      <c r="BC124" s="95"/>
      <c r="BD124" s="93" t="s">
        <v>1887</v>
      </c>
    </row>
    <row r="125" spans="1:64" ht="23" x14ac:dyDescent="0.25">
      <c r="A125" s="82">
        <v>120</v>
      </c>
      <c r="B125" s="64" t="s">
        <v>357</v>
      </c>
      <c r="C125" s="64">
        <v>1066967113</v>
      </c>
      <c r="D125" s="84" t="str">
        <f>HYPERLINK(CONCATENATE("https://portal.dnb.de/opac.htm?method=simpleSearch&amp;cqlMode=true&amp;query=idn%3D",C125))</f>
        <v>https://portal.dnb.de/opac.htm?method=simpleSearch&amp;cqlMode=true&amp;query=idn%3D1066967113</v>
      </c>
      <c r="E125" s="64" t="s">
        <v>358</v>
      </c>
      <c r="F125" s="82" t="s">
        <v>89</v>
      </c>
      <c r="G125" s="85" t="s">
        <v>4</v>
      </c>
      <c r="H125" s="82" t="s">
        <v>51</v>
      </c>
      <c r="I125" s="85" t="s">
        <v>55</v>
      </c>
      <c r="J125" s="85" t="s">
        <v>1583</v>
      </c>
      <c r="K125" s="82" t="s">
        <v>67</v>
      </c>
      <c r="L125" s="82" t="s">
        <v>35</v>
      </c>
      <c r="M125" s="82" t="s">
        <v>37</v>
      </c>
      <c r="N125" s="82">
        <v>0</v>
      </c>
      <c r="O125" s="82"/>
      <c r="P125" s="82"/>
      <c r="Q125" s="82"/>
      <c r="R125" s="82"/>
      <c r="S125" s="97"/>
      <c r="T125" s="97"/>
      <c r="X125" s="94" t="s">
        <v>1722</v>
      </c>
      <c r="Y125" s="95"/>
      <c r="Z125" s="95" t="s">
        <v>1633</v>
      </c>
      <c r="AA125" s="94" t="s">
        <v>1738</v>
      </c>
      <c r="AB125" s="94"/>
      <c r="AC125" s="94"/>
      <c r="AD125" s="94"/>
      <c r="AE125" s="94"/>
      <c r="AF125" s="94"/>
      <c r="AG125" s="93" t="s">
        <v>1724</v>
      </c>
      <c r="AQ125" s="93" t="s">
        <v>1729</v>
      </c>
      <c r="AR125" s="93" t="s">
        <v>1633</v>
      </c>
      <c r="AS125" s="94"/>
      <c r="AT125" s="94"/>
      <c r="AU125" s="94" t="s">
        <v>1748</v>
      </c>
      <c r="AV125" s="94"/>
      <c r="BA125" s="94" t="s">
        <v>1727</v>
      </c>
      <c r="BB125" s="108">
        <f>Schäden_Einband!X125+Schäden_Buchblock!AC125</f>
        <v>0</v>
      </c>
      <c r="BC125" s="95"/>
      <c r="BD125" s="93" t="s">
        <v>1886</v>
      </c>
    </row>
    <row r="126" spans="1:64" ht="23" x14ac:dyDescent="0.25">
      <c r="A126" s="82">
        <v>121</v>
      </c>
      <c r="B126" s="64" t="s">
        <v>359</v>
      </c>
      <c r="C126" s="64">
        <v>1066972656</v>
      </c>
      <c r="D126" s="84" t="str">
        <f t="shared" si="1"/>
        <v>https://portal.dnb.de/opac.htm?method=simpleSearch&amp;cqlMode=true&amp;query=idn%3D1066972656</v>
      </c>
      <c r="E126" s="64" t="s">
        <v>360</v>
      </c>
      <c r="F126" s="82" t="s">
        <v>89</v>
      </c>
      <c r="G126" s="85" t="s">
        <v>4</v>
      </c>
      <c r="H126" s="82" t="s">
        <v>52</v>
      </c>
      <c r="I126" s="85" t="s">
        <v>90</v>
      </c>
      <c r="J126" s="85" t="s">
        <v>1586</v>
      </c>
      <c r="K126" s="82" t="s">
        <v>67</v>
      </c>
      <c r="L126" s="82" t="s">
        <v>35</v>
      </c>
      <c r="M126" s="82" t="s">
        <v>37</v>
      </c>
      <c r="N126" s="82">
        <v>0</v>
      </c>
      <c r="O126" s="82"/>
      <c r="P126" s="82"/>
      <c r="Q126" s="82"/>
      <c r="R126" s="82"/>
      <c r="S126" s="97"/>
      <c r="T126" s="97"/>
      <c r="X126" s="94" t="s">
        <v>1741</v>
      </c>
      <c r="Y126" s="95" t="s">
        <v>1633</v>
      </c>
      <c r="Z126" s="95"/>
      <c r="AA126" s="94" t="s">
        <v>1742</v>
      </c>
      <c r="AB126" s="94"/>
      <c r="AC126" s="94"/>
      <c r="AD126" s="94"/>
      <c r="AE126" s="94"/>
      <c r="AF126" s="94"/>
      <c r="AG126" s="93" t="s">
        <v>1724</v>
      </c>
      <c r="AQ126" s="93" t="s">
        <v>1725</v>
      </c>
      <c r="AR126" s="93" t="s">
        <v>1633</v>
      </c>
      <c r="AS126" s="94"/>
      <c r="AT126" s="94"/>
      <c r="AU126" s="94">
        <v>110</v>
      </c>
      <c r="AV126" s="94"/>
      <c r="BA126" s="94" t="s">
        <v>1727</v>
      </c>
      <c r="BB126" s="108">
        <f>Schäden_Einband!X126+Schäden_Buchblock!AC126</f>
        <v>0</v>
      </c>
      <c r="BC126" s="95"/>
      <c r="BE126" s="93" t="s">
        <v>1633</v>
      </c>
      <c r="BI126" s="93" t="s">
        <v>1633</v>
      </c>
      <c r="BJ126" s="81" t="s">
        <v>1990</v>
      </c>
    </row>
    <row r="127" spans="1:64" ht="23" x14ac:dyDescent="0.25">
      <c r="A127" s="82">
        <v>122</v>
      </c>
      <c r="B127" s="64" t="s">
        <v>361</v>
      </c>
      <c r="C127" s="64">
        <v>1066969795</v>
      </c>
      <c r="D127" s="84" t="str">
        <f t="shared" si="1"/>
        <v>https://portal.dnb.de/opac.htm?method=simpleSearch&amp;cqlMode=true&amp;query=idn%3D1066969795</v>
      </c>
      <c r="E127" s="64" t="s">
        <v>362</v>
      </c>
      <c r="F127" s="82" t="s">
        <v>89</v>
      </c>
      <c r="G127" s="85" t="s">
        <v>3</v>
      </c>
      <c r="H127" s="82" t="s">
        <v>51</v>
      </c>
      <c r="I127" s="85" t="s">
        <v>55</v>
      </c>
      <c r="J127" s="85" t="s">
        <v>1586</v>
      </c>
      <c r="K127" s="82" t="s">
        <v>67</v>
      </c>
      <c r="L127" s="82" t="s">
        <v>35</v>
      </c>
      <c r="M127" s="82" t="s">
        <v>37</v>
      </c>
      <c r="N127" s="82">
        <v>0</v>
      </c>
      <c r="O127" s="82"/>
      <c r="P127" s="82"/>
      <c r="Q127" s="82"/>
      <c r="R127" s="82"/>
      <c r="S127" s="97"/>
      <c r="T127" s="97"/>
      <c r="X127" s="94" t="s">
        <v>1728</v>
      </c>
      <c r="Y127" s="95" t="s">
        <v>1633</v>
      </c>
      <c r="Z127" s="95"/>
      <c r="AA127" s="94" t="s">
        <v>1723</v>
      </c>
      <c r="AB127" s="94"/>
      <c r="AC127" s="94"/>
      <c r="AD127" s="94"/>
      <c r="AE127" s="94"/>
      <c r="AF127" s="94"/>
      <c r="AG127" s="93" t="s">
        <v>1724</v>
      </c>
      <c r="AQ127" s="93" t="s">
        <v>1729</v>
      </c>
      <c r="AR127" s="93" t="s">
        <v>1633</v>
      </c>
      <c r="AS127" s="94"/>
      <c r="AT127" s="94"/>
      <c r="AU127" s="94" t="s">
        <v>1731</v>
      </c>
      <c r="AV127" s="94"/>
      <c r="BA127" s="94" t="s">
        <v>1727</v>
      </c>
      <c r="BB127" s="108">
        <f>Schäden_Einband!X127+Schäden_Buchblock!AC127</f>
        <v>0</v>
      </c>
      <c r="BC127" s="95"/>
      <c r="BD127" s="93" t="s">
        <v>1887</v>
      </c>
    </row>
    <row r="128" spans="1:64" ht="46" x14ac:dyDescent="0.25">
      <c r="A128" s="82">
        <v>123</v>
      </c>
      <c r="B128" s="64" t="s">
        <v>363</v>
      </c>
      <c r="C128" s="64">
        <v>1066968551</v>
      </c>
      <c r="D128" s="84" t="str">
        <f t="shared" si="1"/>
        <v>https://portal.dnb.de/opac.htm?method=simpleSearch&amp;cqlMode=true&amp;query=idn%3D1066968551</v>
      </c>
      <c r="E128" s="64" t="s">
        <v>364</v>
      </c>
      <c r="F128" s="82" t="s">
        <v>89</v>
      </c>
      <c r="G128" s="85" t="s">
        <v>1584</v>
      </c>
      <c r="H128" s="82" t="s">
        <v>53</v>
      </c>
      <c r="I128" s="85" t="s">
        <v>90</v>
      </c>
      <c r="J128" s="85" t="s">
        <v>1583</v>
      </c>
      <c r="K128" s="82" t="s">
        <v>67</v>
      </c>
      <c r="L128" s="82"/>
      <c r="M128" s="82" t="s">
        <v>101</v>
      </c>
      <c r="N128" s="82">
        <v>0</v>
      </c>
      <c r="O128" s="82"/>
      <c r="P128" s="82"/>
      <c r="Q128" s="82"/>
      <c r="R128" s="82"/>
      <c r="S128" s="97"/>
      <c r="T128" s="97"/>
      <c r="X128" s="94" t="s">
        <v>1728</v>
      </c>
      <c r="Y128" s="95" t="s">
        <v>1633</v>
      </c>
      <c r="Z128" s="95"/>
      <c r="AA128" s="94" t="s">
        <v>1742</v>
      </c>
      <c r="AB128" s="94"/>
      <c r="AC128" s="94"/>
      <c r="AD128" s="94"/>
      <c r="AE128" s="94"/>
      <c r="AF128" s="94"/>
      <c r="AG128" s="93" t="s">
        <v>1724</v>
      </c>
      <c r="AQ128" s="93" t="s">
        <v>1729</v>
      </c>
      <c r="AR128" s="93" t="s">
        <v>1633</v>
      </c>
      <c r="AS128" s="94"/>
      <c r="AT128" s="94"/>
      <c r="AU128" s="94">
        <v>110</v>
      </c>
      <c r="AV128" s="94"/>
      <c r="BA128" s="94" t="s">
        <v>1727</v>
      </c>
      <c r="BB128" s="108">
        <f>Schäden_Einband!X128+Schäden_Buchblock!AC128</f>
        <v>0</v>
      </c>
      <c r="BC128" s="95"/>
    </row>
    <row r="129" spans="1:56" ht="46" x14ac:dyDescent="0.25">
      <c r="A129" s="82">
        <v>124</v>
      </c>
      <c r="B129" s="64" t="s">
        <v>365</v>
      </c>
      <c r="C129" s="64">
        <v>1066969310</v>
      </c>
      <c r="D129" s="84" t="str">
        <f t="shared" si="1"/>
        <v>https://portal.dnb.de/opac.htm?method=simpleSearch&amp;cqlMode=true&amp;query=idn%3D1066969310</v>
      </c>
      <c r="E129" s="64" t="s">
        <v>366</v>
      </c>
      <c r="F129" s="82" t="s">
        <v>89</v>
      </c>
      <c r="G129" s="85" t="s">
        <v>1585</v>
      </c>
      <c r="H129" s="82" t="s">
        <v>53</v>
      </c>
      <c r="I129" s="85" t="s">
        <v>90</v>
      </c>
      <c r="J129" s="85" t="s">
        <v>1583</v>
      </c>
      <c r="K129" s="82" t="s">
        <v>67</v>
      </c>
      <c r="L129" s="82"/>
      <c r="M129" s="82" t="s">
        <v>101</v>
      </c>
      <c r="N129" s="82">
        <v>2</v>
      </c>
      <c r="O129" s="82"/>
      <c r="P129" s="82" t="s">
        <v>1686</v>
      </c>
      <c r="Q129" s="82"/>
      <c r="R129" s="82"/>
      <c r="S129" s="97"/>
      <c r="T129" s="97"/>
      <c r="V129" s="93" t="s">
        <v>1633</v>
      </c>
      <c r="X129" s="94" t="s">
        <v>1741</v>
      </c>
      <c r="Y129" s="95" t="s">
        <v>1633</v>
      </c>
      <c r="Z129" s="95"/>
      <c r="AA129" s="94" t="s">
        <v>1742</v>
      </c>
      <c r="AB129" s="94"/>
      <c r="AC129" s="94"/>
      <c r="AD129" s="94"/>
      <c r="AE129" s="94"/>
      <c r="AF129" s="94"/>
      <c r="AG129" s="93" t="s">
        <v>1724</v>
      </c>
      <c r="AQ129" s="93" t="s">
        <v>1729</v>
      </c>
      <c r="AR129" s="93" t="s">
        <v>1633</v>
      </c>
      <c r="AS129" s="94"/>
      <c r="AT129" s="94"/>
      <c r="AU129" s="94">
        <v>60</v>
      </c>
      <c r="AV129" s="94"/>
      <c r="BA129" s="94" t="s">
        <v>1727</v>
      </c>
      <c r="BB129" s="108">
        <f>Schäden_Einband!X129+Schäden_Buchblock!AC129</f>
        <v>0</v>
      </c>
      <c r="BC129" s="95"/>
    </row>
    <row r="130" spans="1:56" ht="46" x14ac:dyDescent="0.25">
      <c r="A130" s="82">
        <v>125</v>
      </c>
      <c r="B130" s="64" t="s">
        <v>367</v>
      </c>
      <c r="C130" s="64">
        <v>1066972052</v>
      </c>
      <c r="D130" s="84" t="str">
        <f>HYPERLINK(CONCATENATE("https://portal.dnb.de/opac.htm?method=simpleSearch&amp;cqlMode=true&amp;query=idn%3D",C130))</f>
        <v>https://portal.dnb.de/opac.htm?method=simpleSearch&amp;cqlMode=true&amp;query=idn%3D1066972052</v>
      </c>
      <c r="E130" s="64" t="s">
        <v>368</v>
      </c>
      <c r="F130" s="82" t="s">
        <v>89</v>
      </c>
      <c r="G130" s="85" t="s">
        <v>1585</v>
      </c>
      <c r="H130" s="82" t="s">
        <v>51</v>
      </c>
      <c r="I130" s="85" t="s">
        <v>90</v>
      </c>
      <c r="J130" s="85" t="s">
        <v>94</v>
      </c>
      <c r="K130" s="82"/>
      <c r="L130" s="82" t="s">
        <v>35</v>
      </c>
      <c r="M130" s="82" t="s">
        <v>37</v>
      </c>
      <c r="N130" s="82">
        <v>1</v>
      </c>
      <c r="O130" s="82"/>
      <c r="P130" s="82"/>
      <c r="Q130" s="82"/>
      <c r="R130" s="82"/>
      <c r="S130" s="97"/>
      <c r="T130" s="97"/>
      <c r="X130" s="94" t="s">
        <v>1722</v>
      </c>
      <c r="Y130" s="95" t="s">
        <v>1633</v>
      </c>
      <c r="Z130" s="95"/>
      <c r="AA130" s="94" t="s">
        <v>1738</v>
      </c>
      <c r="AB130" s="94"/>
      <c r="AC130" s="94" t="s">
        <v>1633</v>
      </c>
      <c r="AD130" s="94"/>
      <c r="AE130" s="94"/>
      <c r="AF130" s="94"/>
      <c r="AG130" s="93" t="s">
        <v>1724</v>
      </c>
      <c r="AS130" s="94"/>
      <c r="AT130" s="94"/>
      <c r="AU130" s="94">
        <v>60</v>
      </c>
      <c r="AV130" s="94"/>
      <c r="BA130" s="94" t="s">
        <v>1727</v>
      </c>
      <c r="BB130" s="108">
        <f>Schäden_Einband!X130+Schäden_Buchblock!AC130</f>
        <v>0</v>
      </c>
      <c r="BC130" s="95"/>
      <c r="BD130" s="93" t="s">
        <v>1887</v>
      </c>
    </row>
    <row r="131" spans="1:56" ht="23" x14ac:dyDescent="0.25">
      <c r="A131" s="82">
        <v>126</v>
      </c>
      <c r="B131" s="64" t="s">
        <v>369</v>
      </c>
      <c r="C131" s="64">
        <v>1066966656</v>
      </c>
      <c r="D131" s="84" t="str">
        <f t="shared" si="1"/>
        <v>https://portal.dnb.de/opac.htm?method=simpleSearch&amp;cqlMode=true&amp;query=idn%3D1066966656</v>
      </c>
      <c r="E131" s="64" t="s">
        <v>1709</v>
      </c>
      <c r="F131" s="82" t="s">
        <v>89</v>
      </c>
      <c r="G131" s="85" t="s">
        <v>4</v>
      </c>
      <c r="H131" s="82" t="s">
        <v>52</v>
      </c>
      <c r="I131" s="85" t="s">
        <v>90</v>
      </c>
      <c r="J131" s="85" t="s">
        <v>1583</v>
      </c>
      <c r="K131" s="82"/>
      <c r="L131" s="82"/>
      <c r="M131" s="82"/>
      <c r="N131" s="82">
        <v>0</v>
      </c>
      <c r="O131" s="82"/>
      <c r="P131" s="82"/>
      <c r="Q131" s="82"/>
      <c r="R131" s="82"/>
      <c r="S131" s="97"/>
      <c r="T131" s="97"/>
      <c r="X131" s="94" t="s">
        <v>1741</v>
      </c>
      <c r="Y131" s="95" t="s">
        <v>1633</v>
      </c>
      <c r="Z131" s="95"/>
      <c r="AA131" s="94" t="s">
        <v>1742</v>
      </c>
      <c r="AB131" s="94"/>
      <c r="AC131" s="94"/>
      <c r="AD131" s="94"/>
      <c r="AE131" s="94"/>
      <c r="AF131" s="94"/>
      <c r="AG131" s="93" t="s">
        <v>1724</v>
      </c>
      <c r="AQ131" s="93" t="s">
        <v>1729</v>
      </c>
      <c r="AR131" s="93" t="s">
        <v>1633</v>
      </c>
      <c r="AS131" s="94"/>
      <c r="AT131" s="94"/>
      <c r="AU131" s="94">
        <v>110</v>
      </c>
      <c r="AV131" s="94"/>
      <c r="BA131" s="94" t="s">
        <v>1727</v>
      </c>
      <c r="BB131" s="108">
        <f>Schäden_Einband!X131+Schäden_Buchblock!AC131</f>
        <v>0</v>
      </c>
      <c r="BC131" s="95"/>
    </row>
    <row r="132" spans="1:56" ht="23" x14ac:dyDescent="0.25">
      <c r="A132" s="82"/>
      <c r="B132" s="64"/>
      <c r="C132" s="64"/>
      <c r="D132" s="84"/>
      <c r="E132" s="64" t="s">
        <v>1710</v>
      </c>
      <c r="F132" s="82" t="s">
        <v>89</v>
      </c>
      <c r="G132" s="85" t="s">
        <v>4</v>
      </c>
      <c r="H132" s="82" t="s">
        <v>52</v>
      </c>
      <c r="I132" s="85" t="s">
        <v>90</v>
      </c>
      <c r="J132" s="85" t="s">
        <v>1583</v>
      </c>
      <c r="K132" s="82"/>
      <c r="L132" s="82"/>
      <c r="M132" s="82"/>
      <c r="N132" s="82">
        <v>0</v>
      </c>
      <c r="O132" s="82"/>
      <c r="P132" s="82"/>
      <c r="Q132" s="82"/>
      <c r="R132" s="82"/>
      <c r="S132" s="97"/>
      <c r="T132" s="97"/>
      <c r="X132" s="94" t="s">
        <v>1741</v>
      </c>
      <c r="Y132" s="95" t="s">
        <v>1633</v>
      </c>
      <c r="Z132" s="95"/>
      <c r="AA132" s="94" t="s">
        <v>1742</v>
      </c>
      <c r="AB132" s="94"/>
      <c r="AC132" s="94"/>
      <c r="AD132" s="94"/>
      <c r="AE132" s="94"/>
      <c r="AF132" s="94"/>
      <c r="AG132" s="93" t="s">
        <v>1724</v>
      </c>
      <c r="AQ132" s="93" t="s">
        <v>1729</v>
      </c>
      <c r="AR132" s="93" t="s">
        <v>1633</v>
      </c>
      <c r="AS132" s="94"/>
      <c r="AT132" s="94"/>
      <c r="AU132" s="94">
        <v>110</v>
      </c>
      <c r="AV132" s="94"/>
      <c r="BA132" s="94" t="s">
        <v>1727</v>
      </c>
      <c r="BB132" s="108">
        <f>Schäden_Einband!X132+Schäden_Buchblock!AC132</f>
        <v>0</v>
      </c>
      <c r="BC132" s="95"/>
    </row>
    <row r="133" spans="1:56" x14ac:dyDescent="0.25">
      <c r="A133" s="82">
        <v>127</v>
      </c>
      <c r="B133" s="64" t="s">
        <v>370</v>
      </c>
      <c r="C133" s="64">
        <v>1077047428</v>
      </c>
      <c r="D133" s="84" t="str">
        <f t="shared" si="1"/>
        <v>https://portal.dnb.de/opac.htm?method=simpleSearch&amp;cqlMode=true&amp;query=idn%3D1077047428</v>
      </c>
      <c r="E133" s="64" t="s">
        <v>371</v>
      </c>
      <c r="F133" s="82"/>
      <c r="G133" s="85"/>
      <c r="H133" s="82"/>
      <c r="I133" s="85"/>
      <c r="J133" s="85"/>
      <c r="K133" s="82"/>
      <c r="L133" s="82"/>
      <c r="M133" s="82"/>
      <c r="N133" s="82"/>
      <c r="O133" s="82"/>
      <c r="P133" s="82"/>
      <c r="Q133" s="82"/>
      <c r="R133" s="82"/>
      <c r="S133" s="97"/>
      <c r="T133" s="97"/>
      <c r="X133" s="94"/>
      <c r="Y133" s="95"/>
      <c r="Z133" s="95"/>
      <c r="AA133" s="94"/>
      <c r="AB133" s="94"/>
      <c r="AC133" s="94"/>
      <c r="AD133" s="94"/>
      <c r="AE133" s="94"/>
      <c r="AF133" s="94"/>
      <c r="AS133" s="94"/>
      <c r="AT133" s="94"/>
      <c r="AU133" s="94"/>
      <c r="AV133" s="94"/>
      <c r="BB133" s="108">
        <f>Schäden_Einband!X133+Schäden_Buchblock!AC133</f>
        <v>0</v>
      </c>
      <c r="BC133" s="95"/>
    </row>
    <row r="134" spans="1:56" ht="34.5" x14ac:dyDescent="0.25">
      <c r="A134" s="82">
        <v>128</v>
      </c>
      <c r="B134" s="64" t="s">
        <v>372</v>
      </c>
      <c r="C134" s="64">
        <v>1066972028</v>
      </c>
      <c r="D134" s="84" t="str">
        <f>HYPERLINK(CONCATENATE("https://portal.dnb.de/opac.htm?method=simpleSearch&amp;cqlMode=true&amp;query=idn%3D",C134))</f>
        <v>https://portal.dnb.de/opac.htm?method=simpleSearch&amp;cqlMode=true&amp;query=idn%3D1066972028</v>
      </c>
      <c r="E134" s="64" t="s">
        <v>373</v>
      </c>
      <c r="F134" s="82" t="s">
        <v>89</v>
      </c>
      <c r="G134" s="85" t="s">
        <v>4</v>
      </c>
      <c r="H134" s="82" t="s">
        <v>51</v>
      </c>
      <c r="I134" s="85" t="s">
        <v>55</v>
      </c>
      <c r="J134" s="85" t="s">
        <v>1612</v>
      </c>
      <c r="K134" s="82" t="s">
        <v>67</v>
      </c>
      <c r="L134" s="82" t="s">
        <v>35</v>
      </c>
      <c r="M134" s="82" t="s">
        <v>37</v>
      </c>
      <c r="N134" s="82">
        <v>0</v>
      </c>
      <c r="O134" s="82"/>
      <c r="P134" s="82"/>
      <c r="Q134" s="82"/>
      <c r="R134" s="82"/>
      <c r="S134" s="97"/>
      <c r="T134" s="97"/>
      <c r="X134" s="94" t="s">
        <v>1722</v>
      </c>
      <c r="Y134" s="95" t="s">
        <v>1633</v>
      </c>
      <c r="Z134" s="95"/>
      <c r="AA134" s="94" t="s">
        <v>1738</v>
      </c>
      <c r="AB134" s="94"/>
      <c r="AC134" s="94"/>
      <c r="AD134" s="94"/>
      <c r="AE134" s="94"/>
      <c r="AF134" s="94"/>
      <c r="AG134" s="93" t="s">
        <v>1724</v>
      </c>
      <c r="AQ134" s="93" t="s">
        <v>1729</v>
      </c>
      <c r="AR134" s="93" t="s">
        <v>1633</v>
      </c>
      <c r="AS134" s="94"/>
      <c r="AT134" s="94"/>
      <c r="AU134" s="94">
        <v>110</v>
      </c>
      <c r="AV134" s="94"/>
      <c r="BA134" s="94" t="s">
        <v>1727</v>
      </c>
      <c r="BB134" s="108">
        <f>Schäden_Einband!X134+Schäden_Buchblock!AC134</f>
        <v>0</v>
      </c>
      <c r="BC134" s="95"/>
      <c r="BD134" s="93" t="s">
        <v>1887</v>
      </c>
    </row>
    <row r="135" spans="1:56" ht="46" x14ac:dyDescent="0.25">
      <c r="A135" s="82">
        <v>129</v>
      </c>
      <c r="B135" s="64" t="s">
        <v>374</v>
      </c>
      <c r="C135" s="64" t="s">
        <v>375</v>
      </c>
      <c r="D135" s="84" t="str">
        <f t="shared" si="1"/>
        <v>https://portal.dnb.de/opac.htm?method=simpleSearch&amp;cqlMode=true&amp;query=idn%3D106696470X</v>
      </c>
      <c r="E135" s="64" t="s">
        <v>376</v>
      </c>
      <c r="F135" s="82" t="s">
        <v>89</v>
      </c>
      <c r="G135" s="85" t="s">
        <v>1584</v>
      </c>
      <c r="H135" s="82" t="s">
        <v>51</v>
      </c>
      <c r="I135" s="85" t="s">
        <v>55</v>
      </c>
      <c r="J135" s="85" t="s">
        <v>1586</v>
      </c>
      <c r="K135" s="82" t="s">
        <v>67</v>
      </c>
      <c r="L135" s="82" t="s">
        <v>35</v>
      </c>
      <c r="M135" s="82" t="s">
        <v>37</v>
      </c>
      <c r="N135" s="82">
        <v>0</v>
      </c>
      <c r="O135" s="82"/>
      <c r="P135" s="82"/>
      <c r="Q135" s="82"/>
      <c r="R135" s="82"/>
      <c r="S135" s="97"/>
      <c r="T135" s="97"/>
      <c r="X135" s="94" t="s">
        <v>1728</v>
      </c>
      <c r="Y135" s="95" t="s">
        <v>1633</v>
      </c>
      <c r="Z135" s="95"/>
      <c r="AA135" s="94" t="s">
        <v>1723</v>
      </c>
      <c r="AB135" s="94"/>
      <c r="AC135" s="94"/>
      <c r="AD135" s="94"/>
      <c r="AE135" s="94"/>
      <c r="AF135" s="94"/>
      <c r="AG135" s="93" t="s">
        <v>1724</v>
      </c>
      <c r="AH135" s="93" t="s">
        <v>1633</v>
      </c>
      <c r="AQ135" s="93" t="s">
        <v>1729</v>
      </c>
      <c r="AR135" s="93" t="s">
        <v>1633</v>
      </c>
      <c r="AS135" s="94"/>
      <c r="AT135" s="94"/>
      <c r="AU135" s="94">
        <v>110</v>
      </c>
      <c r="AV135" s="94"/>
      <c r="BA135" s="94" t="s">
        <v>1727</v>
      </c>
      <c r="BB135" s="108">
        <f>Schäden_Einband!X135+Schäden_Buchblock!AC135</f>
        <v>0</v>
      </c>
      <c r="BC135" s="95"/>
      <c r="BD135" s="93" t="s">
        <v>1887</v>
      </c>
    </row>
    <row r="136" spans="1:56" ht="46" x14ac:dyDescent="0.25">
      <c r="A136" s="82">
        <v>130</v>
      </c>
      <c r="B136" s="64" t="s">
        <v>377</v>
      </c>
      <c r="C136" s="64">
        <v>1066969868</v>
      </c>
      <c r="D136" s="84" t="str">
        <f t="shared" ref="D136:D201" si="2">HYPERLINK(CONCATENATE("https://portal.dnb.de/opac.htm?method=simpleSearch&amp;cqlMode=true&amp;query=idn%3D",C136))</f>
        <v>https://portal.dnb.de/opac.htm?method=simpleSearch&amp;cqlMode=true&amp;query=idn%3D1066969868</v>
      </c>
      <c r="E136" s="64" t="s">
        <v>378</v>
      </c>
      <c r="F136" s="82" t="s">
        <v>89</v>
      </c>
      <c r="G136" s="85" t="s">
        <v>1584</v>
      </c>
      <c r="H136" s="82" t="s">
        <v>51</v>
      </c>
      <c r="I136" s="85" t="s">
        <v>55</v>
      </c>
      <c r="J136" s="85" t="s">
        <v>1632</v>
      </c>
      <c r="K136" s="82" t="s">
        <v>67</v>
      </c>
      <c r="L136" s="82" t="s">
        <v>35</v>
      </c>
      <c r="M136" s="82" t="s">
        <v>37</v>
      </c>
      <c r="N136" s="82">
        <v>2</v>
      </c>
      <c r="O136" s="82"/>
      <c r="P136" s="82"/>
      <c r="Q136" s="82"/>
      <c r="R136" s="82"/>
      <c r="S136" s="97"/>
      <c r="T136" s="97"/>
      <c r="X136" s="94" t="s">
        <v>1728</v>
      </c>
      <c r="Y136" s="95" t="s">
        <v>1633</v>
      </c>
      <c r="Z136" s="95"/>
      <c r="AA136" s="94" t="s">
        <v>1723</v>
      </c>
      <c r="AB136" s="94"/>
      <c r="AC136" s="94" t="s">
        <v>1633</v>
      </c>
      <c r="AD136" s="94"/>
      <c r="AE136" s="94"/>
      <c r="AF136" s="94"/>
      <c r="AG136" s="93" t="s">
        <v>1724</v>
      </c>
      <c r="AH136" s="93" t="s">
        <v>1633</v>
      </c>
      <c r="AQ136" s="93" t="s">
        <v>1729</v>
      </c>
      <c r="AR136" s="93" t="s">
        <v>1633</v>
      </c>
      <c r="AS136" s="94"/>
      <c r="AT136" s="94"/>
      <c r="AU136" s="94">
        <v>60</v>
      </c>
      <c r="AV136" s="94"/>
      <c r="BA136" s="94" t="s">
        <v>1733</v>
      </c>
      <c r="BB136" s="108">
        <f>Schäden_Einband!X136+Schäden_Buchblock!AC136</f>
        <v>1</v>
      </c>
      <c r="BC136" s="95"/>
      <c r="BD136" s="93" t="s">
        <v>1887</v>
      </c>
    </row>
    <row r="137" spans="1:56" ht="46" x14ac:dyDescent="0.25">
      <c r="A137" s="82">
        <v>131</v>
      </c>
      <c r="B137" s="64" t="s">
        <v>379</v>
      </c>
      <c r="C137" s="64">
        <v>1066968330</v>
      </c>
      <c r="D137" s="84" t="str">
        <f t="shared" si="2"/>
        <v>https://portal.dnb.de/opac.htm?method=simpleSearch&amp;cqlMode=true&amp;query=idn%3D1066968330</v>
      </c>
      <c r="E137" s="64" t="s">
        <v>380</v>
      </c>
      <c r="F137" s="82" t="s">
        <v>89</v>
      </c>
      <c r="G137" s="85" t="s">
        <v>1584</v>
      </c>
      <c r="H137" s="82" t="s">
        <v>51</v>
      </c>
      <c r="I137" s="85" t="s">
        <v>55</v>
      </c>
      <c r="J137" s="85" t="s">
        <v>1632</v>
      </c>
      <c r="K137" s="82" t="s">
        <v>67</v>
      </c>
      <c r="L137" s="82" t="s">
        <v>35</v>
      </c>
      <c r="M137" s="82" t="s">
        <v>37</v>
      </c>
      <c r="N137" s="82">
        <v>3</v>
      </c>
      <c r="O137" s="82"/>
      <c r="P137" s="82"/>
      <c r="Q137" s="82"/>
      <c r="R137" s="82"/>
      <c r="S137" s="97"/>
      <c r="T137" s="97"/>
      <c r="X137" s="94" t="s">
        <v>1728</v>
      </c>
      <c r="Y137" s="95" t="s">
        <v>1633</v>
      </c>
      <c r="Z137" s="95"/>
      <c r="AA137" s="94" t="s">
        <v>1723</v>
      </c>
      <c r="AB137" s="94"/>
      <c r="AC137" s="94" t="s">
        <v>1633</v>
      </c>
      <c r="AD137" s="94"/>
      <c r="AE137" s="94"/>
      <c r="AF137" s="94"/>
      <c r="AG137" s="93" t="s">
        <v>1724</v>
      </c>
      <c r="AH137" s="93" t="s">
        <v>1633</v>
      </c>
      <c r="AQ137" s="93" t="s">
        <v>1729</v>
      </c>
      <c r="AR137" s="93" t="s">
        <v>1633</v>
      </c>
      <c r="AS137" s="94"/>
      <c r="AT137" s="94"/>
      <c r="AU137" s="94">
        <v>110</v>
      </c>
      <c r="AV137" s="94"/>
      <c r="BA137" s="94" t="s">
        <v>1733</v>
      </c>
      <c r="BB137" s="108">
        <f>Schäden_Einband!X137+Schäden_Buchblock!AC137</f>
        <v>1</v>
      </c>
      <c r="BC137" s="95"/>
      <c r="BD137" s="93" t="s">
        <v>1887</v>
      </c>
    </row>
    <row r="138" spans="1:56" ht="46" x14ac:dyDescent="0.25">
      <c r="A138" s="82">
        <v>132</v>
      </c>
      <c r="B138" s="64" t="s">
        <v>381</v>
      </c>
      <c r="C138" s="64">
        <v>1066966338</v>
      </c>
      <c r="D138" s="84" t="str">
        <f t="shared" si="2"/>
        <v>https://portal.dnb.de/opac.htm?method=simpleSearch&amp;cqlMode=true&amp;query=idn%3D1066966338</v>
      </c>
      <c r="E138" s="64" t="s">
        <v>382</v>
      </c>
      <c r="F138" s="82" t="s">
        <v>89</v>
      </c>
      <c r="G138" s="85" t="s">
        <v>1607</v>
      </c>
      <c r="H138" s="82" t="s">
        <v>50</v>
      </c>
      <c r="I138" s="85" t="s">
        <v>55</v>
      </c>
      <c r="J138" s="85" t="s">
        <v>1586</v>
      </c>
      <c r="K138" s="82" t="s">
        <v>67</v>
      </c>
      <c r="L138" s="82" t="s">
        <v>35</v>
      </c>
      <c r="M138" s="82" t="s">
        <v>37</v>
      </c>
      <c r="N138" s="82">
        <v>0</v>
      </c>
      <c r="O138" s="82"/>
      <c r="P138" s="82"/>
      <c r="Q138" s="82"/>
      <c r="R138" s="82"/>
      <c r="S138" s="97"/>
      <c r="T138" s="97"/>
      <c r="X138" s="94" t="s">
        <v>1739</v>
      </c>
      <c r="Y138" s="95" t="s">
        <v>1633</v>
      </c>
      <c r="Z138" s="95"/>
      <c r="AA138" s="94" t="s">
        <v>1723</v>
      </c>
      <c r="AB138" s="94"/>
      <c r="AC138" s="94"/>
      <c r="AD138" s="94"/>
      <c r="AE138" s="94"/>
      <c r="AF138" s="94"/>
      <c r="AG138" s="93" t="s">
        <v>1724</v>
      </c>
      <c r="AH138" s="93" t="s">
        <v>1633</v>
      </c>
      <c r="AQ138" s="93" t="s">
        <v>1729</v>
      </c>
      <c r="AR138" s="93" t="s">
        <v>1633</v>
      </c>
      <c r="AS138" s="94"/>
      <c r="AT138" s="94"/>
      <c r="AU138" s="94">
        <v>110</v>
      </c>
      <c r="AV138" s="94"/>
      <c r="BA138" s="94" t="s">
        <v>1727</v>
      </c>
      <c r="BB138" s="108">
        <f>Schäden_Einband!X138+Schäden_Buchblock!AC138</f>
        <v>0</v>
      </c>
      <c r="BC138" s="95"/>
      <c r="BD138" s="93" t="s">
        <v>1887</v>
      </c>
    </row>
    <row r="139" spans="1:56" ht="23" x14ac:dyDescent="0.25">
      <c r="A139" s="82">
        <v>133</v>
      </c>
      <c r="B139" s="64" t="s">
        <v>383</v>
      </c>
      <c r="C139" s="64">
        <v>1072053101</v>
      </c>
      <c r="D139" s="84" t="str">
        <f t="shared" si="2"/>
        <v>https://portal.dnb.de/opac.htm?method=simpleSearch&amp;cqlMode=true&amp;query=idn%3D1072053101</v>
      </c>
      <c r="E139" s="64" t="s">
        <v>384</v>
      </c>
      <c r="F139" s="82" t="s">
        <v>89</v>
      </c>
      <c r="G139" s="85" t="s">
        <v>45</v>
      </c>
      <c r="H139" s="82" t="s">
        <v>50</v>
      </c>
      <c r="I139" s="85"/>
      <c r="J139" s="85" t="s">
        <v>1586</v>
      </c>
      <c r="K139" s="82" t="s">
        <v>67</v>
      </c>
      <c r="L139" s="82" t="s">
        <v>35</v>
      </c>
      <c r="M139" s="82" t="s">
        <v>37</v>
      </c>
      <c r="N139" s="82">
        <v>0</v>
      </c>
      <c r="O139" s="82"/>
      <c r="P139" s="82"/>
      <c r="Q139" s="82"/>
      <c r="R139" s="82"/>
      <c r="S139" s="97"/>
      <c r="T139" s="97"/>
      <c r="X139" s="94" t="s">
        <v>1730</v>
      </c>
      <c r="Y139" s="95"/>
      <c r="Z139" s="95" t="s">
        <v>1633</v>
      </c>
      <c r="AA139" s="94" t="s">
        <v>1737</v>
      </c>
      <c r="AB139" s="94"/>
      <c r="AC139" s="94"/>
      <c r="AD139" s="94"/>
      <c r="AE139" s="94"/>
      <c r="AF139" s="94"/>
      <c r="AG139" s="93" t="s">
        <v>1724</v>
      </c>
      <c r="AQ139" s="93" t="s">
        <v>1729</v>
      </c>
      <c r="AR139" s="93" t="s">
        <v>1633</v>
      </c>
      <c r="AS139" s="94"/>
      <c r="AT139" s="94"/>
      <c r="AU139" s="94">
        <v>110</v>
      </c>
      <c r="AV139" s="94"/>
      <c r="BA139" s="94" t="s">
        <v>1727</v>
      </c>
      <c r="BB139" s="108">
        <f>Schäden_Einband!X139+Schäden_Buchblock!AC139</f>
        <v>0</v>
      </c>
      <c r="BC139" s="95"/>
      <c r="BD139" s="93" t="s">
        <v>1886</v>
      </c>
    </row>
    <row r="140" spans="1:56" ht="46" x14ac:dyDescent="0.25">
      <c r="A140" s="82">
        <v>134</v>
      </c>
      <c r="B140" s="64" t="s">
        <v>385</v>
      </c>
      <c r="C140" s="64">
        <v>1066968721</v>
      </c>
      <c r="D140" s="84" t="str">
        <f t="shared" si="2"/>
        <v>https://portal.dnb.de/opac.htm?method=simpleSearch&amp;cqlMode=true&amp;query=idn%3D1066968721</v>
      </c>
      <c r="E140" s="64" t="s">
        <v>386</v>
      </c>
      <c r="F140" s="82" t="s">
        <v>89</v>
      </c>
      <c r="G140" s="85" t="s">
        <v>1585</v>
      </c>
      <c r="H140" s="82" t="s">
        <v>50</v>
      </c>
      <c r="I140" s="85" t="s">
        <v>86</v>
      </c>
      <c r="J140" s="85" t="s">
        <v>1612</v>
      </c>
      <c r="K140" s="82" t="s">
        <v>67</v>
      </c>
      <c r="L140" s="82" t="s">
        <v>35</v>
      </c>
      <c r="M140" s="82" t="s">
        <v>37</v>
      </c>
      <c r="N140" s="82">
        <v>0</v>
      </c>
      <c r="O140" s="82"/>
      <c r="P140" s="82"/>
      <c r="Q140" s="82"/>
      <c r="R140" s="82"/>
      <c r="S140" s="97"/>
      <c r="T140" s="97"/>
      <c r="X140" s="94" t="s">
        <v>1741</v>
      </c>
      <c r="Y140" s="95" t="s">
        <v>1633</v>
      </c>
      <c r="Z140" s="95"/>
      <c r="AA140" s="94" t="s">
        <v>1738</v>
      </c>
      <c r="AB140" s="94"/>
      <c r="AC140" s="94"/>
      <c r="AD140" s="94"/>
      <c r="AE140" s="94"/>
      <c r="AF140" s="94"/>
      <c r="AG140" s="93" t="s">
        <v>1724</v>
      </c>
      <c r="AK140" s="93" t="s">
        <v>1633</v>
      </c>
      <c r="AQ140" s="93" t="s">
        <v>1729</v>
      </c>
      <c r="AR140" s="93" t="s">
        <v>1633</v>
      </c>
      <c r="AS140" s="94"/>
      <c r="AT140" s="94"/>
      <c r="AU140" s="94">
        <v>45</v>
      </c>
      <c r="AV140" s="94"/>
      <c r="BA140" s="94" t="s">
        <v>1727</v>
      </c>
      <c r="BB140" s="108">
        <f>Schäden_Einband!X140+Schäden_Buchblock!AC140</f>
        <v>0</v>
      </c>
      <c r="BC140" s="95"/>
      <c r="BD140" s="93" t="s">
        <v>1887</v>
      </c>
    </row>
    <row r="141" spans="1:56" ht="46" x14ac:dyDescent="0.25">
      <c r="A141" s="82">
        <v>135</v>
      </c>
      <c r="B141" s="64" t="s">
        <v>387</v>
      </c>
      <c r="C141" s="64">
        <v>1066969671</v>
      </c>
      <c r="D141" s="84" t="str">
        <f t="shared" si="2"/>
        <v>https://portal.dnb.de/opac.htm?method=simpleSearch&amp;cqlMode=true&amp;query=idn%3D1066969671</v>
      </c>
      <c r="E141" s="64" t="s">
        <v>388</v>
      </c>
      <c r="F141" s="82" t="s">
        <v>89</v>
      </c>
      <c r="G141" s="85" t="s">
        <v>1584</v>
      </c>
      <c r="H141" s="82" t="s">
        <v>51</v>
      </c>
      <c r="I141" s="85" t="s">
        <v>55</v>
      </c>
      <c r="J141" s="85" t="s">
        <v>1583</v>
      </c>
      <c r="K141" s="82" t="s">
        <v>67</v>
      </c>
      <c r="L141" s="82" t="s">
        <v>35</v>
      </c>
      <c r="M141" s="82" t="s">
        <v>37</v>
      </c>
      <c r="N141" s="82">
        <v>2</v>
      </c>
      <c r="O141" s="82"/>
      <c r="P141" s="82"/>
      <c r="Q141" s="82"/>
      <c r="R141" s="82"/>
      <c r="S141" s="97"/>
      <c r="T141" s="97"/>
      <c r="X141" s="94" t="s">
        <v>1728</v>
      </c>
      <c r="Y141" s="95" t="s">
        <v>1633</v>
      </c>
      <c r="Z141" s="95"/>
      <c r="AA141" s="94" t="s">
        <v>1758</v>
      </c>
      <c r="AB141" s="94"/>
      <c r="AC141" s="94"/>
      <c r="AD141" s="94"/>
      <c r="AE141" s="94"/>
      <c r="AF141" s="94"/>
      <c r="AG141" s="93" t="s">
        <v>1724</v>
      </c>
      <c r="AH141" s="93" t="s">
        <v>1633</v>
      </c>
      <c r="AQ141" s="93" t="s">
        <v>1729</v>
      </c>
      <c r="AR141" s="93" t="s">
        <v>1633</v>
      </c>
      <c r="AS141" s="94"/>
      <c r="AT141" s="94"/>
      <c r="AU141" s="94">
        <v>110</v>
      </c>
      <c r="AV141" s="94"/>
      <c r="BA141" s="94" t="s">
        <v>1733</v>
      </c>
      <c r="BB141" s="108">
        <f>Schäden_Einband!X141+Schäden_Buchblock!AC141</f>
        <v>0.5</v>
      </c>
      <c r="BC141" s="95"/>
      <c r="BD141" s="93" t="s">
        <v>1887</v>
      </c>
    </row>
    <row r="142" spans="1:56" ht="34.5" x14ac:dyDescent="0.25">
      <c r="A142" s="82">
        <v>136</v>
      </c>
      <c r="B142" s="64" t="s">
        <v>389</v>
      </c>
      <c r="C142" s="64">
        <v>1066965838</v>
      </c>
      <c r="D142" s="84" t="str">
        <f t="shared" si="2"/>
        <v>https://portal.dnb.de/opac.htm?method=simpleSearch&amp;cqlMode=true&amp;query=idn%3D1066965838</v>
      </c>
      <c r="E142" s="64" t="s">
        <v>390</v>
      </c>
      <c r="F142" s="82" t="s">
        <v>89</v>
      </c>
      <c r="G142" s="85" t="s">
        <v>4</v>
      </c>
      <c r="H142" s="82" t="s">
        <v>51</v>
      </c>
      <c r="I142" s="85" t="s">
        <v>86</v>
      </c>
      <c r="J142" s="85" t="s">
        <v>1613</v>
      </c>
      <c r="K142" s="82"/>
      <c r="L142" s="82" t="s">
        <v>35</v>
      </c>
      <c r="M142" s="82" t="s">
        <v>37</v>
      </c>
      <c r="N142" s="82">
        <v>1</v>
      </c>
      <c r="O142" s="82"/>
      <c r="P142" s="82"/>
      <c r="Q142" s="82"/>
      <c r="R142" s="82"/>
      <c r="S142" s="97"/>
      <c r="T142" s="97"/>
      <c r="X142" s="94" t="s">
        <v>1741</v>
      </c>
      <c r="Y142" s="95" t="s">
        <v>1633</v>
      </c>
      <c r="Z142" s="95"/>
      <c r="AA142" s="94" t="s">
        <v>1738</v>
      </c>
      <c r="AB142" s="94"/>
      <c r="AC142" s="94"/>
      <c r="AD142" s="94"/>
      <c r="AE142" s="94"/>
      <c r="AF142" s="94"/>
      <c r="AG142" s="93" t="s">
        <v>1724</v>
      </c>
      <c r="AS142" s="94">
        <v>0</v>
      </c>
      <c r="AT142" s="94"/>
      <c r="AU142" s="94">
        <v>60</v>
      </c>
      <c r="AV142" s="94"/>
      <c r="BA142" s="94" t="s">
        <v>1727</v>
      </c>
      <c r="BB142" s="108">
        <f>Schäden_Einband!X142+Schäden_Buchblock!AC142</f>
        <v>0</v>
      </c>
      <c r="BC142" s="95"/>
      <c r="BD142" s="93" t="s">
        <v>1887</v>
      </c>
    </row>
    <row r="143" spans="1:56" ht="46" x14ac:dyDescent="0.25">
      <c r="A143" s="82">
        <v>137</v>
      </c>
      <c r="B143" s="64" t="s">
        <v>391</v>
      </c>
      <c r="C143" s="64">
        <v>1066965692</v>
      </c>
      <c r="D143" s="84" t="str">
        <f t="shared" si="2"/>
        <v>https://portal.dnb.de/opac.htm?method=simpleSearch&amp;cqlMode=true&amp;query=idn%3D1066965692</v>
      </c>
      <c r="E143" s="64" t="s">
        <v>392</v>
      </c>
      <c r="F143" s="82" t="s">
        <v>89</v>
      </c>
      <c r="G143" s="85" t="s">
        <v>4</v>
      </c>
      <c r="H143" s="82" t="s">
        <v>51</v>
      </c>
      <c r="I143" s="85" t="s">
        <v>90</v>
      </c>
      <c r="J143" s="85" t="s">
        <v>1614</v>
      </c>
      <c r="K143" s="82" t="s">
        <v>67</v>
      </c>
      <c r="L143" s="82" t="s">
        <v>35</v>
      </c>
      <c r="M143" s="82" t="s">
        <v>37</v>
      </c>
      <c r="N143" s="82">
        <v>3</v>
      </c>
      <c r="O143" s="82"/>
      <c r="P143" s="82"/>
      <c r="Q143" s="82"/>
      <c r="R143" s="82"/>
      <c r="S143" s="97"/>
      <c r="T143" s="97"/>
      <c r="X143" s="94" t="s">
        <v>1741</v>
      </c>
      <c r="Y143" s="95" t="s">
        <v>1633</v>
      </c>
      <c r="Z143" s="95" t="s">
        <v>1633</v>
      </c>
      <c r="AA143" s="94" t="s">
        <v>1738</v>
      </c>
      <c r="AB143" s="94"/>
      <c r="AC143" s="94"/>
      <c r="AD143" s="94"/>
      <c r="AE143" s="94"/>
      <c r="AF143" s="94"/>
      <c r="AG143" s="93" t="s">
        <v>1724</v>
      </c>
      <c r="AQ143" s="93" t="s">
        <v>1757</v>
      </c>
      <c r="AR143" s="93" t="s">
        <v>1633</v>
      </c>
      <c r="AS143" s="94">
        <v>0</v>
      </c>
      <c r="AT143" s="94"/>
      <c r="AU143" s="94">
        <v>60</v>
      </c>
      <c r="AV143" s="94"/>
      <c r="BA143" s="94" t="s">
        <v>1733</v>
      </c>
      <c r="BB143" s="108">
        <f>Schäden_Einband!X143+Schäden_Buchblock!AC143</f>
        <v>6</v>
      </c>
      <c r="BC143" s="95"/>
      <c r="BD143" s="93" t="s">
        <v>1887</v>
      </c>
    </row>
    <row r="144" spans="1:56" ht="46" x14ac:dyDescent="0.25">
      <c r="A144" s="82">
        <v>138</v>
      </c>
      <c r="B144" s="64" t="s">
        <v>393</v>
      </c>
      <c r="C144" s="64">
        <v>1066965773</v>
      </c>
      <c r="D144" s="84" t="str">
        <f t="shared" si="2"/>
        <v>https://portal.dnb.de/opac.htm?method=simpleSearch&amp;cqlMode=true&amp;query=idn%3D1066965773</v>
      </c>
      <c r="E144" s="64" t="s">
        <v>394</v>
      </c>
      <c r="F144" s="82" t="s">
        <v>89</v>
      </c>
      <c r="G144" s="85" t="s">
        <v>1584</v>
      </c>
      <c r="H144" s="82" t="s">
        <v>51</v>
      </c>
      <c r="I144" s="85" t="s">
        <v>90</v>
      </c>
      <c r="J144" s="85" t="s">
        <v>1612</v>
      </c>
      <c r="K144" s="82" t="s">
        <v>67</v>
      </c>
      <c r="L144" s="82" t="s">
        <v>35</v>
      </c>
      <c r="M144" s="82" t="s">
        <v>37</v>
      </c>
      <c r="N144" s="82">
        <v>2</v>
      </c>
      <c r="O144" s="82"/>
      <c r="P144" s="82"/>
      <c r="Q144" s="82"/>
      <c r="R144" s="82"/>
      <c r="S144" s="97"/>
      <c r="T144" s="97"/>
      <c r="X144" s="94" t="s">
        <v>1741</v>
      </c>
      <c r="Y144" s="95" t="s">
        <v>1633</v>
      </c>
      <c r="Z144" s="95"/>
      <c r="AA144" s="94" t="s">
        <v>1738</v>
      </c>
      <c r="AB144" s="94"/>
      <c r="AC144" s="94"/>
      <c r="AD144" s="94"/>
      <c r="AE144" s="94"/>
      <c r="AF144" s="94"/>
      <c r="AG144" s="93" t="s">
        <v>1724</v>
      </c>
      <c r="AQ144" s="93" t="s">
        <v>1729</v>
      </c>
      <c r="AR144" s="93" t="s">
        <v>1633</v>
      </c>
      <c r="AS144" s="94"/>
      <c r="AT144" s="94"/>
      <c r="AU144" s="94">
        <v>60</v>
      </c>
      <c r="AV144" s="94"/>
      <c r="BA144" s="94" t="s">
        <v>1733</v>
      </c>
      <c r="BB144" s="108">
        <f>Schäden_Einband!X144+Schäden_Buchblock!AC144</f>
        <v>0.5</v>
      </c>
      <c r="BC144" s="95"/>
      <c r="BD144" s="93" t="s">
        <v>1887</v>
      </c>
    </row>
    <row r="145" spans="1:62" ht="46" x14ac:dyDescent="0.25">
      <c r="A145" s="82">
        <v>139</v>
      </c>
      <c r="B145" s="64" t="s">
        <v>395</v>
      </c>
      <c r="C145" s="64">
        <v>1066967407</v>
      </c>
      <c r="D145" s="84" t="str">
        <f t="shared" si="2"/>
        <v>https://portal.dnb.de/opac.htm?method=simpleSearch&amp;cqlMode=true&amp;query=idn%3D1066967407</v>
      </c>
      <c r="E145" s="64" t="s">
        <v>396</v>
      </c>
      <c r="F145" s="82" t="s">
        <v>89</v>
      </c>
      <c r="G145" s="85" t="s">
        <v>1585</v>
      </c>
      <c r="H145" s="82" t="s">
        <v>51</v>
      </c>
      <c r="I145" s="85" t="s">
        <v>90</v>
      </c>
      <c r="J145" s="85" t="s">
        <v>1615</v>
      </c>
      <c r="K145" s="82" t="s">
        <v>67</v>
      </c>
      <c r="L145" s="82" t="s">
        <v>35</v>
      </c>
      <c r="M145" s="82" t="s">
        <v>37</v>
      </c>
      <c r="N145" s="82">
        <v>1</v>
      </c>
      <c r="O145" s="82"/>
      <c r="P145" s="82"/>
      <c r="Q145" s="82"/>
      <c r="R145" s="82"/>
      <c r="S145" s="97"/>
      <c r="T145" s="97"/>
      <c r="X145" s="94" t="s">
        <v>1741</v>
      </c>
      <c r="Y145" s="95" t="s">
        <v>1633</v>
      </c>
      <c r="Z145" s="95"/>
      <c r="AA145" s="94" t="s">
        <v>1738</v>
      </c>
      <c r="AB145" s="94"/>
      <c r="AC145" s="94"/>
      <c r="AD145" s="94"/>
      <c r="AE145" s="94"/>
      <c r="AF145" s="94"/>
      <c r="AG145" s="93" t="s">
        <v>1724</v>
      </c>
      <c r="AK145" s="93" t="s">
        <v>1633</v>
      </c>
      <c r="AQ145" s="93" t="s">
        <v>1759</v>
      </c>
      <c r="AR145" s="93" t="s">
        <v>1633</v>
      </c>
      <c r="AS145" s="94">
        <v>0</v>
      </c>
      <c r="AT145" s="94"/>
      <c r="AU145" s="94">
        <v>60</v>
      </c>
      <c r="AV145" s="94"/>
      <c r="BA145" s="94" t="s">
        <v>1727</v>
      </c>
      <c r="BB145" s="108">
        <f>Schäden_Einband!X145+Schäden_Buchblock!AC145</f>
        <v>0</v>
      </c>
      <c r="BC145" s="95"/>
      <c r="BD145" s="93" t="s">
        <v>1887</v>
      </c>
    </row>
    <row r="146" spans="1:62" ht="46" x14ac:dyDescent="0.25">
      <c r="A146" s="82">
        <v>140</v>
      </c>
      <c r="B146" s="64" t="s">
        <v>397</v>
      </c>
      <c r="C146" s="64">
        <v>1085177637</v>
      </c>
      <c r="D146" s="84" t="str">
        <f t="shared" si="2"/>
        <v>https://portal.dnb.de/opac.htm?method=simpleSearch&amp;cqlMode=true&amp;query=idn%3D1085177637</v>
      </c>
      <c r="E146" s="64" t="s">
        <v>398</v>
      </c>
      <c r="F146" s="82" t="s">
        <v>89</v>
      </c>
      <c r="G146" s="85" t="s">
        <v>1584</v>
      </c>
      <c r="H146" s="82" t="s">
        <v>51</v>
      </c>
      <c r="I146" s="85" t="s">
        <v>86</v>
      </c>
      <c r="J146" s="85" t="s">
        <v>1615</v>
      </c>
      <c r="K146" s="82" t="s">
        <v>67</v>
      </c>
      <c r="L146" s="82" t="s">
        <v>35</v>
      </c>
      <c r="M146" s="82" t="s">
        <v>37</v>
      </c>
      <c r="N146" s="82">
        <v>0</v>
      </c>
      <c r="O146" s="82"/>
      <c r="P146" s="82"/>
      <c r="Q146" s="82"/>
      <c r="R146" s="82"/>
      <c r="S146" s="97"/>
      <c r="T146" s="97"/>
      <c r="X146" s="94" t="s">
        <v>1728</v>
      </c>
      <c r="Y146" s="95"/>
      <c r="Z146" s="95" t="s">
        <v>1633</v>
      </c>
      <c r="AA146" s="94" t="s">
        <v>1738</v>
      </c>
      <c r="AB146" s="94"/>
      <c r="AC146" s="94"/>
      <c r="AD146" s="94"/>
      <c r="AE146" s="94"/>
      <c r="AF146" s="94"/>
      <c r="AG146" s="93" t="s">
        <v>1724</v>
      </c>
      <c r="AL146" s="93" t="s">
        <v>1633</v>
      </c>
      <c r="AQ146" s="93" t="s">
        <v>1759</v>
      </c>
      <c r="AR146" s="93" t="s">
        <v>1633</v>
      </c>
      <c r="AS146" s="94">
        <v>0</v>
      </c>
      <c r="AT146" s="94"/>
      <c r="AU146" s="94">
        <v>180</v>
      </c>
      <c r="AV146" s="94"/>
      <c r="BA146" s="94" t="s">
        <v>1727</v>
      </c>
      <c r="BB146" s="108">
        <f>Schäden_Einband!X146+Schäden_Buchblock!AC146</f>
        <v>0</v>
      </c>
      <c r="BC146" s="95"/>
      <c r="BD146" s="93" t="s">
        <v>1887</v>
      </c>
      <c r="BJ146" s="81" t="s">
        <v>1760</v>
      </c>
    </row>
    <row r="147" spans="1:62" ht="46" x14ac:dyDescent="0.25">
      <c r="A147" s="82">
        <v>141</v>
      </c>
      <c r="B147" s="64" t="s">
        <v>399</v>
      </c>
      <c r="C147" s="64">
        <v>1085177750</v>
      </c>
      <c r="D147" s="84" t="str">
        <f t="shared" si="2"/>
        <v>https://portal.dnb.de/opac.htm?method=simpleSearch&amp;cqlMode=true&amp;query=idn%3D1085177750</v>
      </c>
      <c r="E147" s="64" t="s">
        <v>400</v>
      </c>
      <c r="F147" s="82" t="s">
        <v>89</v>
      </c>
      <c r="G147" s="85" t="s">
        <v>1584</v>
      </c>
      <c r="H147" s="82" t="s">
        <v>51</v>
      </c>
      <c r="I147" s="85" t="s">
        <v>86</v>
      </c>
      <c r="J147" s="85" t="s">
        <v>1615</v>
      </c>
      <c r="K147" s="82" t="s">
        <v>67</v>
      </c>
      <c r="L147" s="82" t="s">
        <v>35</v>
      </c>
      <c r="M147" s="82" t="s">
        <v>37</v>
      </c>
      <c r="N147" s="82">
        <v>0</v>
      </c>
      <c r="O147" s="82"/>
      <c r="P147" s="82"/>
      <c r="Q147" s="82"/>
      <c r="R147" s="82"/>
      <c r="S147" s="97"/>
      <c r="T147" s="97"/>
      <c r="X147" s="94" t="s">
        <v>1728</v>
      </c>
      <c r="Y147" s="95"/>
      <c r="Z147" s="95" t="s">
        <v>1633</v>
      </c>
      <c r="AA147" s="94" t="s">
        <v>1738</v>
      </c>
      <c r="AB147" s="94"/>
      <c r="AC147" s="94"/>
      <c r="AD147" s="94"/>
      <c r="AE147" s="94"/>
      <c r="AF147" s="94"/>
      <c r="AG147" s="93" t="s">
        <v>1724</v>
      </c>
      <c r="AL147" s="93" t="s">
        <v>1633</v>
      </c>
      <c r="AQ147" s="93" t="s">
        <v>1729</v>
      </c>
      <c r="AR147" s="93" t="s">
        <v>1633</v>
      </c>
      <c r="AS147" s="94">
        <v>0</v>
      </c>
      <c r="AT147" s="94"/>
      <c r="AU147" s="94">
        <v>180</v>
      </c>
      <c r="AV147" s="94"/>
      <c r="BA147" s="94" t="s">
        <v>1727</v>
      </c>
      <c r="BB147" s="108">
        <f>Schäden_Einband!X147+Schäden_Buchblock!AC147</f>
        <v>0</v>
      </c>
      <c r="BC147" s="95"/>
      <c r="BD147" s="93" t="s">
        <v>1887</v>
      </c>
      <c r="BJ147" s="81" t="s">
        <v>1760</v>
      </c>
    </row>
    <row r="148" spans="1:62" x14ac:dyDescent="0.25">
      <c r="A148" s="82">
        <v>142</v>
      </c>
      <c r="B148" s="64" t="s">
        <v>401</v>
      </c>
      <c r="C148" s="64">
        <v>1085177238</v>
      </c>
      <c r="D148" s="84" t="str">
        <f t="shared" si="2"/>
        <v>https://portal.dnb.de/opac.htm?method=simpleSearch&amp;cqlMode=true&amp;query=idn%3D1085177238</v>
      </c>
      <c r="E148" s="64" t="s">
        <v>402</v>
      </c>
      <c r="F148" s="82"/>
      <c r="G148" s="85"/>
      <c r="H148" s="82"/>
      <c r="I148" s="85"/>
      <c r="J148" s="85"/>
      <c r="K148" s="82"/>
      <c r="L148" s="82"/>
      <c r="M148" s="82"/>
      <c r="N148" s="82"/>
      <c r="O148" s="82"/>
      <c r="P148" s="82"/>
      <c r="Q148" s="82"/>
      <c r="R148" s="82"/>
      <c r="S148" s="97"/>
      <c r="T148" s="97"/>
      <c r="X148" s="94"/>
      <c r="Y148" s="95"/>
      <c r="Z148" s="95"/>
      <c r="AA148" s="94"/>
      <c r="AB148" s="94"/>
      <c r="AC148" s="94"/>
      <c r="AD148" s="94"/>
      <c r="AE148" s="94"/>
      <c r="AF148" s="94"/>
      <c r="AS148" s="94"/>
      <c r="AT148" s="94"/>
      <c r="AU148" s="94"/>
      <c r="AV148" s="94"/>
      <c r="BB148" s="108">
        <f>Schäden_Einband!X148+Schäden_Buchblock!AC148</f>
        <v>0</v>
      </c>
      <c r="BC148" s="95"/>
    </row>
    <row r="149" spans="1:62" ht="46" x14ac:dyDescent="0.25">
      <c r="A149" s="82">
        <v>143</v>
      </c>
      <c r="B149" s="64" t="s">
        <v>403</v>
      </c>
      <c r="C149" s="64">
        <v>1066964734</v>
      </c>
      <c r="D149" s="84" t="str">
        <f t="shared" si="2"/>
        <v>https://portal.dnb.de/opac.htm?method=simpleSearch&amp;cqlMode=true&amp;query=idn%3D1066964734</v>
      </c>
      <c r="E149" s="64" t="s">
        <v>404</v>
      </c>
      <c r="F149" s="82" t="s">
        <v>89</v>
      </c>
      <c r="G149" s="85" t="s">
        <v>1584</v>
      </c>
      <c r="H149" s="82" t="s">
        <v>51</v>
      </c>
      <c r="I149" s="85" t="s">
        <v>90</v>
      </c>
      <c r="J149" s="85" t="s">
        <v>69</v>
      </c>
      <c r="K149" s="82"/>
      <c r="L149" s="82" t="s">
        <v>35</v>
      </c>
      <c r="M149" s="82" t="s">
        <v>37</v>
      </c>
      <c r="N149" s="82">
        <v>0</v>
      </c>
      <c r="O149" s="82"/>
      <c r="P149" s="82" t="s">
        <v>1603</v>
      </c>
      <c r="Q149" s="82"/>
      <c r="R149" s="82"/>
      <c r="S149" s="97"/>
      <c r="T149" s="97"/>
      <c r="X149" s="94" t="s">
        <v>1741</v>
      </c>
      <c r="Y149" s="95"/>
      <c r="Z149" s="95" t="s">
        <v>1633</v>
      </c>
      <c r="AA149" s="94" t="s">
        <v>1738</v>
      </c>
      <c r="AB149" s="94"/>
      <c r="AC149" s="94"/>
      <c r="AD149" s="94"/>
      <c r="AE149" s="94"/>
      <c r="AF149" s="94"/>
      <c r="AG149" s="93" t="s">
        <v>1724</v>
      </c>
      <c r="AL149" s="93" t="s">
        <v>1633</v>
      </c>
      <c r="AS149" s="94">
        <v>2</v>
      </c>
      <c r="AT149" s="94"/>
      <c r="AU149" s="94">
        <v>110</v>
      </c>
      <c r="AV149" s="94"/>
      <c r="BA149" s="94" t="s">
        <v>1727</v>
      </c>
      <c r="BB149" s="108">
        <f>Schäden_Einband!X149+Schäden_Buchblock!AC149</f>
        <v>0</v>
      </c>
      <c r="BC149" s="95"/>
      <c r="BD149" s="93" t="s">
        <v>1887</v>
      </c>
      <c r="BJ149" s="81" t="s">
        <v>1761</v>
      </c>
    </row>
    <row r="150" spans="1:62" ht="46" x14ac:dyDescent="0.25">
      <c r="A150" s="82">
        <v>144</v>
      </c>
      <c r="B150" s="64" t="s">
        <v>405</v>
      </c>
      <c r="C150" s="64">
        <v>1066971404</v>
      </c>
      <c r="D150" s="84" t="str">
        <f t="shared" si="2"/>
        <v>https://portal.dnb.de/opac.htm?method=simpleSearch&amp;cqlMode=true&amp;query=idn%3D1066971404</v>
      </c>
      <c r="E150" s="64" t="s">
        <v>406</v>
      </c>
      <c r="F150" s="82" t="s">
        <v>89</v>
      </c>
      <c r="G150" s="85" t="s">
        <v>1585</v>
      </c>
      <c r="H150" s="82" t="s">
        <v>51</v>
      </c>
      <c r="I150" s="85" t="s">
        <v>90</v>
      </c>
      <c r="J150" s="85" t="s">
        <v>1612</v>
      </c>
      <c r="K150" s="82" t="s">
        <v>67</v>
      </c>
      <c r="L150" s="82" t="s">
        <v>35</v>
      </c>
      <c r="M150" s="82" t="s">
        <v>37</v>
      </c>
      <c r="N150" s="82">
        <v>2</v>
      </c>
      <c r="O150" s="82"/>
      <c r="P150" s="82"/>
      <c r="Q150" s="82"/>
      <c r="R150" s="82"/>
      <c r="S150" s="97"/>
      <c r="T150" s="97"/>
      <c r="X150" s="94" t="s">
        <v>1741</v>
      </c>
      <c r="Y150" s="95" t="s">
        <v>1633</v>
      </c>
      <c r="Z150" s="95"/>
      <c r="AA150" s="94" t="s">
        <v>1738</v>
      </c>
      <c r="AB150" s="94"/>
      <c r="AC150" s="94"/>
      <c r="AD150" s="94"/>
      <c r="AE150" s="94"/>
      <c r="AF150" s="94"/>
      <c r="AG150" s="93" t="s">
        <v>1724</v>
      </c>
      <c r="AQ150" s="93" t="s">
        <v>1729</v>
      </c>
      <c r="AR150" s="93" t="s">
        <v>1633</v>
      </c>
      <c r="AS150" s="94"/>
      <c r="AT150" s="94"/>
      <c r="AU150" s="94">
        <v>60</v>
      </c>
      <c r="AV150" s="94"/>
      <c r="BA150" s="94" t="s">
        <v>1733</v>
      </c>
      <c r="BB150" s="108">
        <f>Schäden_Einband!X150+Schäden_Buchblock!AC150</f>
        <v>1</v>
      </c>
      <c r="BC150" s="95"/>
      <c r="BD150" s="93" t="s">
        <v>1887</v>
      </c>
    </row>
    <row r="151" spans="1:62" ht="46" x14ac:dyDescent="0.25">
      <c r="A151" s="82">
        <v>145</v>
      </c>
      <c r="B151" s="64" t="s">
        <v>407</v>
      </c>
      <c r="C151" s="64">
        <v>1066971005</v>
      </c>
      <c r="D151" s="84" t="str">
        <f t="shared" si="2"/>
        <v>https://portal.dnb.de/opac.htm?method=simpleSearch&amp;cqlMode=true&amp;query=idn%3D1066971005</v>
      </c>
      <c r="E151" s="64" t="s">
        <v>408</v>
      </c>
      <c r="F151" s="82" t="s">
        <v>89</v>
      </c>
      <c r="G151" s="85" t="s">
        <v>1584</v>
      </c>
      <c r="H151" s="82" t="s">
        <v>50</v>
      </c>
      <c r="I151" s="85" t="s">
        <v>90</v>
      </c>
      <c r="J151" s="85" t="s">
        <v>1586</v>
      </c>
      <c r="K151" s="82" t="s">
        <v>67</v>
      </c>
      <c r="L151" s="82" t="s">
        <v>35</v>
      </c>
      <c r="M151" s="82" t="s">
        <v>37</v>
      </c>
      <c r="N151" s="82">
        <v>2</v>
      </c>
      <c r="O151" s="82"/>
      <c r="P151" s="82"/>
      <c r="Q151" s="82"/>
      <c r="R151" s="82"/>
      <c r="S151" s="97"/>
      <c r="T151" s="97"/>
      <c r="X151" s="94" t="s">
        <v>1728</v>
      </c>
      <c r="Y151" s="95" t="s">
        <v>1633</v>
      </c>
      <c r="Z151" s="95"/>
      <c r="AA151" s="94" t="s">
        <v>1723</v>
      </c>
      <c r="AB151" s="94"/>
      <c r="AC151" s="94"/>
      <c r="AD151" s="94"/>
      <c r="AE151" s="94"/>
      <c r="AF151" s="94"/>
      <c r="AG151" s="93" t="s">
        <v>1724</v>
      </c>
      <c r="AH151" s="93" t="s">
        <v>1633</v>
      </c>
      <c r="AQ151" s="93" t="s">
        <v>1729</v>
      </c>
      <c r="AR151" s="93" t="s">
        <v>1633</v>
      </c>
      <c r="AS151" s="94"/>
      <c r="AT151" s="94"/>
      <c r="AU151" s="94">
        <v>180</v>
      </c>
      <c r="AV151" s="94"/>
      <c r="BA151" s="94" t="s">
        <v>1727</v>
      </c>
      <c r="BB151" s="108">
        <f>Schäden_Einband!X151+Schäden_Buchblock!AC151</f>
        <v>0</v>
      </c>
      <c r="BC151" s="95"/>
      <c r="BD151" s="93" t="s">
        <v>1887</v>
      </c>
    </row>
    <row r="152" spans="1:62" ht="57.5" x14ac:dyDescent="0.25">
      <c r="A152" s="82">
        <v>146</v>
      </c>
      <c r="B152" s="64" t="s">
        <v>409</v>
      </c>
      <c r="C152" s="64">
        <v>1066971552</v>
      </c>
      <c r="D152" s="84" t="str">
        <f t="shared" si="2"/>
        <v>https://portal.dnb.de/opac.htm?method=simpleSearch&amp;cqlMode=true&amp;query=idn%3D1066971552</v>
      </c>
      <c r="E152" s="64" t="s">
        <v>410</v>
      </c>
      <c r="F152" s="82" t="s">
        <v>89</v>
      </c>
      <c r="G152" s="85" t="s">
        <v>1585</v>
      </c>
      <c r="H152" s="82" t="s">
        <v>51</v>
      </c>
      <c r="I152" s="85" t="s">
        <v>90</v>
      </c>
      <c r="J152" s="85" t="s">
        <v>1617</v>
      </c>
      <c r="K152" s="82" t="s">
        <v>67</v>
      </c>
      <c r="L152" s="82" t="s">
        <v>35</v>
      </c>
      <c r="M152" s="82" t="s">
        <v>37</v>
      </c>
      <c r="N152" s="82">
        <v>3</v>
      </c>
      <c r="O152" s="82"/>
      <c r="P152" s="82"/>
      <c r="Q152" s="82"/>
      <c r="R152" s="82"/>
      <c r="S152" s="97"/>
      <c r="T152" s="97"/>
      <c r="X152" s="94" t="s">
        <v>1728</v>
      </c>
      <c r="Y152" s="95" t="s">
        <v>1633</v>
      </c>
      <c r="Z152" s="95"/>
      <c r="AA152" s="94" t="s">
        <v>1742</v>
      </c>
      <c r="AB152" s="94"/>
      <c r="AC152" s="94" t="s">
        <v>1633</v>
      </c>
      <c r="AD152" s="94"/>
      <c r="AE152" s="94"/>
      <c r="AF152" s="94"/>
      <c r="AG152" s="93" t="s">
        <v>1724</v>
      </c>
      <c r="AK152" s="93" t="s">
        <v>1633</v>
      </c>
      <c r="AS152" s="94"/>
      <c r="AT152" s="94"/>
      <c r="AU152" s="94" t="s">
        <v>1731</v>
      </c>
      <c r="AV152" s="94"/>
      <c r="BA152" s="94" t="s">
        <v>1733</v>
      </c>
      <c r="BB152" s="108">
        <f>Schäden_Einband!X152+Schäden_Buchblock!AC152</f>
        <v>1</v>
      </c>
      <c r="BC152" s="95"/>
      <c r="BD152" s="93" t="s">
        <v>1887</v>
      </c>
    </row>
    <row r="153" spans="1:62" ht="46" x14ac:dyDescent="0.25">
      <c r="A153" s="82">
        <v>147</v>
      </c>
      <c r="B153" s="64" t="s">
        <v>411</v>
      </c>
      <c r="C153" s="64">
        <v>1066970319</v>
      </c>
      <c r="D153" s="84" t="str">
        <f t="shared" si="2"/>
        <v>https://portal.dnb.de/opac.htm?method=simpleSearch&amp;cqlMode=true&amp;query=idn%3D1066970319</v>
      </c>
      <c r="E153" s="64" t="s">
        <v>412</v>
      </c>
      <c r="F153" s="82" t="s">
        <v>89</v>
      </c>
      <c r="G153" s="85" t="s">
        <v>1584</v>
      </c>
      <c r="H153" s="82" t="s">
        <v>51</v>
      </c>
      <c r="I153" s="85" t="s">
        <v>86</v>
      </c>
      <c r="J153" s="85" t="s">
        <v>1587</v>
      </c>
      <c r="K153" s="82" t="s">
        <v>67</v>
      </c>
      <c r="L153" s="82" t="s">
        <v>35</v>
      </c>
      <c r="M153" s="82" t="s">
        <v>37</v>
      </c>
      <c r="N153" s="82">
        <v>1</v>
      </c>
      <c r="O153" s="82"/>
      <c r="P153" s="82"/>
      <c r="Q153" s="82"/>
      <c r="R153" s="82"/>
      <c r="S153" s="97"/>
      <c r="T153" s="97"/>
      <c r="X153" s="94" t="s">
        <v>1741</v>
      </c>
      <c r="Y153" s="95" t="s">
        <v>1633</v>
      </c>
      <c r="Z153" s="95"/>
      <c r="AA153" s="94" t="s">
        <v>1742</v>
      </c>
      <c r="AB153" s="94"/>
      <c r="AC153" s="94"/>
      <c r="AD153" s="94"/>
      <c r="AE153" s="94"/>
      <c r="AF153" s="94"/>
      <c r="AG153" s="93" t="s">
        <v>1724</v>
      </c>
      <c r="AQ153" s="93" t="s">
        <v>1729</v>
      </c>
      <c r="AR153" s="93" t="s">
        <v>1633</v>
      </c>
      <c r="AS153" s="94"/>
      <c r="AT153" s="94"/>
      <c r="AU153" s="94">
        <v>45</v>
      </c>
      <c r="AV153" s="94"/>
      <c r="BA153" s="94" t="s">
        <v>1733</v>
      </c>
      <c r="BB153" s="108">
        <f>Schäden_Einband!X153+Schäden_Buchblock!AC153</f>
        <v>0.5</v>
      </c>
      <c r="BC153" s="95"/>
      <c r="BD153" s="93" t="s">
        <v>1887</v>
      </c>
    </row>
    <row r="154" spans="1:62" x14ac:dyDescent="0.25">
      <c r="A154" s="82">
        <v>148</v>
      </c>
      <c r="B154" s="64" t="s">
        <v>413</v>
      </c>
      <c r="C154" s="64">
        <v>1168282241</v>
      </c>
      <c r="D154" s="84" t="str">
        <f t="shared" si="2"/>
        <v>https://portal.dnb.de/opac.htm?method=simpleSearch&amp;cqlMode=true&amp;query=idn%3D1168282241</v>
      </c>
      <c r="E154" s="64" t="s">
        <v>414</v>
      </c>
      <c r="F154" s="82"/>
      <c r="G154" s="85"/>
      <c r="H154" s="82"/>
      <c r="I154" s="85"/>
      <c r="J154" s="85"/>
      <c r="K154" s="82"/>
      <c r="L154" s="82"/>
      <c r="M154" s="82"/>
      <c r="N154" s="82"/>
      <c r="O154" s="82"/>
      <c r="P154" s="82"/>
      <c r="Q154" s="82"/>
      <c r="R154" s="82"/>
      <c r="S154" s="97"/>
      <c r="T154" s="97"/>
      <c r="X154" s="94"/>
      <c r="Y154" s="95"/>
      <c r="Z154" s="95"/>
      <c r="AA154" s="94"/>
      <c r="AB154" s="94"/>
      <c r="AC154" s="94"/>
      <c r="AD154" s="94"/>
      <c r="AE154" s="94"/>
      <c r="AF154" s="94"/>
      <c r="AS154" s="94"/>
      <c r="AT154" s="94"/>
      <c r="AU154" s="94"/>
      <c r="AV154" s="94"/>
      <c r="BB154" s="108">
        <f>Schäden_Einband!X154+Schäden_Buchblock!AC154</f>
        <v>0</v>
      </c>
      <c r="BC154" s="95"/>
    </row>
    <row r="155" spans="1:62" ht="46" x14ac:dyDescent="0.25">
      <c r="A155" s="82">
        <v>149</v>
      </c>
      <c r="B155" s="64" t="s">
        <v>415</v>
      </c>
      <c r="C155" s="64">
        <v>1066966486</v>
      </c>
      <c r="D155" s="84" t="str">
        <f t="shared" si="2"/>
        <v>https://portal.dnb.de/opac.htm?method=simpleSearch&amp;cqlMode=true&amp;query=idn%3D1066966486</v>
      </c>
      <c r="E155" s="64" t="s">
        <v>416</v>
      </c>
      <c r="F155" s="82" t="s">
        <v>89</v>
      </c>
      <c r="G155" s="85" t="s">
        <v>1585</v>
      </c>
      <c r="H155" s="82" t="s">
        <v>51</v>
      </c>
      <c r="I155" s="85" t="s">
        <v>86</v>
      </c>
      <c r="J155" s="85" t="s">
        <v>1618</v>
      </c>
      <c r="K155" s="82" t="s">
        <v>67</v>
      </c>
      <c r="L155" s="82" t="s">
        <v>35</v>
      </c>
      <c r="M155" s="82" t="s">
        <v>37</v>
      </c>
      <c r="N155" s="82">
        <v>3</v>
      </c>
      <c r="O155" s="82"/>
      <c r="P155" s="82"/>
      <c r="Q155" s="82"/>
      <c r="R155" s="82"/>
      <c r="S155" s="97"/>
      <c r="T155" s="97"/>
      <c r="X155" s="94" t="s">
        <v>1728</v>
      </c>
      <c r="Y155" s="95" t="s">
        <v>1633</v>
      </c>
      <c r="Z155" s="95"/>
      <c r="AA155" s="94" t="s">
        <v>1742</v>
      </c>
      <c r="AB155" s="94"/>
      <c r="AC155" s="94"/>
      <c r="AD155" s="94"/>
      <c r="AE155" s="94"/>
      <c r="AF155" s="94"/>
      <c r="AG155" s="93" t="s">
        <v>1724</v>
      </c>
      <c r="AL155" s="93" t="s">
        <v>1633</v>
      </c>
      <c r="AQ155" s="93" t="s">
        <v>1757</v>
      </c>
      <c r="AR155" s="93" t="s">
        <v>1633</v>
      </c>
      <c r="AS155" s="94">
        <v>4</v>
      </c>
      <c r="AT155" s="94"/>
      <c r="AU155" s="94" t="s">
        <v>1726</v>
      </c>
      <c r="AV155" s="94"/>
      <c r="BA155" s="94" t="s">
        <v>1727</v>
      </c>
      <c r="BB155" s="108">
        <f>Schäden_Einband!X155+Schäden_Buchblock!AC155</f>
        <v>0</v>
      </c>
      <c r="BC155" s="95"/>
      <c r="BD155" s="93" t="s">
        <v>1887</v>
      </c>
    </row>
    <row r="156" spans="1:62" ht="46" x14ac:dyDescent="0.25">
      <c r="A156" s="82">
        <v>150</v>
      </c>
      <c r="B156" s="64" t="s">
        <v>417</v>
      </c>
      <c r="C156" s="64">
        <v>1066966060</v>
      </c>
      <c r="D156" s="84" t="str">
        <f t="shared" si="2"/>
        <v>https://portal.dnb.de/opac.htm?method=simpleSearch&amp;cqlMode=true&amp;query=idn%3D1066966060</v>
      </c>
      <c r="E156" s="64" t="s">
        <v>418</v>
      </c>
      <c r="F156" s="82" t="s">
        <v>89</v>
      </c>
      <c r="G156" s="85" t="s">
        <v>1584</v>
      </c>
      <c r="H156" s="82" t="s">
        <v>51</v>
      </c>
      <c r="I156" s="85" t="s">
        <v>90</v>
      </c>
      <c r="J156" s="85" t="s">
        <v>1619</v>
      </c>
      <c r="K156" s="82" t="s">
        <v>67</v>
      </c>
      <c r="L156" s="82" t="s">
        <v>35</v>
      </c>
      <c r="M156" s="82" t="s">
        <v>37</v>
      </c>
      <c r="N156" s="82">
        <v>3</v>
      </c>
      <c r="O156" s="82"/>
      <c r="P156" s="82"/>
      <c r="Q156" s="82"/>
      <c r="R156" s="82"/>
      <c r="S156" s="97"/>
      <c r="T156" s="97"/>
      <c r="X156" s="94" t="s">
        <v>1741</v>
      </c>
      <c r="Y156" s="95" t="s">
        <v>1633</v>
      </c>
      <c r="Z156" s="95"/>
      <c r="AA156" s="94" t="s">
        <v>1742</v>
      </c>
      <c r="AB156" s="94"/>
      <c r="AC156" s="94" t="s">
        <v>1633</v>
      </c>
      <c r="AD156" s="94"/>
      <c r="AE156" s="94"/>
      <c r="AF156" s="94"/>
      <c r="AG156" s="93" t="s">
        <v>1724</v>
      </c>
      <c r="AQ156" s="93" t="s">
        <v>1729</v>
      </c>
      <c r="AR156" s="93" t="s">
        <v>1633</v>
      </c>
      <c r="AS156" s="94"/>
      <c r="AT156" s="94"/>
      <c r="AU156" s="94" t="s">
        <v>1731</v>
      </c>
      <c r="AV156" s="94"/>
      <c r="BA156" s="94" t="s">
        <v>1733</v>
      </c>
      <c r="BB156" s="108">
        <f>Schäden_Einband!X156+Schäden_Buchblock!AC156</f>
        <v>1</v>
      </c>
      <c r="BC156" s="95"/>
      <c r="BD156" s="93" t="s">
        <v>1887</v>
      </c>
    </row>
    <row r="157" spans="1:62" ht="46" x14ac:dyDescent="0.25">
      <c r="A157" s="82">
        <v>151</v>
      </c>
      <c r="B157" s="64" t="s">
        <v>419</v>
      </c>
      <c r="C157" s="64">
        <v>1066971560</v>
      </c>
      <c r="D157" s="84" t="str">
        <f t="shared" si="2"/>
        <v>https://portal.dnb.de/opac.htm?method=simpleSearch&amp;cqlMode=true&amp;query=idn%3D1066971560</v>
      </c>
      <c r="E157" s="64" t="s">
        <v>420</v>
      </c>
      <c r="F157" s="82" t="s">
        <v>89</v>
      </c>
      <c r="G157" s="85" t="s">
        <v>1585</v>
      </c>
      <c r="H157" s="82" t="s">
        <v>51</v>
      </c>
      <c r="I157" s="85" t="s">
        <v>90</v>
      </c>
      <c r="J157" s="85" t="s">
        <v>1620</v>
      </c>
      <c r="K157" s="82" t="s">
        <v>67</v>
      </c>
      <c r="L157" s="82" t="s">
        <v>35</v>
      </c>
      <c r="M157" s="82" t="s">
        <v>37</v>
      </c>
      <c r="N157" s="82">
        <v>2</v>
      </c>
      <c r="O157" s="82"/>
      <c r="P157" s="82"/>
      <c r="Q157" s="82"/>
      <c r="R157" s="82"/>
      <c r="S157" s="97"/>
      <c r="T157" s="97"/>
      <c r="X157" s="94" t="s">
        <v>1741</v>
      </c>
      <c r="Y157" s="95" t="s">
        <v>1633</v>
      </c>
      <c r="Z157" s="95"/>
      <c r="AA157" s="94" t="s">
        <v>1742</v>
      </c>
      <c r="AB157" s="94"/>
      <c r="AC157" s="94"/>
      <c r="AD157" s="94"/>
      <c r="AE157" s="94"/>
      <c r="AF157" s="94"/>
      <c r="AG157" s="93" t="s">
        <v>1724</v>
      </c>
      <c r="AQ157" s="93" t="s">
        <v>1729</v>
      </c>
      <c r="AR157" s="93" t="s">
        <v>1633</v>
      </c>
      <c r="AS157" s="94">
        <v>4</v>
      </c>
      <c r="AT157" s="94"/>
      <c r="AU157" s="94">
        <v>80</v>
      </c>
      <c r="AV157" s="94"/>
      <c r="BA157" s="94" t="s">
        <v>1727</v>
      </c>
      <c r="BB157" s="108">
        <f>Schäden_Einband!X157+Schäden_Buchblock!AC157</f>
        <v>0</v>
      </c>
      <c r="BC157" s="95"/>
      <c r="BD157" s="93" t="s">
        <v>1887</v>
      </c>
    </row>
    <row r="158" spans="1:62" ht="57.5" x14ac:dyDescent="0.25">
      <c r="A158" s="82">
        <v>152</v>
      </c>
      <c r="B158" s="64" t="s">
        <v>421</v>
      </c>
      <c r="C158" s="64">
        <v>1066972559</v>
      </c>
      <c r="D158" s="84" t="str">
        <f t="shared" si="2"/>
        <v>https://portal.dnb.de/opac.htm?method=simpleSearch&amp;cqlMode=true&amp;query=idn%3D1066972559</v>
      </c>
      <c r="E158" s="64" t="s">
        <v>422</v>
      </c>
      <c r="F158" s="82" t="s">
        <v>89</v>
      </c>
      <c r="G158" s="85" t="s">
        <v>1584</v>
      </c>
      <c r="H158" s="82" t="s">
        <v>51</v>
      </c>
      <c r="I158" s="85" t="s">
        <v>90</v>
      </c>
      <c r="J158" s="85" t="s">
        <v>1617</v>
      </c>
      <c r="K158" s="82" t="s">
        <v>67</v>
      </c>
      <c r="L158" s="82" t="s">
        <v>35</v>
      </c>
      <c r="M158" s="82" t="s">
        <v>37</v>
      </c>
      <c r="N158" s="82">
        <v>3</v>
      </c>
      <c r="O158" s="82"/>
      <c r="P158" s="82"/>
      <c r="Q158" s="82"/>
      <c r="R158" s="82"/>
      <c r="S158" s="97"/>
      <c r="T158" s="97"/>
      <c r="X158" s="94" t="s">
        <v>1728</v>
      </c>
      <c r="Y158" s="95" t="s">
        <v>1633</v>
      </c>
      <c r="Z158" s="95"/>
      <c r="AA158" s="94" t="s">
        <v>1723</v>
      </c>
      <c r="AB158" s="94"/>
      <c r="AC158" s="94" t="s">
        <v>1633</v>
      </c>
      <c r="AD158" s="94"/>
      <c r="AE158" s="94"/>
      <c r="AF158" s="94"/>
      <c r="AG158" s="93" t="s">
        <v>1724</v>
      </c>
      <c r="AS158" s="94"/>
      <c r="AT158" s="94"/>
      <c r="AU158" s="94">
        <v>60</v>
      </c>
      <c r="AV158" s="94"/>
      <c r="BA158" s="94" t="s">
        <v>1733</v>
      </c>
      <c r="BB158" s="108">
        <f>Schäden_Einband!X158+Schäden_Buchblock!AC158</f>
        <v>0.5</v>
      </c>
      <c r="BC158" s="95"/>
      <c r="BD158" s="93" t="s">
        <v>1887</v>
      </c>
    </row>
    <row r="159" spans="1:62" ht="46" x14ac:dyDescent="0.25">
      <c r="A159" s="82">
        <v>153</v>
      </c>
      <c r="B159" s="64" t="s">
        <v>423</v>
      </c>
      <c r="C159" s="64">
        <v>1066966273</v>
      </c>
      <c r="D159" s="84" t="str">
        <f t="shared" si="2"/>
        <v>https://portal.dnb.de/opac.htm?method=simpleSearch&amp;cqlMode=true&amp;query=idn%3D1066966273</v>
      </c>
      <c r="E159" s="64" t="s">
        <v>424</v>
      </c>
      <c r="F159" s="82" t="s">
        <v>89</v>
      </c>
      <c r="G159" s="85" t="s">
        <v>1585</v>
      </c>
      <c r="H159" s="82" t="s">
        <v>51</v>
      </c>
      <c r="I159" s="85" t="s">
        <v>90</v>
      </c>
      <c r="J159" s="85" t="s">
        <v>1621</v>
      </c>
      <c r="K159" s="82"/>
      <c r="L159" s="82" t="s">
        <v>35</v>
      </c>
      <c r="M159" s="82" t="s">
        <v>37</v>
      </c>
      <c r="N159" s="82">
        <v>2</v>
      </c>
      <c r="O159" s="82"/>
      <c r="P159" s="82"/>
      <c r="Q159" s="82"/>
      <c r="R159" s="82"/>
      <c r="S159" s="97"/>
      <c r="T159" s="97"/>
      <c r="X159" s="94" t="s">
        <v>1741</v>
      </c>
      <c r="Y159" s="95" t="s">
        <v>1633</v>
      </c>
      <c r="Z159" s="95"/>
      <c r="AA159" s="94" t="s">
        <v>1742</v>
      </c>
      <c r="AB159" s="94"/>
      <c r="AC159" s="94"/>
      <c r="AD159" s="94"/>
      <c r="AE159" s="94"/>
      <c r="AF159" s="94"/>
      <c r="AG159" s="93" t="s">
        <v>1724</v>
      </c>
      <c r="AS159" s="94"/>
      <c r="AT159" s="94"/>
      <c r="AU159" s="94">
        <v>60</v>
      </c>
      <c r="AV159" s="94"/>
      <c r="BA159" s="94" t="s">
        <v>1733</v>
      </c>
      <c r="BB159" s="108">
        <f>Schäden_Einband!X159+Schäden_Buchblock!AC159</f>
        <v>2</v>
      </c>
      <c r="BC159" s="95"/>
      <c r="BD159" s="93" t="s">
        <v>1887</v>
      </c>
    </row>
    <row r="160" spans="1:62" ht="46" x14ac:dyDescent="0.25">
      <c r="A160" s="82">
        <v>154</v>
      </c>
      <c r="B160" s="64" t="s">
        <v>425</v>
      </c>
      <c r="C160" s="64" t="s">
        <v>426</v>
      </c>
      <c r="D160" s="84" t="str">
        <f t="shared" si="2"/>
        <v>https://portal.dnb.de/opac.htm?method=simpleSearch&amp;cqlMode=true&amp;query=idn%3D106696873X</v>
      </c>
      <c r="E160" s="64" t="s">
        <v>427</v>
      </c>
      <c r="F160" s="82" t="s">
        <v>89</v>
      </c>
      <c r="G160" s="85" t="s">
        <v>1584</v>
      </c>
      <c r="H160" s="82" t="s">
        <v>50</v>
      </c>
      <c r="I160" s="85" t="s">
        <v>55</v>
      </c>
      <c r="J160" s="85" t="s">
        <v>1604</v>
      </c>
      <c r="K160" s="82"/>
      <c r="L160" s="82" t="s">
        <v>35</v>
      </c>
      <c r="M160" s="82" t="s">
        <v>37</v>
      </c>
      <c r="N160" s="82">
        <v>3</v>
      </c>
      <c r="O160" s="82"/>
      <c r="P160" s="82"/>
      <c r="Q160" s="82"/>
      <c r="R160" s="82"/>
      <c r="S160" s="97"/>
      <c r="T160" s="97"/>
      <c r="X160" s="94" t="s">
        <v>1728</v>
      </c>
      <c r="Y160" s="95" t="s">
        <v>1633</v>
      </c>
      <c r="Z160" s="95"/>
      <c r="AA160" s="94" t="s">
        <v>1758</v>
      </c>
      <c r="AB160" s="94"/>
      <c r="AC160" s="94" t="s">
        <v>1633</v>
      </c>
      <c r="AD160" s="94"/>
      <c r="AE160" s="94"/>
      <c r="AF160" s="94"/>
      <c r="AG160" s="93" t="s">
        <v>1724</v>
      </c>
      <c r="AS160" s="94"/>
      <c r="AT160" s="94"/>
      <c r="AU160" s="94">
        <v>110</v>
      </c>
      <c r="AV160" s="94"/>
      <c r="BA160" s="94" t="s">
        <v>1733</v>
      </c>
      <c r="BB160" s="108">
        <f>Schäden_Einband!X160+Schäden_Buchblock!AC160</f>
        <v>0.5</v>
      </c>
      <c r="BC160" s="95"/>
      <c r="BD160" s="93" t="s">
        <v>1887</v>
      </c>
    </row>
    <row r="161" spans="1:62" ht="23" x14ac:dyDescent="0.25">
      <c r="A161" s="82">
        <v>155</v>
      </c>
      <c r="B161" s="64" t="s">
        <v>428</v>
      </c>
      <c r="C161" s="64">
        <v>1066968632</v>
      </c>
      <c r="D161" s="84" t="str">
        <f t="shared" si="2"/>
        <v>https://portal.dnb.de/opac.htm?method=simpleSearch&amp;cqlMode=true&amp;query=idn%3D1066968632</v>
      </c>
      <c r="E161" s="64" t="s">
        <v>429</v>
      </c>
      <c r="F161" s="82" t="s">
        <v>89</v>
      </c>
      <c r="G161" s="85" t="s">
        <v>45</v>
      </c>
      <c r="H161" s="82" t="s">
        <v>50</v>
      </c>
      <c r="I161" s="85" t="s">
        <v>90</v>
      </c>
      <c r="J161" s="85" t="s">
        <v>81</v>
      </c>
      <c r="K161" s="82"/>
      <c r="L161" s="82" t="s">
        <v>35</v>
      </c>
      <c r="M161" s="82" t="s">
        <v>37</v>
      </c>
      <c r="N161" s="82">
        <v>0</v>
      </c>
      <c r="O161" s="82"/>
      <c r="P161" s="82" t="s">
        <v>1603</v>
      </c>
      <c r="Q161" s="82"/>
      <c r="R161" s="82"/>
      <c r="S161" s="97"/>
      <c r="T161" s="97"/>
      <c r="X161" s="94" t="s">
        <v>1730</v>
      </c>
      <c r="Y161" s="95" t="s">
        <v>1633</v>
      </c>
      <c r="Z161" s="95" t="s">
        <v>1633</v>
      </c>
      <c r="AA161" s="94" t="s">
        <v>1737</v>
      </c>
      <c r="AB161" s="94"/>
      <c r="AC161" s="94"/>
      <c r="AD161" s="94"/>
      <c r="AE161" s="94"/>
      <c r="AF161" s="94"/>
      <c r="AG161" s="93" t="s">
        <v>1724</v>
      </c>
      <c r="AS161" s="94"/>
      <c r="AT161" s="94"/>
      <c r="AU161" s="94">
        <v>110</v>
      </c>
      <c r="AV161" s="94"/>
      <c r="BA161" s="94" t="s">
        <v>1727</v>
      </c>
      <c r="BB161" s="108">
        <f>Schäden_Einband!X161+Schäden_Buchblock!AC161</f>
        <v>0</v>
      </c>
      <c r="BC161" s="95"/>
      <c r="BD161" s="93" t="s">
        <v>1886</v>
      </c>
      <c r="BJ161" s="81" t="s">
        <v>1762</v>
      </c>
    </row>
    <row r="162" spans="1:62" x14ac:dyDescent="0.25">
      <c r="A162" s="82">
        <v>156</v>
      </c>
      <c r="B162" s="64" t="s">
        <v>430</v>
      </c>
      <c r="C162" s="64">
        <v>1066971935</v>
      </c>
      <c r="D162" s="84" t="str">
        <f t="shared" si="2"/>
        <v>https://portal.dnb.de/opac.htm?method=simpleSearch&amp;cqlMode=true&amp;query=idn%3D1066971935</v>
      </c>
      <c r="E162" s="64" t="s">
        <v>431</v>
      </c>
      <c r="F162" s="82" t="s">
        <v>89</v>
      </c>
      <c r="G162" s="85" t="s">
        <v>3</v>
      </c>
      <c r="H162" s="82" t="s">
        <v>50</v>
      </c>
      <c r="I162" s="85" t="s">
        <v>55</v>
      </c>
      <c r="J162" s="85" t="s">
        <v>81</v>
      </c>
      <c r="K162" s="82"/>
      <c r="L162" s="82" t="s">
        <v>35</v>
      </c>
      <c r="M162" s="82" t="s">
        <v>37</v>
      </c>
      <c r="N162" s="82">
        <v>0</v>
      </c>
      <c r="O162" s="82"/>
      <c r="P162" s="82"/>
      <c r="Q162" s="82"/>
      <c r="R162" s="82"/>
      <c r="S162" s="97"/>
      <c r="T162" s="97"/>
      <c r="X162" s="94" t="s">
        <v>1728</v>
      </c>
      <c r="Y162" s="95" t="s">
        <v>1633</v>
      </c>
      <c r="Z162" s="95"/>
      <c r="AA162" s="94" t="s">
        <v>1723</v>
      </c>
      <c r="AB162" s="94"/>
      <c r="AC162" s="94"/>
      <c r="AD162" s="94"/>
      <c r="AE162" s="94"/>
      <c r="AF162" s="94"/>
      <c r="AG162" s="93" t="s">
        <v>1724</v>
      </c>
      <c r="AS162" s="94"/>
      <c r="AT162" s="94"/>
      <c r="AU162" s="94">
        <v>180</v>
      </c>
      <c r="AV162" s="94"/>
      <c r="BA162" s="94" t="s">
        <v>1727</v>
      </c>
      <c r="BB162" s="108">
        <f>Schäden_Einband!X162+Schäden_Buchblock!AC162</f>
        <v>0</v>
      </c>
      <c r="BC162" s="95"/>
      <c r="BD162" s="93" t="s">
        <v>1887</v>
      </c>
    </row>
    <row r="163" spans="1:62" ht="46" x14ac:dyDescent="0.25">
      <c r="A163" s="82">
        <v>157</v>
      </c>
      <c r="B163" s="64" t="s">
        <v>432</v>
      </c>
      <c r="C163" s="64">
        <v>1066966680</v>
      </c>
      <c r="D163" s="84" t="str">
        <f t="shared" si="2"/>
        <v>https://portal.dnb.de/opac.htm?method=simpleSearch&amp;cqlMode=true&amp;query=idn%3D1066966680</v>
      </c>
      <c r="E163" s="64" t="s">
        <v>433</v>
      </c>
      <c r="F163" s="82" t="s">
        <v>89</v>
      </c>
      <c r="G163" s="85" t="s">
        <v>1585</v>
      </c>
      <c r="H163" s="82" t="s">
        <v>50</v>
      </c>
      <c r="I163" s="85" t="s">
        <v>86</v>
      </c>
      <c r="J163" s="85" t="s">
        <v>1621</v>
      </c>
      <c r="K163" s="82"/>
      <c r="L163" s="82" t="s">
        <v>35</v>
      </c>
      <c r="M163" s="82" t="s">
        <v>37</v>
      </c>
      <c r="N163" s="82">
        <v>3</v>
      </c>
      <c r="O163" s="82"/>
      <c r="P163" s="82"/>
      <c r="Q163" s="82"/>
      <c r="R163" s="82"/>
      <c r="S163" s="97"/>
      <c r="T163" s="97"/>
      <c r="X163" s="94" t="s">
        <v>1741</v>
      </c>
      <c r="Y163" s="95" t="s">
        <v>1633</v>
      </c>
      <c r="Z163" s="95"/>
      <c r="AA163" s="94" t="s">
        <v>1742</v>
      </c>
      <c r="AB163" s="94"/>
      <c r="AC163" s="94"/>
      <c r="AD163" s="94"/>
      <c r="AE163" s="94"/>
      <c r="AF163" s="94"/>
      <c r="AG163" s="93" t="s">
        <v>1724</v>
      </c>
      <c r="AS163" s="94">
        <v>0</v>
      </c>
      <c r="AT163" s="94"/>
      <c r="AU163" s="94">
        <v>45</v>
      </c>
      <c r="AV163" s="94"/>
      <c r="BA163" s="94" t="s">
        <v>1733</v>
      </c>
      <c r="BB163" s="108">
        <f>Schäden_Einband!X163+Schäden_Buchblock!AC163</f>
        <v>4</v>
      </c>
      <c r="BC163" s="95"/>
      <c r="BD163" s="93" t="s">
        <v>1887</v>
      </c>
    </row>
    <row r="164" spans="1:62" ht="46" x14ac:dyDescent="0.25">
      <c r="A164" s="82">
        <v>158</v>
      </c>
      <c r="B164" s="64" t="s">
        <v>434</v>
      </c>
      <c r="C164" s="64">
        <v>1066970041</v>
      </c>
      <c r="D164" s="84" t="str">
        <f t="shared" si="2"/>
        <v>https://portal.dnb.de/opac.htm?method=simpleSearch&amp;cqlMode=true&amp;query=idn%3D1066970041</v>
      </c>
      <c r="E164" s="64" t="s">
        <v>435</v>
      </c>
      <c r="F164" s="82" t="s">
        <v>89</v>
      </c>
      <c r="G164" s="85" t="s">
        <v>1607</v>
      </c>
      <c r="H164" s="82" t="s">
        <v>50</v>
      </c>
      <c r="I164" s="85" t="s">
        <v>90</v>
      </c>
      <c r="J164" s="85" t="s">
        <v>1604</v>
      </c>
      <c r="K164" s="82"/>
      <c r="L164" s="82" t="s">
        <v>35</v>
      </c>
      <c r="M164" s="82" t="s">
        <v>37</v>
      </c>
      <c r="N164" s="82">
        <v>2</v>
      </c>
      <c r="O164" s="82"/>
      <c r="P164" s="82"/>
      <c r="Q164" s="82"/>
      <c r="R164" s="82"/>
      <c r="S164" s="97"/>
      <c r="T164" s="97"/>
      <c r="X164" s="94" t="s">
        <v>1739</v>
      </c>
      <c r="Y164" s="95" t="s">
        <v>1633</v>
      </c>
      <c r="Z164" s="95"/>
      <c r="AA164" s="94" t="s">
        <v>1723</v>
      </c>
      <c r="AB164" s="94"/>
      <c r="AC164" s="94"/>
      <c r="AD164" s="94"/>
      <c r="AE164" s="94"/>
      <c r="AF164" s="94"/>
      <c r="AG164" s="93" t="s">
        <v>1724</v>
      </c>
      <c r="AS164" s="94"/>
      <c r="AT164" s="94"/>
      <c r="AU164" s="94">
        <v>60</v>
      </c>
      <c r="AV164" s="94"/>
      <c r="BA164" s="94" t="s">
        <v>1733</v>
      </c>
      <c r="BB164" s="108">
        <f>Schäden_Einband!X164+Schäden_Buchblock!AC164</f>
        <v>1</v>
      </c>
      <c r="BC164" s="95"/>
      <c r="BD164" s="93" t="s">
        <v>1887</v>
      </c>
    </row>
    <row r="165" spans="1:62" ht="46" x14ac:dyDescent="0.25">
      <c r="A165" s="82"/>
      <c r="B165" s="64"/>
      <c r="C165" s="64"/>
      <c r="D165" s="84"/>
      <c r="E165" s="64" t="s">
        <v>1622</v>
      </c>
      <c r="F165" s="82"/>
      <c r="G165" s="85" t="s">
        <v>1585</v>
      </c>
      <c r="H165" s="82" t="s">
        <v>51</v>
      </c>
      <c r="I165" s="85" t="s">
        <v>86</v>
      </c>
      <c r="J165" s="85" t="s">
        <v>1616</v>
      </c>
      <c r="K165" s="82" t="s">
        <v>67</v>
      </c>
      <c r="L165" s="82" t="s">
        <v>35</v>
      </c>
      <c r="M165" s="82" t="s">
        <v>37</v>
      </c>
      <c r="N165" s="82">
        <v>0</v>
      </c>
      <c r="O165" s="82"/>
      <c r="P165" s="82"/>
      <c r="Q165" s="82"/>
      <c r="R165" s="82"/>
      <c r="S165" s="97"/>
      <c r="T165" s="97"/>
      <c r="X165" s="94"/>
      <c r="Y165" s="95"/>
      <c r="Z165" s="95"/>
      <c r="AA165" s="94"/>
      <c r="AB165" s="94"/>
      <c r="AC165" s="94"/>
      <c r="AD165" s="94"/>
      <c r="AE165" s="94"/>
      <c r="AF165" s="94"/>
      <c r="AS165" s="94"/>
      <c r="AT165" s="94"/>
      <c r="AU165" s="94"/>
      <c r="AV165" s="94"/>
      <c r="BB165" s="108">
        <f>Schäden_Einband!X165+Schäden_Buchblock!AC165</f>
        <v>0</v>
      </c>
      <c r="BC165" s="95"/>
    </row>
    <row r="166" spans="1:62" ht="46" x14ac:dyDescent="0.25">
      <c r="A166" s="82">
        <v>159</v>
      </c>
      <c r="B166" s="64" t="s">
        <v>436</v>
      </c>
      <c r="C166" s="64">
        <v>1066970688</v>
      </c>
      <c r="D166" s="84" t="str">
        <f t="shared" si="2"/>
        <v>https://portal.dnb.de/opac.htm?method=simpleSearch&amp;cqlMode=true&amp;query=idn%3D1066970688</v>
      </c>
      <c r="E166" s="64" t="s">
        <v>437</v>
      </c>
      <c r="F166" s="82" t="s">
        <v>89</v>
      </c>
      <c r="G166" s="85" t="s">
        <v>1607</v>
      </c>
      <c r="H166" s="82" t="s">
        <v>51</v>
      </c>
      <c r="I166" s="85" t="s">
        <v>55</v>
      </c>
      <c r="J166" s="85" t="s">
        <v>1586</v>
      </c>
      <c r="K166" s="82" t="s">
        <v>67</v>
      </c>
      <c r="L166" s="82" t="s">
        <v>35</v>
      </c>
      <c r="M166" s="82" t="s">
        <v>37</v>
      </c>
      <c r="N166" s="82">
        <v>1</v>
      </c>
      <c r="O166" s="82"/>
      <c r="P166" s="82"/>
      <c r="Q166" s="82"/>
      <c r="R166" s="82"/>
      <c r="S166" s="97"/>
      <c r="T166" s="97"/>
      <c r="X166" s="94"/>
      <c r="Y166" s="95"/>
      <c r="Z166" s="95"/>
      <c r="AA166" s="94"/>
      <c r="AB166" s="94"/>
      <c r="AC166" s="94"/>
      <c r="AD166" s="94"/>
      <c r="AE166" s="94"/>
      <c r="AF166" s="94"/>
      <c r="AS166" s="94"/>
      <c r="AT166" s="94"/>
      <c r="AU166" s="94"/>
      <c r="AV166" s="94"/>
      <c r="BB166" s="108">
        <f>Schäden_Einband!X166+Schäden_Buchblock!AC166</f>
        <v>0</v>
      </c>
      <c r="BC166" s="95"/>
    </row>
    <row r="167" spans="1:62" ht="46" x14ac:dyDescent="0.25">
      <c r="A167" s="82"/>
      <c r="B167" s="64"/>
      <c r="C167" s="64"/>
      <c r="D167" s="84"/>
      <c r="E167" s="64" t="s">
        <v>1623</v>
      </c>
      <c r="F167" s="82" t="s">
        <v>89</v>
      </c>
      <c r="G167" s="85" t="s">
        <v>1607</v>
      </c>
      <c r="H167" s="82" t="s">
        <v>51</v>
      </c>
      <c r="I167" s="85" t="s">
        <v>90</v>
      </c>
      <c r="J167" s="85" t="s">
        <v>81</v>
      </c>
      <c r="K167" s="82"/>
      <c r="L167" s="82" t="s">
        <v>35</v>
      </c>
      <c r="M167" s="82" t="s">
        <v>37</v>
      </c>
      <c r="N167" s="82">
        <v>2</v>
      </c>
      <c r="O167" s="82"/>
      <c r="P167" s="82"/>
      <c r="Q167" s="82"/>
      <c r="R167" s="82"/>
      <c r="S167" s="97"/>
      <c r="T167" s="97"/>
      <c r="X167" s="94"/>
      <c r="Y167" s="95"/>
      <c r="Z167" s="95"/>
      <c r="AA167" s="94"/>
      <c r="AB167" s="94"/>
      <c r="AC167" s="94"/>
      <c r="AD167" s="94"/>
      <c r="AE167" s="94"/>
      <c r="AF167" s="94"/>
      <c r="AS167" s="94"/>
      <c r="AT167" s="94"/>
      <c r="AU167" s="94"/>
      <c r="AV167" s="94"/>
      <c r="BB167" s="108">
        <f>Schäden_Einband!X167+Schäden_Buchblock!AC167</f>
        <v>0</v>
      </c>
      <c r="BC167" s="95"/>
    </row>
    <row r="168" spans="1:62" ht="23" x14ac:dyDescent="0.25">
      <c r="A168" s="82">
        <v>160</v>
      </c>
      <c r="B168" s="64" t="s">
        <v>438</v>
      </c>
      <c r="C168" s="64">
        <v>1066967172</v>
      </c>
      <c r="D168" s="84" t="str">
        <f t="shared" si="2"/>
        <v>https://portal.dnb.de/opac.htm?method=simpleSearch&amp;cqlMode=true&amp;query=idn%3D1066967172</v>
      </c>
      <c r="E168" s="64" t="s">
        <v>439</v>
      </c>
      <c r="F168" s="82"/>
      <c r="G168" s="85" t="s">
        <v>45</v>
      </c>
      <c r="H168" s="82" t="s">
        <v>50</v>
      </c>
      <c r="I168" s="85" t="s">
        <v>90</v>
      </c>
      <c r="J168" s="85" t="s">
        <v>1602</v>
      </c>
      <c r="K168" s="82"/>
      <c r="L168" s="82" t="s">
        <v>35</v>
      </c>
      <c r="M168" s="82" t="s">
        <v>37</v>
      </c>
      <c r="N168" s="82">
        <v>0</v>
      </c>
      <c r="O168" s="82"/>
      <c r="P168" s="82"/>
      <c r="Q168" s="82"/>
      <c r="R168" s="82"/>
      <c r="S168" s="97"/>
      <c r="T168" s="97"/>
      <c r="X168" s="94"/>
      <c r="Y168" s="95"/>
      <c r="Z168" s="95"/>
      <c r="AA168" s="94"/>
      <c r="AB168" s="94"/>
      <c r="AC168" s="94"/>
      <c r="AD168" s="94"/>
      <c r="AE168" s="94"/>
      <c r="AF168" s="94"/>
      <c r="AS168" s="94"/>
      <c r="AT168" s="94"/>
      <c r="AU168" s="94"/>
      <c r="AV168" s="94"/>
      <c r="BB168" s="108">
        <f>Schäden_Einband!X168+Schäden_Buchblock!AC168</f>
        <v>0</v>
      </c>
      <c r="BC168" s="95"/>
    </row>
    <row r="169" spans="1:62" ht="23" x14ac:dyDescent="0.25">
      <c r="A169" s="82">
        <v>161</v>
      </c>
      <c r="B169" s="64" t="s">
        <v>440</v>
      </c>
      <c r="C169" s="64" t="s">
        <v>441</v>
      </c>
      <c r="D169" s="84" t="str">
        <f t="shared" si="2"/>
        <v>https://portal.dnb.de/opac.htm?method=simpleSearch&amp;cqlMode=true&amp;query=idn%3D106696968X</v>
      </c>
      <c r="E169" s="64" t="s">
        <v>442</v>
      </c>
      <c r="F169" s="82" t="s">
        <v>89</v>
      </c>
      <c r="G169" s="85" t="s">
        <v>4</v>
      </c>
      <c r="H169" s="82" t="s">
        <v>51</v>
      </c>
      <c r="I169" s="85" t="s">
        <v>90</v>
      </c>
      <c r="J169" s="85" t="s">
        <v>1587</v>
      </c>
      <c r="K169" s="82" t="s">
        <v>67</v>
      </c>
      <c r="L169" s="82" t="s">
        <v>35</v>
      </c>
      <c r="M169" s="82" t="s">
        <v>37</v>
      </c>
      <c r="N169" s="82">
        <v>1</v>
      </c>
      <c r="O169" s="82"/>
      <c r="P169" s="82"/>
      <c r="Q169" s="82"/>
      <c r="R169" s="82"/>
      <c r="S169" s="97"/>
      <c r="T169" s="97"/>
      <c r="X169" s="94"/>
      <c r="Y169" s="95"/>
      <c r="Z169" s="95"/>
      <c r="AA169" s="94"/>
      <c r="AB169" s="94"/>
      <c r="AC169" s="94"/>
      <c r="AD169" s="94"/>
      <c r="AE169" s="94"/>
      <c r="AF169" s="94"/>
      <c r="AS169" s="94"/>
      <c r="AT169" s="94"/>
      <c r="AU169" s="94"/>
      <c r="AV169" s="94"/>
      <c r="BB169" s="108">
        <f>Schäden_Einband!X169+Schäden_Buchblock!AC169</f>
        <v>0</v>
      </c>
      <c r="BC169" s="95"/>
    </row>
    <row r="170" spans="1:62" ht="46" x14ac:dyDescent="0.25">
      <c r="A170" s="82">
        <v>162</v>
      </c>
      <c r="B170" s="64" t="s">
        <v>443</v>
      </c>
      <c r="C170" s="64">
        <v>1066973121</v>
      </c>
      <c r="D170" s="84" t="str">
        <f t="shared" si="2"/>
        <v>https://portal.dnb.de/opac.htm?method=simpleSearch&amp;cqlMode=true&amp;query=idn%3D1066973121</v>
      </c>
      <c r="E170" s="64" t="s">
        <v>444</v>
      </c>
      <c r="F170" s="82" t="s">
        <v>89</v>
      </c>
      <c r="G170" s="85" t="s">
        <v>1585</v>
      </c>
      <c r="H170" s="82" t="s">
        <v>51</v>
      </c>
      <c r="I170" s="85" t="s">
        <v>90</v>
      </c>
      <c r="J170" s="85" t="s">
        <v>1587</v>
      </c>
      <c r="K170" s="82" t="s">
        <v>67</v>
      </c>
      <c r="L170" s="82" t="s">
        <v>35</v>
      </c>
      <c r="M170" s="82" t="s">
        <v>37</v>
      </c>
      <c r="N170" s="82">
        <v>1</v>
      </c>
      <c r="O170" s="82"/>
      <c r="P170" s="82"/>
      <c r="Q170" s="82"/>
      <c r="R170" s="82"/>
      <c r="S170" s="97"/>
      <c r="T170" s="97"/>
      <c r="X170" s="94"/>
      <c r="Y170" s="95"/>
      <c r="Z170" s="95"/>
      <c r="AA170" s="94"/>
      <c r="AB170" s="94"/>
      <c r="AC170" s="94"/>
      <c r="AD170" s="94"/>
      <c r="AE170" s="94"/>
      <c r="AF170" s="94"/>
      <c r="AS170" s="94"/>
      <c r="AT170" s="94"/>
      <c r="AU170" s="94"/>
      <c r="AV170" s="94"/>
      <c r="BB170" s="108">
        <f>Schäden_Einband!X170+Schäden_Buchblock!AC170</f>
        <v>0</v>
      </c>
      <c r="BC170" s="95"/>
    </row>
    <row r="171" spans="1:62" x14ac:dyDescent="0.25">
      <c r="A171" s="82">
        <v>163</v>
      </c>
      <c r="B171" s="64" t="s">
        <v>445</v>
      </c>
      <c r="C171" s="64">
        <v>1066973121</v>
      </c>
      <c r="D171" s="84" t="str">
        <f t="shared" si="2"/>
        <v>https://portal.dnb.de/opac.htm?method=simpleSearch&amp;cqlMode=true&amp;query=idn%3D1066973121</v>
      </c>
      <c r="E171" s="64" t="s">
        <v>446</v>
      </c>
      <c r="F171" s="82"/>
      <c r="G171" s="85"/>
      <c r="H171" s="82"/>
      <c r="I171" s="85"/>
      <c r="J171" s="85"/>
      <c r="K171" s="82"/>
      <c r="L171" s="82"/>
      <c r="M171" s="82"/>
      <c r="N171" s="82"/>
      <c r="O171" s="82"/>
      <c r="P171" s="82"/>
      <c r="Q171" s="82"/>
      <c r="R171" s="82"/>
      <c r="S171" s="97"/>
      <c r="T171" s="97"/>
      <c r="X171" s="94"/>
      <c r="Y171" s="95"/>
      <c r="Z171" s="95"/>
      <c r="AA171" s="94"/>
      <c r="AB171" s="94"/>
      <c r="AC171" s="94"/>
      <c r="AD171" s="94"/>
      <c r="AE171" s="94"/>
      <c r="AF171" s="94"/>
      <c r="AS171" s="94"/>
      <c r="AT171" s="94"/>
      <c r="AU171" s="94"/>
      <c r="AV171" s="94"/>
      <c r="BB171" s="108">
        <f>Schäden_Einband!X171+Schäden_Buchblock!AC171</f>
        <v>0</v>
      </c>
      <c r="BC171" s="95"/>
    </row>
    <row r="172" spans="1:62" ht="23" x14ac:dyDescent="0.25">
      <c r="A172" s="82">
        <v>164</v>
      </c>
      <c r="B172" s="64" t="s">
        <v>447</v>
      </c>
      <c r="C172" s="64">
        <v>1072054698</v>
      </c>
      <c r="D172" s="84" t="str">
        <f t="shared" si="2"/>
        <v>https://portal.dnb.de/opac.htm?method=simpleSearch&amp;cqlMode=true&amp;query=idn%3D1072054698</v>
      </c>
      <c r="E172" s="64" t="s">
        <v>448</v>
      </c>
      <c r="F172" s="82" t="s">
        <v>89</v>
      </c>
      <c r="G172" s="85" t="s">
        <v>46</v>
      </c>
      <c r="H172" s="82" t="s">
        <v>50</v>
      </c>
      <c r="I172" s="85" t="s">
        <v>55</v>
      </c>
      <c r="J172" s="85" t="s">
        <v>60</v>
      </c>
      <c r="K172" s="82" t="s">
        <v>67</v>
      </c>
      <c r="L172" s="82" t="s">
        <v>35</v>
      </c>
      <c r="M172" s="82" t="s">
        <v>37</v>
      </c>
      <c r="N172" s="82">
        <v>0</v>
      </c>
      <c r="O172" s="82"/>
      <c r="P172" s="82"/>
      <c r="Q172" s="82"/>
      <c r="R172" s="82"/>
      <c r="S172" s="97"/>
      <c r="T172" s="97"/>
      <c r="X172" s="94"/>
      <c r="Y172" s="95"/>
      <c r="Z172" s="95"/>
      <c r="AA172" s="94"/>
      <c r="AB172" s="94"/>
      <c r="AC172" s="94"/>
      <c r="AD172" s="94"/>
      <c r="AE172" s="94"/>
      <c r="AF172" s="94"/>
      <c r="AS172" s="94"/>
      <c r="AT172" s="94"/>
      <c r="AU172" s="94"/>
      <c r="AV172" s="94"/>
      <c r="BB172" s="108">
        <f>Schäden_Einband!X172+Schäden_Buchblock!AC172</f>
        <v>0</v>
      </c>
      <c r="BC172" s="95"/>
    </row>
    <row r="173" spans="1:62" ht="23" x14ac:dyDescent="0.25">
      <c r="A173" s="82">
        <v>165</v>
      </c>
      <c r="B173" s="64" t="s">
        <v>449</v>
      </c>
      <c r="C173" s="64">
        <v>1066965811</v>
      </c>
      <c r="D173" s="84" t="str">
        <f t="shared" si="2"/>
        <v>https://portal.dnb.de/opac.htm?method=simpleSearch&amp;cqlMode=true&amp;query=idn%3D1066965811</v>
      </c>
      <c r="E173" s="64" t="s">
        <v>450</v>
      </c>
      <c r="F173" s="82" t="s">
        <v>89</v>
      </c>
      <c r="G173" s="85" t="s">
        <v>4</v>
      </c>
      <c r="H173" s="82" t="s">
        <v>50</v>
      </c>
      <c r="I173" s="85" t="s">
        <v>90</v>
      </c>
      <c r="J173" s="85" t="s">
        <v>1587</v>
      </c>
      <c r="K173" s="82" t="s">
        <v>67</v>
      </c>
      <c r="L173" s="82" t="s">
        <v>35</v>
      </c>
      <c r="M173" s="82" t="s">
        <v>37</v>
      </c>
      <c r="N173" s="82">
        <v>2</v>
      </c>
      <c r="O173" s="82"/>
      <c r="P173" s="82"/>
      <c r="Q173" s="82"/>
      <c r="R173" s="82"/>
      <c r="S173" s="97"/>
      <c r="T173" s="97"/>
      <c r="X173" s="94"/>
      <c r="Y173" s="95"/>
      <c r="Z173" s="95"/>
      <c r="AA173" s="94"/>
      <c r="AB173" s="94"/>
      <c r="AC173" s="94"/>
      <c r="AD173" s="94"/>
      <c r="AE173" s="94"/>
      <c r="AF173" s="94"/>
      <c r="AS173" s="94"/>
      <c r="AT173" s="94"/>
      <c r="AU173" s="94"/>
      <c r="AV173" s="94"/>
      <c r="BB173" s="108">
        <f>Schäden_Einband!X173+Schäden_Buchblock!AC173</f>
        <v>0</v>
      </c>
      <c r="BC173" s="95"/>
    </row>
    <row r="174" spans="1:62" ht="46" x14ac:dyDescent="0.25">
      <c r="A174" s="82">
        <v>166</v>
      </c>
      <c r="B174" s="64" t="s">
        <v>451</v>
      </c>
      <c r="C174" s="64">
        <v>1066964939</v>
      </c>
      <c r="D174" s="84" t="str">
        <f t="shared" si="2"/>
        <v>https://portal.dnb.de/opac.htm?method=simpleSearch&amp;cqlMode=true&amp;query=idn%3D1066964939</v>
      </c>
      <c r="E174" s="64" t="s">
        <v>452</v>
      </c>
      <c r="F174" s="82" t="s">
        <v>89</v>
      </c>
      <c r="G174" s="85" t="s">
        <v>1585</v>
      </c>
      <c r="H174" s="82" t="s">
        <v>51</v>
      </c>
      <c r="I174" s="85" t="s">
        <v>90</v>
      </c>
      <c r="J174" s="85" t="s">
        <v>1616</v>
      </c>
      <c r="K174" s="82" t="s">
        <v>67</v>
      </c>
      <c r="L174" s="82" t="s">
        <v>35</v>
      </c>
      <c r="M174" s="82" t="s">
        <v>37</v>
      </c>
      <c r="N174" s="82">
        <v>0</v>
      </c>
      <c r="O174" s="82"/>
      <c r="P174" s="82" t="s">
        <v>1603</v>
      </c>
      <c r="Q174" s="82"/>
      <c r="R174" s="82"/>
      <c r="S174" s="97"/>
      <c r="T174" s="97"/>
      <c r="X174" s="94"/>
      <c r="Y174" s="95"/>
      <c r="Z174" s="95"/>
      <c r="AA174" s="94"/>
      <c r="AB174" s="94"/>
      <c r="AC174" s="94"/>
      <c r="AD174" s="94"/>
      <c r="AE174" s="94"/>
      <c r="AF174" s="94"/>
      <c r="AS174" s="94"/>
      <c r="AT174" s="94"/>
      <c r="AU174" s="94"/>
      <c r="AV174" s="94"/>
      <c r="BB174" s="108">
        <f>Schäden_Einband!X174+Schäden_Buchblock!AC174</f>
        <v>0</v>
      </c>
      <c r="BC174" s="95"/>
    </row>
    <row r="175" spans="1:62" ht="46" x14ac:dyDescent="0.25">
      <c r="A175" s="82">
        <v>167</v>
      </c>
      <c r="B175" s="64" t="s">
        <v>453</v>
      </c>
      <c r="C175" s="64">
        <v>1066968993</v>
      </c>
      <c r="D175" s="84" t="str">
        <f t="shared" si="2"/>
        <v>https://portal.dnb.de/opac.htm?method=simpleSearch&amp;cqlMode=true&amp;query=idn%3D1066968993</v>
      </c>
      <c r="E175" s="64" t="s">
        <v>454</v>
      </c>
      <c r="F175" s="82" t="s">
        <v>89</v>
      </c>
      <c r="G175" s="85" t="s">
        <v>1585</v>
      </c>
      <c r="H175" s="82" t="s">
        <v>51</v>
      </c>
      <c r="I175" s="85" t="s">
        <v>55</v>
      </c>
      <c r="J175" s="85" t="s">
        <v>1587</v>
      </c>
      <c r="K175" s="82" t="s">
        <v>67</v>
      </c>
      <c r="L175" s="82" t="s">
        <v>35</v>
      </c>
      <c r="M175" s="82" t="s">
        <v>37</v>
      </c>
      <c r="N175" s="82">
        <v>1</v>
      </c>
      <c r="O175" s="82"/>
      <c r="P175" s="82"/>
      <c r="Q175" s="82"/>
      <c r="R175" s="82"/>
      <c r="S175" s="97"/>
      <c r="T175" s="97"/>
      <c r="X175" s="94"/>
      <c r="Y175" s="95"/>
      <c r="Z175" s="95"/>
      <c r="AA175" s="94"/>
      <c r="AB175" s="94"/>
      <c r="AC175" s="94"/>
      <c r="AD175" s="94"/>
      <c r="AE175" s="94"/>
      <c r="AF175" s="94"/>
      <c r="AS175" s="94"/>
      <c r="AT175" s="94"/>
      <c r="AU175" s="94"/>
      <c r="AV175" s="94"/>
      <c r="BB175" s="108">
        <f>Schäden_Einband!X175+Schäden_Buchblock!AC175</f>
        <v>0</v>
      </c>
      <c r="BC175" s="95"/>
    </row>
    <row r="176" spans="1:62" x14ac:dyDescent="0.25">
      <c r="A176" s="82">
        <v>168</v>
      </c>
      <c r="B176" s="64" t="s">
        <v>455</v>
      </c>
      <c r="C176" s="64">
        <v>1066965080</v>
      </c>
      <c r="D176" s="84" t="str">
        <f>HYPERLINK(CONCATENATE("https://portal.dnb.de/opac.htm?method=simpleSearch&amp;cqlMode=true&amp;query=idn%3D",C176))</f>
        <v>https://portal.dnb.de/opac.htm?method=simpleSearch&amp;cqlMode=true&amp;query=idn%3D1066965080</v>
      </c>
      <c r="E176" s="64" t="s">
        <v>456</v>
      </c>
      <c r="F176" s="82" t="s">
        <v>89</v>
      </c>
      <c r="G176" s="85" t="s">
        <v>3</v>
      </c>
      <c r="H176" s="82" t="s">
        <v>50</v>
      </c>
      <c r="I176" s="85" t="s">
        <v>55</v>
      </c>
      <c r="J176" s="85" t="s">
        <v>1608</v>
      </c>
      <c r="K176" s="82"/>
      <c r="L176" s="82" t="s">
        <v>35</v>
      </c>
      <c r="M176" s="82" t="s">
        <v>37</v>
      </c>
      <c r="N176" s="82">
        <v>0</v>
      </c>
      <c r="O176" s="82"/>
      <c r="P176" s="82"/>
      <c r="Q176" s="82"/>
      <c r="R176" s="82"/>
      <c r="S176" s="97"/>
      <c r="T176" s="97"/>
      <c r="X176" s="94"/>
      <c r="Y176" s="95"/>
      <c r="Z176" s="95"/>
      <c r="AA176" s="94"/>
      <c r="AB176" s="94"/>
      <c r="AC176" s="94"/>
      <c r="AD176" s="94"/>
      <c r="AE176" s="94"/>
      <c r="AF176" s="94"/>
      <c r="AS176" s="94"/>
      <c r="AT176" s="94"/>
      <c r="AU176" s="94"/>
      <c r="AV176" s="94"/>
      <c r="BB176" s="108">
        <f>Schäden_Einband!X176+Schäden_Buchblock!AC176</f>
        <v>0</v>
      </c>
      <c r="BC176" s="95"/>
    </row>
    <row r="177" spans="1:55" ht="23" x14ac:dyDescent="0.25">
      <c r="A177" s="82">
        <v>169</v>
      </c>
      <c r="B177" s="64" t="s">
        <v>457</v>
      </c>
      <c r="C177" s="64">
        <v>1066966230</v>
      </c>
      <c r="D177" s="84" t="str">
        <f t="shared" si="2"/>
        <v>https://portal.dnb.de/opac.htm?method=simpleSearch&amp;cqlMode=true&amp;query=idn%3D1066966230</v>
      </c>
      <c r="E177" s="64" t="s">
        <v>458</v>
      </c>
      <c r="F177" s="82" t="s">
        <v>89</v>
      </c>
      <c r="G177" s="85" t="s">
        <v>45</v>
      </c>
      <c r="H177" s="82" t="s">
        <v>50</v>
      </c>
      <c r="I177" s="85" t="s">
        <v>90</v>
      </c>
      <c r="J177" s="85" t="s">
        <v>1586</v>
      </c>
      <c r="K177" s="82" t="s">
        <v>67</v>
      </c>
      <c r="L177" s="82" t="s">
        <v>35</v>
      </c>
      <c r="M177" s="82" t="s">
        <v>37</v>
      </c>
      <c r="N177" s="82">
        <v>0</v>
      </c>
      <c r="O177" s="82"/>
      <c r="P177" s="82"/>
      <c r="Q177" s="82"/>
      <c r="R177" s="82"/>
      <c r="S177" s="97"/>
      <c r="T177" s="97"/>
      <c r="X177" s="94"/>
      <c r="Y177" s="95"/>
      <c r="Z177" s="95"/>
      <c r="AA177" s="94"/>
      <c r="AB177" s="94"/>
      <c r="AC177" s="94"/>
      <c r="AD177" s="94"/>
      <c r="AE177" s="94"/>
      <c r="AF177" s="94"/>
      <c r="AS177" s="94"/>
      <c r="AT177" s="94"/>
      <c r="AU177" s="94"/>
      <c r="AV177" s="94"/>
      <c r="BB177" s="108">
        <f>Schäden_Einband!X177+Schäden_Buchblock!AC177</f>
        <v>0</v>
      </c>
      <c r="BC177" s="95"/>
    </row>
    <row r="178" spans="1:55" ht="23" x14ac:dyDescent="0.25">
      <c r="A178" s="82">
        <v>170</v>
      </c>
      <c r="B178" s="64" t="s">
        <v>459</v>
      </c>
      <c r="C178" s="64" t="s">
        <v>460</v>
      </c>
      <c r="D178" s="84" t="str">
        <f>HYPERLINK(CONCATENATE("https://portal.dnb.de/opac.htm?method=simpleSearch&amp;cqlMode=true&amp;query=idn%3D",C178))</f>
        <v>https://portal.dnb.de/opac.htm?method=simpleSearch&amp;cqlMode=true&amp;query=idn%3D106696632X</v>
      </c>
      <c r="E178" s="64" t="s">
        <v>461</v>
      </c>
      <c r="F178" s="82" t="s">
        <v>89</v>
      </c>
      <c r="G178" s="85" t="s">
        <v>45</v>
      </c>
      <c r="H178" s="82" t="s">
        <v>50</v>
      </c>
      <c r="I178" s="85" t="s">
        <v>90</v>
      </c>
      <c r="J178" s="85"/>
      <c r="K178" s="82"/>
      <c r="L178" s="82" t="s">
        <v>35</v>
      </c>
      <c r="M178" s="82" t="s">
        <v>37</v>
      </c>
      <c r="N178" s="82">
        <v>0</v>
      </c>
      <c r="O178" s="82"/>
      <c r="P178" s="82" t="s">
        <v>1624</v>
      </c>
      <c r="Q178" s="82"/>
      <c r="R178" s="82"/>
      <c r="S178" s="97"/>
      <c r="T178" s="97"/>
      <c r="X178" s="94"/>
      <c r="Y178" s="95"/>
      <c r="Z178" s="95"/>
      <c r="AA178" s="94"/>
      <c r="AB178" s="94"/>
      <c r="AC178" s="94"/>
      <c r="AD178" s="94"/>
      <c r="AE178" s="94"/>
      <c r="AF178" s="94"/>
      <c r="AS178" s="94"/>
      <c r="AT178" s="94"/>
      <c r="AU178" s="94"/>
      <c r="AV178" s="94"/>
      <c r="BB178" s="108">
        <f>Schäden_Einband!X178+Schäden_Buchblock!AC178</f>
        <v>0</v>
      </c>
      <c r="BC178" s="95"/>
    </row>
    <row r="179" spans="1:55" ht="46" x14ac:dyDescent="0.25">
      <c r="A179" s="82">
        <v>171</v>
      </c>
      <c r="B179" s="64" t="s">
        <v>462</v>
      </c>
      <c r="C179" s="64">
        <v>1066968403</v>
      </c>
      <c r="D179" s="84" t="str">
        <f t="shared" si="2"/>
        <v>https://portal.dnb.de/opac.htm?method=simpleSearch&amp;cqlMode=true&amp;query=idn%3D1066968403</v>
      </c>
      <c r="E179" s="64" t="s">
        <v>463</v>
      </c>
      <c r="F179" s="82" t="s">
        <v>89</v>
      </c>
      <c r="G179" s="85" t="s">
        <v>1607</v>
      </c>
      <c r="H179" s="82" t="s">
        <v>50</v>
      </c>
      <c r="I179" s="85" t="s">
        <v>55</v>
      </c>
      <c r="J179" s="85" t="s">
        <v>1587</v>
      </c>
      <c r="K179" s="82" t="s">
        <v>67</v>
      </c>
      <c r="L179" s="82" t="s">
        <v>35</v>
      </c>
      <c r="M179" s="82" t="s">
        <v>37</v>
      </c>
      <c r="N179" s="82">
        <v>1</v>
      </c>
      <c r="O179" s="82"/>
      <c r="P179" s="82"/>
      <c r="Q179" s="82"/>
      <c r="R179" s="82"/>
      <c r="S179" s="97"/>
      <c r="T179" s="97"/>
      <c r="X179" s="94"/>
      <c r="Y179" s="95"/>
      <c r="Z179" s="95"/>
      <c r="AA179" s="94"/>
      <c r="AB179" s="94"/>
      <c r="AC179" s="94"/>
      <c r="AD179" s="94"/>
      <c r="AE179" s="94"/>
      <c r="AF179" s="94"/>
      <c r="AS179" s="94"/>
      <c r="AT179" s="94"/>
      <c r="AU179" s="94"/>
      <c r="AV179" s="94"/>
      <c r="BB179" s="108">
        <f>Schäden_Einband!X179+Schäden_Buchblock!AC179</f>
        <v>0</v>
      </c>
      <c r="BC179" s="95"/>
    </row>
    <row r="180" spans="1:55" ht="23" x14ac:dyDescent="0.25">
      <c r="A180" s="82">
        <v>172</v>
      </c>
      <c r="B180" s="64" t="s">
        <v>464</v>
      </c>
      <c r="C180" s="64">
        <v>1066968446</v>
      </c>
      <c r="D180" s="84" t="str">
        <f>HYPERLINK(CONCATENATE("https://portal.dnb.de/opac.htm?method=simpleSearch&amp;cqlMode=true&amp;query=idn%3D",C180))</f>
        <v>https://portal.dnb.de/opac.htm?method=simpleSearch&amp;cqlMode=true&amp;query=idn%3D1066968446</v>
      </c>
      <c r="E180" s="64" t="s">
        <v>465</v>
      </c>
      <c r="F180" s="82" t="s">
        <v>89</v>
      </c>
      <c r="G180" s="85" t="s">
        <v>45</v>
      </c>
      <c r="H180" s="82" t="s">
        <v>50</v>
      </c>
      <c r="I180" s="85" t="s">
        <v>90</v>
      </c>
      <c r="J180" s="85" t="s">
        <v>1586</v>
      </c>
      <c r="K180" s="82" t="s">
        <v>67</v>
      </c>
      <c r="L180" s="82" t="s">
        <v>35</v>
      </c>
      <c r="M180" s="82" t="s">
        <v>37</v>
      </c>
      <c r="N180" s="82">
        <v>0</v>
      </c>
      <c r="O180" s="82"/>
      <c r="P180" s="82" t="s">
        <v>1624</v>
      </c>
      <c r="Q180" s="82"/>
      <c r="R180" s="82"/>
      <c r="S180" s="97"/>
      <c r="T180" s="97"/>
      <c r="X180" s="94"/>
      <c r="Y180" s="95"/>
      <c r="Z180" s="95"/>
      <c r="AA180" s="94"/>
      <c r="AB180" s="94"/>
      <c r="AC180" s="94"/>
      <c r="AD180" s="94"/>
      <c r="AE180" s="94"/>
      <c r="AF180" s="94"/>
      <c r="AS180" s="94"/>
      <c r="AT180" s="94"/>
      <c r="AU180" s="94"/>
      <c r="AV180" s="94"/>
      <c r="BB180" s="108">
        <f>Schäden_Einband!X180+Schäden_Buchblock!AC180</f>
        <v>0</v>
      </c>
      <c r="BC180" s="95"/>
    </row>
    <row r="181" spans="1:55" ht="46" x14ac:dyDescent="0.25">
      <c r="A181" s="82">
        <v>173</v>
      </c>
      <c r="B181" s="64" t="s">
        <v>466</v>
      </c>
      <c r="C181" s="64">
        <v>1066968438</v>
      </c>
      <c r="D181" s="84" t="str">
        <f>HYPERLINK(CONCATENATE("https://portal.dnb.de/opac.htm?method=simpleSearch&amp;cqlMode=true&amp;query=idn%3D",C181))</f>
        <v>https://portal.dnb.de/opac.htm?method=simpleSearch&amp;cqlMode=true&amp;query=idn%3D1066968438</v>
      </c>
      <c r="E181" s="64" t="s">
        <v>467</v>
      </c>
      <c r="F181" s="82" t="s">
        <v>89</v>
      </c>
      <c r="G181" s="85" t="s">
        <v>1607</v>
      </c>
      <c r="H181" s="82" t="s">
        <v>50</v>
      </c>
      <c r="I181" s="85" t="s">
        <v>55</v>
      </c>
      <c r="J181" s="85" t="s">
        <v>1587</v>
      </c>
      <c r="K181" s="82" t="s">
        <v>67</v>
      </c>
      <c r="L181" s="82" t="s">
        <v>35</v>
      </c>
      <c r="M181" s="82" t="s">
        <v>37</v>
      </c>
      <c r="N181" s="82">
        <v>0</v>
      </c>
      <c r="O181" s="82"/>
      <c r="P181" s="82"/>
      <c r="Q181" s="82"/>
      <c r="R181" s="82"/>
      <c r="S181" s="97"/>
      <c r="T181" s="97"/>
      <c r="X181" s="94"/>
      <c r="Y181" s="95"/>
      <c r="Z181" s="95"/>
      <c r="AA181" s="94"/>
      <c r="AB181" s="94"/>
      <c r="AC181" s="94"/>
      <c r="AD181" s="94"/>
      <c r="AE181" s="94"/>
      <c r="AF181" s="94"/>
      <c r="AS181" s="94"/>
      <c r="AT181" s="94"/>
      <c r="AU181" s="94"/>
      <c r="AV181" s="94"/>
      <c r="BB181" s="108">
        <f>Schäden_Einband!X181+Schäden_Buchblock!AC181</f>
        <v>0</v>
      </c>
      <c r="BC181" s="95"/>
    </row>
    <row r="182" spans="1:55" ht="23" x14ac:dyDescent="0.25">
      <c r="A182" s="82">
        <v>174</v>
      </c>
      <c r="B182" s="64" t="s">
        <v>468</v>
      </c>
      <c r="C182" s="64">
        <v>1066968748</v>
      </c>
      <c r="D182" s="84" t="str">
        <f t="shared" si="2"/>
        <v>https://portal.dnb.de/opac.htm?method=simpleSearch&amp;cqlMode=true&amp;query=idn%3D1066968748</v>
      </c>
      <c r="E182" s="64" t="s">
        <v>469</v>
      </c>
      <c r="F182" s="82" t="s">
        <v>89</v>
      </c>
      <c r="G182" s="85" t="s">
        <v>3</v>
      </c>
      <c r="H182" s="82" t="s">
        <v>50</v>
      </c>
      <c r="I182" s="85"/>
      <c r="J182" s="85" t="s">
        <v>1587</v>
      </c>
      <c r="K182" s="82" t="s">
        <v>67</v>
      </c>
      <c r="L182" s="82" t="s">
        <v>35</v>
      </c>
      <c r="M182" s="82" t="s">
        <v>37</v>
      </c>
      <c r="N182" s="82">
        <v>1</v>
      </c>
      <c r="O182" s="82"/>
      <c r="P182" s="82"/>
      <c r="Q182" s="82"/>
      <c r="R182" s="82"/>
      <c r="S182" s="97"/>
      <c r="T182" s="97"/>
      <c r="X182" s="94"/>
      <c r="Y182" s="95"/>
      <c r="Z182" s="95"/>
      <c r="AA182" s="94"/>
      <c r="AB182" s="94"/>
      <c r="AC182" s="94"/>
      <c r="AD182" s="94"/>
      <c r="AE182" s="94"/>
      <c r="AF182" s="94"/>
      <c r="AS182" s="94"/>
      <c r="AT182" s="94"/>
      <c r="AU182" s="94"/>
      <c r="AV182" s="94"/>
      <c r="BB182" s="108">
        <f>Schäden_Einband!X182+Schäden_Buchblock!AC182</f>
        <v>0</v>
      </c>
      <c r="BC182" s="95"/>
    </row>
    <row r="183" spans="1:55" ht="46" x14ac:dyDescent="0.25">
      <c r="A183" s="82">
        <v>175</v>
      </c>
      <c r="B183" s="64" t="s">
        <v>470</v>
      </c>
      <c r="C183" s="64">
        <v>1072494108</v>
      </c>
      <c r="D183" s="84" t="str">
        <f t="shared" si="2"/>
        <v>https://portal.dnb.de/opac.htm?method=simpleSearch&amp;cqlMode=true&amp;query=idn%3D1072494108</v>
      </c>
      <c r="E183" s="64" t="s">
        <v>471</v>
      </c>
      <c r="F183" s="82" t="s">
        <v>89</v>
      </c>
      <c r="G183" s="85" t="s">
        <v>1585</v>
      </c>
      <c r="H183" s="82" t="s">
        <v>51</v>
      </c>
      <c r="I183" s="85"/>
      <c r="J183" s="85"/>
      <c r="K183" s="82"/>
      <c r="L183" s="82"/>
      <c r="M183" s="82"/>
      <c r="N183" s="82"/>
      <c r="O183" s="82"/>
      <c r="P183" s="82"/>
      <c r="Q183" s="82"/>
      <c r="R183" s="82"/>
      <c r="S183" s="97"/>
      <c r="T183" s="97"/>
      <c r="X183" s="94"/>
      <c r="Y183" s="95"/>
      <c r="Z183" s="95"/>
      <c r="AA183" s="94"/>
      <c r="AB183" s="94"/>
      <c r="AC183" s="94"/>
      <c r="AD183" s="94"/>
      <c r="AE183" s="94"/>
      <c r="AF183" s="94"/>
      <c r="AS183" s="94"/>
      <c r="AT183" s="94"/>
      <c r="AU183" s="94"/>
      <c r="AV183" s="94"/>
      <c r="BB183" s="108">
        <f>Schäden_Einband!X183+Schäden_Buchblock!AC183</f>
        <v>0</v>
      </c>
      <c r="BC183" s="95"/>
    </row>
    <row r="184" spans="1:55" ht="46" x14ac:dyDescent="0.25">
      <c r="A184" s="82">
        <v>176</v>
      </c>
      <c r="B184" s="64" t="s">
        <v>472</v>
      </c>
      <c r="C184" s="64" t="s">
        <v>473</v>
      </c>
      <c r="D184" s="84" t="str">
        <f>HYPERLINK(CONCATENATE("https://portal.dnb.de/opac.htm?method=simpleSearch&amp;cqlMode=true&amp;query=idn%3D",C184))</f>
        <v>https://portal.dnb.de/opac.htm?method=simpleSearch&amp;cqlMode=true&amp;query=idn%3D107249423X</v>
      </c>
      <c r="E184" s="64" t="s">
        <v>474</v>
      </c>
      <c r="F184" s="82" t="s">
        <v>89</v>
      </c>
      <c r="G184" s="85" t="s">
        <v>1584</v>
      </c>
      <c r="H184" s="82" t="s">
        <v>51</v>
      </c>
      <c r="I184" s="85" t="s">
        <v>55</v>
      </c>
      <c r="J184" s="85" t="s">
        <v>1586</v>
      </c>
      <c r="K184" s="82" t="s">
        <v>67</v>
      </c>
      <c r="L184" s="82" t="s">
        <v>35</v>
      </c>
      <c r="M184" s="82" t="s">
        <v>37</v>
      </c>
      <c r="N184" s="82">
        <v>0</v>
      </c>
      <c r="O184" s="82"/>
      <c r="P184" s="82"/>
      <c r="Q184" s="82"/>
      <c r="R184" s="82"/>
      <c r="S184" s="97"/>
      <c r="T184" s="97"/>
      <c r="X184" s="94"/>
      <c r="Y184" s="95"/>
      <c r="Z184" s="95"/>
      <c r="AA184" s="94"/>
      <c r="AB184" s="94"/>
      <c r="AC184" s="94"/>
      <c r="AD184" s="94"/>
      <c r="AE184" s="94"/>
      <c r="AF184" s="94"/>
      <c r="AS184" s="94"/>
      <c r="AT184" s="94"/>
      <c r="AU184" s="94"/>
      <c r="AV184" s="94"/>
      <c r="BB184" s="108">
        <f>Schäden_Einband!X184+Schäden_Buchblock!AC184</f>
        <v>0</v>
      </c>
      <c r="BC184" s="95"/>
    </row>
    <row r="185" spans="1:55" ht="69" x14ac:dyDescent="0.25">
      <c r="A185" s="82">
        <v>177</v>
      </c>
      <c r="B185" s="64" t="s">
        <v>475</v>
      </c>
      <c r="C185" s="64">
        <v>1066971226</v>
      </c>
      <c r="D185" s="84" t="str">
        <f t="shared" si="2"/>
        <v>https://portal.dnb.de/opac.htm?method=simpleSearch&amp;cqlMode=true&amp;query=idn%3D1066971226</v>
      </c>
      <c r="E185" s="64" t="s">
        <v>476</v>
      </c>
      <c r="F185" s="82" t="s">
        <v>89</v>
      </c>
      <c r="G185" s="85" t="s">
        <v>1607</v>
      </c>
      <c r="H185" s="82" t="s">
        <v>50</v>
      </c>
      <c r="I185" s="85" t="s">
        <v>55</v>
      </c>
      <c r="J185" s="85" t="s">
        <v>1689</v>
      </c>
      <c r="K185" s="82" t="s">
        <v>67</v>
      </c>
      <c r="L185" s="82" t="s">
        <v>35</v>
      </c>
      <c r="M185" s="82" t="s">
        <v>37</v>
      </c>
      <c r="N185" s="82">
        <v>2</v>
      </c>
      <c r="O185" s="82"/>
      <c r="P185" s="82"/>
      <c r="Q185" s="82"/>
      <c r="R185" s="82"/>
      <c r="S185" s="97"/>
      <c r="T185" s="97"/>
      <c r="X185" s="94"/>
      <c r="Y185" s="95"/>
      <c r="Z185" s="95"/>
      <c r="AA185" s="94"/>
      <c r="AB185" s="94"/>
      <c r="AC185" s="94"/>
      <c r="AD185" s="94"/>
      <c r="AE185" s="94"/>
      <c r="AF185" s="94"/>
      <c r="AS185" s="94"/>
      <c r="AT185" s="94"/>
      <c r="AU185" s="94"/>
      <c r="AV185" s="94"/>
      <c r="BB185" s="108">
        <f>Schäden_Einband!X185+Schäden_Buchblock!AC185</f>
        <v>0</v>
      </c>
      <c r="BC185" s="95"/>
    </row>
    <row r="186" spans="1:55" ht="46" x14ac:dyDescent="0.25">
      <c r="A186" s="82">
        <v>178</v>
      </c>
      <c r="B186" s="64" t="s">
        <v>477</v>
      </c>
      <c r="C186" s="64" t="s">
        <v>478</v>
      </c>
      <c r="D186" s="84" t="str">
        <f t="shared" si="2"/>
        <v>https://portal.dnb.de/opac.htm?method=simpleSearch&amp;cqlMode=true&amp;query=idn%3D107955310X</v>
      </c>
      <c r="E186" s="64" t="s">
        <v>479</v>
      </c>
      <c r="F186" s="82" t="s">
        <v>89</v>
      </c>
      <c r="G186" s="85" t="s">
        <v>1607</v>
      </c>
      <c r="H186" s="82" t="s">
        <v>50</v>
      </c>
      <c r="I186" s="85" t="s">
        <v>90</v>
      </c>
      <c r="J186" s="85" t="s">
        <v>1586</v>
      </c>
      <c r="K186" s="82" t="s">
        <v>67</v>
      </c>
      <c r="L186" s="82" t="s">
        <v>35</v>
      </c>
      <c r="M186" s="82" t="s">
        <v>37</v>
      </c>
      <c r="N186" s="82">
        <v>1</v>
      </c>
      <c r="O186" s="82"/>
      <c r="P186" s="82"/>
      <c r="Q186" s="82"/>
      <c r="R186" s="82"/>
      <c r="S186" s="97"/>
      <c r="T186" s="97"/>
      <c r="X186" s="94"/>
      <c r="Y186" s="95"/>
      <c r="Z186" s="95"/>
      <c r="AA186" s="94"/>
      <c r="AB186" s="94"/>
      <c r="AC186" s="94"/>
      <c r="AD186" s="94"/>
      <c r="AE186" s="94"/>
      <c r="AF186" s="94"/>
      <c r="AS186" s="94"/>
      <c r="AT186" s="94"/>
      <c r="AU186" s="94"/>
      <c r="AV186" s="94"/>
      <c r="BB186" s="108">
        <f>Schäden_Einband!X186+Schäden_Buchblock!AC186</f>
        <v>0</v>
      </c>
      <c r="BC186" s="95"/>
    </row>
    <row r="187" spans="1:55" ht="46" x14ac:dyDescent="0.25">
      <c r="A187" s="82">
        <v>179</v>
      </c>
      <c r="B187" s="64" t="s">
        <v>480</v>
      </c>
      <c r="C187" s="64">
        <v>1066965021</v>
      </c>
      <c r="D187" s="84" t="str">
        <f t="shared" si="2"/>
        <v>https://portal.dnb.de/opac.htm?method=simpleSearch&amp;cqlMode=true&amp;query=idn%3D1066965021</v>
      </c>
      <c r="E187" s="64" t="s">
        <v>481</v>
      </c>
      <c r="F187" s="82"/>
      <c r="G187" s="85" t="s">
        <v>1585</v>
      </c>
      <c r="H187" s="82" t="s">
        <v>50</v>
      </c>
      <c r="I187" s="85" t="s">
        <v>90</v>
      </c>
      <c r="J187" s="85" t="s">
        <v>1583</v>
      </c>
      <c r="K187" s="82" t="s">
        <v>67</v>
      </c>
      <c r="L187" s="82" t="s">
        <v>35</v>
      </c>
      <c r="M187" s="82" t="s">
        <v>37</v>
      </c>
      <c r="N187" s="82">
        <v>1</v>
      </c>
      <c r="O187" s="82"/>
      <c r="P187" s="82"/>
      <c r="Q187" s="82"/>
      <c r="R187" s="82"/>
      <c r="S187" s="97"/>
      <c r="T187" s="97"/>
      <c r="X187" s="94"/>
      <c r="Y187" s="95"/>
      <c r="Z187" s="95"/>
      <c r="AA187" s="94"/>
      <c r="AB187" s="94"/>
      <c r="AC187" s="94"/>
      <c r="AD187" s="94"/>
      <c r="AE187" s="94"/>
      <c r="AF187" s="94"/>
      <c r="AS187" s="94"/>
      <c r="AT187" s="94"/>
      <c r="AU187" s="94"/>
      <c r="AV187" s="94"/>
      <c r="BB187" s="108">
        <f>Schäden_Einband!X187+Schäden_Buchblock!AC187</f>
        <v>0</v>
      </c>
      <c r="BC187" s="95"/>
    </row>
    <row r="188" spans="1:55" ht="46" x14ac:dyDescent="0.25">
      <c r="A188" s="82">
        <v>180</v>
      </c>
      <c r="B188" s="64" t="s">
        <v>482</v>
      </c>
      <c r="C188" s="64" t="s">
        <v>483</v>
      </c>
      <c r="D188" s="84" t="str">
        <f>HYPERLINK(CONCATENATE("https://portal.dnb.de/opac.htm?method=simpleSearch&amp;cqlMode=true&amp;query=idn%3D",C188))</f>
        <v>https://portal.dnb.de/opac.htm?method=simpleSearch&amp;cqlMode=true&amp;query=idn%3D106696839X</v>
      </c>
      <c r="E188" s="64" t="s">
        <v>484</v>
      </c>
      <c r="F188" s="82" t="s">
        <v>89</v>
      </c>
      <c r="G188" s="85" t="s">
        <v>1584</v>
      </c>
      <c r="H188" s="82" t="s">
        <v>51</v>
      </c>
      <c r="I188" s="85" t="s">
        <v>55</v>
      </c>
      <c r="J188" s="85" t="s">
        <v>81</v>
      </c>
      <c r="K188" s="82"/>
      <c r="L188" s="82" t="s">
        <v>35</v>
      </c>
      <c r="M188" s="82" t="s">
        <v>37</v>
      </c>
      <c r="N188" s="82">
        <v>1</v>
      </c>
      <c r="O188" s="82"/>
      <c r="P188" s="82"/>
      <c r="Q188" s="82"/>
      <c r="R188" s="82"/>
      <c r="S188" s="97"/>
      <c r="T188" s="97"/>
      <c r="X188" s="94"/>
      <c r="Y188" s="95"/>
      <c r="Z188" s="95"/>
      <c r="AA188" s="94"/>
      <c r="AB188" s="94"/>
      <c r="AC188" s="94"/>
      <c r="AD188" s="94"/>
      <c r="AE188" s="94"/>
      <c r="AF188" s="94"/>
      <c r="AS188" s="94"/>
      <c r="AT188" s="94"/>
      <c r="AU188" s="94"/>
      <c r="AV188" s="94"/>
      <c r="BB188" s="108">
        <f>Schäden_Einband!X188+Schäden_Buchblock!AC188</f>
        <v>0</v>
      </c>
      <c r="BC188" s="95"/>
    </row>
    <row r="189" spans="1:55" ht="46" x14ac:dyDescent="0.25">
      <c r="A189" s="82">
        <v>181</v>
      </c>
      <c r="B189" s="64" t="s">
        <v>485</v>
      </c>
      <c r="C189" s="64">
        <v>1066972494</v>
      </c>
      <c r="D189" s="84" t="str">
        <f t="shared" si="2"/>
        <v>https://portal.dnb.de/opac.htm?method=simpleSearch&amp;cqlMode=true&amp;query=idn%3D1066972494</v>
      </c>
      <c r="E189" s="64" t="s">
        <v>486</v>
      </c>
      <c r="F189" s="82" t="s">
        <v>89</v>
      </c>
      <c r="G189" s="85" t="s">
        <v>1584</v>
      </c>
      <c r="H189" s="82" t="s">
        <v>51</v>
      </c>
      <c r="I189" s="85" t="s">
        <v>55</v>
      </c>
      <c r="J189" s="85" t="s">
        <v>1587</v>
      </c>
      <c r="K189" s="82" t="s">
        <v>67</v>
      </c>
      <c r="L189" s="82" t="s">
        <v>35</v>
      </c>
      <c r="M189" s="82" t="s">
        <v>37</v>
      </c>
      <c r="N189" s="82">
        <v>0</v>
      </c>
      <c r="O189" s="82"/>
      <c r="P189" s="82"/>
      <c r="Q189" s="82"/>
      <c r="R189" s="82"/>
      <c r="S189" s="97"/>
      <c r="T189" s="97"/>
      <c r="X189" s="94"/>
      <c r="Y189" s="95"/>
      <c r="Z189" s="95"/>
      <c r="AA189" s="94"/>
      <c r="AB189" s="94"/>
      <c r="AC189" s="94"/>
      <c r="AD189" s="94"/>
      <c r="AE189" s="94"/>
      <c r="AF189" s="94"/>
      <c r="AS189" s="94"/>
      <c r="AT189" s="94"/>
      <c r="AU189" s="94"/>
      <c r="AV189" s="94"/>
      <c r="BB189" s="108">
        <f>Schäden_Einband!X189+Schäden_Buchblock!AC189</f>
        <v>0</v>
      </c>
      <c r="BC189" s="95"/>
    </row>
    <row r="190" spans="1:55" ht="46" x14ac:dyDescent="0.25">
      <c r="A190" s="82">
        <v>182</v>
      </c>
      <c r="B190" s="64" t="s">
        <v>487</v>
      </c>
      <c r="C190" s="64">
        <v>1066972451</v>
      </c>
      <c r="D190" s="84" t="str">
        <f>HYPERLINK(CONCATENATE("https://portal.dnb.de/opac.htm?method=simpleSearch&amp;cqlMode=true&amp;query=idn%3D",C190))</f>
        <v>https://portal.dnb.de/opac.htm?method=simpleSearch&amp;cqlMode=true&amp;query=idn%3D1066972451</v>
      </c>
      <c r="E190" s="64" t="s">
        <v>488</v>
      </c>
      <c r="F190" s="82" t="s">
        <v>89</v>
      </c>
      <c r="G190" s="85" t="s">
        <v>1584</v>
      </c>
      <c r="H190" s="82" t="s">
        <v>50</v>
      </c>
      <c r="I190" s="85" t="s">
        <v>55</v>
      </c>
      <c r="J190" s="85" t="s">
        <v>81</v>
      </c>
      <c r="K190" s="82"/>
      <c r="L190" s="82" t="s">
        <v>35</v>
      </c>
      <c r="M190" s="82" t="s">
        <v>37</v>
      </c>
      <c r="N190" s="82">
        <v>1</v>
      </c>
      <c r="O190" s="82"/>
      <c r="P190" s="82"/>
      <c r="Q190" s="82"/>
      <c r="R190" s="82"/>
      <c r="S190" s="97"/>
      <c r="T190" s="97"/>
      <c r="X190" s="94"/>
      <c r="Y190" s="95"/>
      <c r="Z190" s="95"/>
      <c r="AA190" s="94"/>
      <c r="AB190" s="94"/>
      <c r="AC190" s="94"/>
      <c r="AD190" s="94"/>
      <c r="AE190" s="94"/>
      <c r="AF190" s="94"/>
      <c r="AS190" s="94"/>
      <c r="AT190" s="94"/>
      <c r="AU190" s="94"/>
      <c r="AV190" s="94"/>
      <c r="BB190" s="108">
        <f>Schäden_Einband!X190+Schäden_Buchblock!AC190</f>
        <v>0</v>
      </c>
      <c r="BC190" s="95"/>
    </row>
    <row r="191" spans="1:55" ht="46" x14ac:dyDescent="0.25">
      <c r="A191" s="82">
        <v>183</v>
      </c>
      <c r="B191" s="64" t="s">
        <v>489</v>
      </c>
      <c r="C191" s="64">
        <v>1066968047</v>
      </c>
      <c r="D191" s="84" t="str">
        <f>HYPERLINK(CONCATENATE("https://portal.dnb.de/opac.htm?method=simpleSearch&amp;cqlMode=true&amp;query=idn%3D",C191))</f>
        <v>https://portal.dnb.de/opac.htm?method=simpleSearch&amp;cqlMode=true&amp;query=idn%3D1066968047</v>
      </c>
      <c r="E191" s="64" t="s">
        <v>490</v>
      </c>
      <c r="F191" s="82" t="s">
        <v>89</v>
      </c>
      <c r="G191" s="85" t="s">
        <v>1607</v>
      </c>
      <c r="H191" s="82" t="s">
        <v>50</v>
      </c>
      <c r="I191" s="85" t="s">
        <v>55</v>
      </c>
      <c r="J191" s="85" t="s">
        <v>60</v>
      </c>
      <c r="K191" s="82" t="s">
        <v>67</v>
      </c>
      <c r="L191" s="82" t="s">
        <v>35</v>
      </c>
      <c r="M191" s="82" t="s">
        <v>37</v>
      </c>
      <c r="N191" s="82">
        <v>2</v>
      </c>
      <c r="O191" s="82"/>
      <c r="P191" s="82"/>
      <c r="Q191" s="82"/>
      <c r="R191" s="82"/>
      <c r="S191" s="97"/>
      <c r="T191" s="97"/>
      <c r="X191" s="94"/>
      <c r="Y191" s="95"/>
      <c r="Z191" s="95"/>
      <c r="AA191" s="94"/>
      <c r="AB191" s="94"/>
      <c r="AC191" s="94"/>
      <c r="AD191" s="94"/>
      <c r="AE191" s="94"/>
      <c r="AF191" s="94"/>
      <c r="AS191" s="94"/>
      <c r="AT191" s="94"/>
      <c r="AU191" s="94"/>
      <c r="AV191" s="94"/>
      <c r="BB191" s="108">
        <f>Schäden_Einband!X191+Schäden_Buchblock!AC191</f>
        <v>0</v>
      </c>
      <c r="BC191" s="95"/>
    </row>
    <row r="192" spans="1:55" ht="23" x14ac:dyDescent="0.25">
      <c r="A192" s="82">
        <v>184</v>
      </c>
      <c r="B192" s="64" t="s">
        <v>491</v>
      </c>
      <c r="C192" s="64">
        <v>1066969035</v>
      </c>
      <c r="D192" s="84" t="str">
        <f t="shared" si="2"/>
        <v>https://portal.dnb.de/opac.htm?method=simpleSearch&amp;cqlMode=true&amp;query=idn%3D1066969035</v>
      </c>
      <c r="E192" s="64" t="s">
        <v>492</v>
      </c>
      <c r="F192" s="82" t="s">
        <v>89</v>
      </c>
      <c r="G192" s="85" t="s">
        <v>17</v>
      </c>
      <c r="H192" s="82" t="s">
        <v>50</v>
      </c>
      <c r="I192" s="85" t="s">
        <v>55</v>
      </c>
      <c r="J192" s="85" t="s">
        <v>60</v>
      </c>
      <c r="K192" s="82" t="s">
        <v>67</v>
      </c>
      <c r="L192" s="82" t="s">
        <v>35</v>
      </c>
      <c r="M192" s="82" t="s">
        <v>37</v>
      </c>
      <c r="N192" s="82">
        <v>0</v>
      </c>
      <c r="O192" s="82"/>
      <c r="P192" s="82"/>
      <c r="Q192" s="82"/>
      <c r="R192" s="82"/>
      <c r="S192" s="97"/>
      <c r="T192" s="97"/>
      <c r="X192" s="94"/>
      <c r="Y192" s="95"/>
      <c r="Z192" s="95"/>
      <c r="AA192" s="94"/>
      <c r="AB192" s="94"/>
      <c r="AC192" s="94"/>
      <c r="AD192" s="94"/>
      <c r="AE192" s="94"/>
      <c r="AF192" s="94"/>
      <c r="AS192" s="94"/>
      <c r="AT192" s="94"/>
      <c r="AU192" s="94"/>
      <c r="AV192" s="94"/>
      <c r="BB192" s="108">
        <f>Schäden_Einband!X192+Schäden_Buchblock!AC192</f>
        <v>0</v>
      </c>
      <c r="BC192" s="95"/>
    </row>
    <row r="193" spans="1:56" ht="46" x14ac:dyDescent="0.25">
      <c r="A193" s="82">
        <v>185</v>
      </c>
      <c r="B193" s="64" t="s">
        <v>493</v>
      </c>
      <c r="C193" s="64">
        <v>1066973369</v>
      </c>
      <c r="D193" s="84" t="str">
        <f t="shared" si="2"/>
        <v>https://portal.dnb.de/opac.htm?method=simpleSearch&amp;cqlMode=true&amp;query=idn%3D1066973369</v>
      </c>
      <c r="E193" s="64" t="s">
        <v>494</v>
      </c>
      <c r="F193" s="82" t="s">
        <v>89</v>
      </c>
      <c r="G193" s="85" t="s">
        <v>1585</v>
      </c>
      <c r="H193" s="82" t="s">
        <v>50</v>
      </c>
      <c r="I193" s="85" t="s">
        <v>90</v>
      </c>
      <c r="J193" s="85" t="s">
        <v>1587</v>
      </c>
      <c r="K193" s="82" t="s">
        <v>67</v>
      </c>
      <c r="L193" s="82" t="s">
        <v>35</v>
      </c>
      <c r="M193" s="82" t="s">
        <v>37</v>
      </c>
      <c r="N193" s="82">
        <v>0</v>
      </c>
      <c r="O193" s="82"/>
      <c r="P193" s="82"/>
      <c r="Q193" s="82"/>
      <c r="R193" s="82"/>
      <c r="S193" s="97"/>
      <c r="T193" s="97"/>
      <c r="X193" s="94"/>
      <c r="Y193" s="95"/>
      <c r="Z193" s="95"/>
      <c r="AA193" s="94"/>
      <c r="AB193" s="94"/>
      <c r="AC193" s="94"/>
      <c r="AD193" s="94"/>
      <c r="AE193" s="94"/>
      <c r="AF193" s="94"/>
      <c r="AS193" s="94"/>
      <c r="AT193" s="94"/>
      <c r="AU193" s="94"/>
      <c r="AV193" s="94"/>
      <c r="BB193" s="108">
        <f>Schäden_Einband!X193+Schäden_Buchblock!AC193</f>
        <v>0</v>
      </c>
      <c r="BC193" s="95"/>
    </row>
    <row r="194" spans="1:56" ht="46" x14ac:dyDescent="0.25">
      <c r="A194" s="82">
        <v>186</v>
      </c>
      <c r="B194" s="64" t="s">
        <v>495</v>
      </c>
      <c r="C194" s="64">
        <v>1066965889</v>
      </c>
      <c r="D194" s="84" t="str">
        <f t="shared" si="2"/>
        <v>https://portal.dnb.de/opac.htm?method=simpleSearch&amp;cqlMode=true&amp;query=idn%3D1066965889</v>
      </c>
      <c r="E194" s="64" t="s">
        <v>496</v>
      </c>
      <c r="F194" s="82" t="s">
        <v>89</v>
      </c>
      <c r="G194" s="85" t="s">
        <v>1607</v>
      </c>
      <c r="H194" s="82" t="s">
        <v>50</v>
      </c>
      <c r="I194" s="85" t="s">
        <v>55</v>
      </c>
      <c r="J194" s="85" t="s">
        <v>1583</v>
      </c>
      <c r="K194" s="82" t="s">
        <v>67</v>
      </c>
      <c r="L194" s="82" t="s">
        <v>35</v>
      </c>
      <c r="M194" s="82" t="s">
        <v>37</v>
      </c>
      <c r="N194" s="82">
        <v>2</v>
      </c>
      <c r="O194" s="82"/>
      <c r="P194" s="82"/>
      <c r="Q194" s="82"/>
      <c r="R194" s="82"/>
      <c r="S194" s="97"/>
      <c r="T194" s="97"/>
      <c r="X194" s="94"/>
      <c r="Y194" s="95"/>
      <c r="Z194" s="95"/>
      <c r="AA194" s="94"/>
      <c r="AB194" s="94"/>
      <c r="AC194" s="94"/>
      <c r="AD194" s="94"/>
      <c r="AE194" s="94"/>
      <c r="AF194" s="94"/>
      <c r="AS194" s="94"/>
      <c r="AT194" s="94"/>
      <c r="AU194" s="94"/>
      <c r="AV194" s="94"/>
      <c r="BB194" s="108">
        <f>Schäden_Einband!X194+Schäden_Buchblock!AC194</f>
        <v>0</v>
      </c>
      <c r="BC194" s="95"/>
    </row>
    <row r="195" spans="1:56" ht="46" x14ac:dyDescent="0.25">
      <c r="A195" s="82">
        <v>187</v>
      </c>
      <c r="B195" s="64" t="s">
        <v>497</v>
      </c>
      <c r="C195" s="64">
        <v>1066965048</v>
      </c>
      <c r="D195" s="84" t="str">
        <f t="shared" si="2"/>
        <v>https://portal.dnb.de/opac.htm?method=simpleSearch&amp;cqlMode=true&amp;query=idn%3D1066965048</v>
      </c>
      <c r="E195" s="64" t="s">
        <v>498</v>
      </c>
      <c r="F195" s="82" t="s">
        <v>89</v>
      </c>
      <c r="G195" s="85" t="s">
        <v>1584</v>
      </c>
      <c r="H195" s="82" t="s">
        <v>51</v>
      </c>
      <c r="I195" s="85" t="s">
        <v>55</v>
      </c>
      <c r="J195" s="85" t="s">
        <v>1586</v>
      </c>
      <c r="K195" s="82" t="s">
        <v>67</v>
      </c>
      <c r="L195" s="82" t="s">
        <v>35</v>
      </c>
      <c r="M195" s="82" t="s">
        <v>37</v>
      </c>
      <c r="N195" s="82">
        <v>1</v>
      </c>
      <c r="O195" s="82"/>
      <c r="P195" s="82"/>
      <c r="Q195" s="82"/>
      <c r="R195" s="82"/>
      <c r="S195" s="97"/>
      <c r="T195" s="97"/>
      <c r="X195" s="94"/>
      <c r="Y195" s="95"/>
      <c r="Z195" s="95"/>
      <c r="AA195" s="94"/>
      <c r="AB195" s="94"/>
      <c r="AC195" s="94"/>
      <c r="AD195" s="94"/>
      <c r="AE195" s="94"/>
      <c r="AF195" s="94"/>
      <c r="AS195" s="94"/>
      <c r="AT195" s="94"/>
      <c r="AU195" s="94"/>
      <c r="AV195" s="94"/>
      <c r="BB195" s="108">
        <f>Schäden_Einband!X195+Schäden_Buchblock!AC195</f>
        <v>0</v>
      </c>
      <c r="BC195" s="95"/>
    </row>
    <row r="196" spans="1:56" ht="34.5" x14ac:dyDescent="0.25">
      <c r="A196" s="82">
        <v>188</v>
      </c>
      <c r="B196" s="64" t="s">
        <v>499</v>
      </c>
      <c r="C196" s="64">
        <v>1066968950</v>
      </c>
      <c r="D196" s="84" t="str">
        <f t="shared" si="2"/>
        <v>https://portal.dnb.de/opac.htm?method=simpleSearch&amp;cqlMode=true&amp;query=idn%3D1066968950</v>
      </c>
      <c r="E196" s="64" t="s">
        <v>500</v>
      </c>
      <c r="F196" s="82"/>
      <c r="G196" s="85" t="s">
        <v>45</v>
      </c>
      <c r="H196" s="82" t="s">
        <v>51</v>
      </c>
      <c r="I196" s="85" t="s">
        <v>55</v>
      </c>
      <c r="J196" s="85" t="s">
        <v>1630</v>
      </c>
      <c r="K196" s="82" t="s">
        <v>67</v>
      </c>
      <c r="L196" s="82" t="s">
        <v>29</v>
      </c>
      <c r="M196" s="82" t="s">
        <v>37</v>
      </c>
      <c r="N196" s="82">
        <v>0</v>
      </c>
      <c r="O196" s="82"/>
      <c r="P196" s="82"/>
      <c r="Q196" s="82"/>
      <c r="R196" s="82"/>
      <c r="S196" s="97"/>
      <c r="T196" s="97"/>
      <c r="X196" s="94"/>
      <c r="Y196" s="95"/>
      <c r="Z196" s="95"/>
      <c r="AA196" s="94"/>
      <c r="AB196" s="94"/>
      <c r="AC196" s="94"/>
      <c r="AD196" s="94"/>
      <c r="AE196" s="94"/>
      <c r="AF196" s="94"/>
      <c r="AS196" s="94"/>
      <c r="AT196" s="94"/>
      <c r="AU196" s="94"/>
      <c r="AV196" s="94"/>
      <c r="BB196" s="108">
        <f>Schäden_Einband!X196+Schäden_Buchblock!AC196</f>
        <v>0</v>
      </c>
      <c r="BC196" s="95"/>
    </row>
    <row r="197" spans="1:56" ht="46" x14ac:dyDescent="0.25">
      <c r="A197" s="82">
        <v>189</v>
      </c>
      <c r="B197" s="64" t="s">
        <v>501</v>
      </c>
      <c r="C197" s="64">
        <v>1066972508</v>
      </c>
      <c r="D197" s="84" t="str">
        <f t="shared" si="2"/>
        <v>https://portal.dnb.de/opac.htm?method=simpleSearch&amp;cqlMode=true&amp;query=idn%3D1066972508</v>
      </c>
      <c r="E197" s="64" t="s">
        <v>502</v>
      </c>
      <c r="F197" s="82"/>
      <c r="G197" s="85" t="s">
        <v>1585</v>
      </c>
      <c r="H197" s="82" t="s">
        <v>51</v>
      </c>
      <c r="I197" s="85" t="s">
        <v>86</v>
      </c>
      <c r="J197" s="85" t="s">
        <v>1612</v>
      </c>
      <c r="K197" s="82" t="s">
        <v>67</v>
      </c>
      <c r="L197" s="82" t="s">
        <v>35</v>
      </c>
      <c r="M197" s="82" t="s">
        <v>37</v>
      </c>
      <c r="N197" s="82">
        <v>1</v>
      </c>
      <c r="O197" s="82"/>
      <c r="P197" s="82"/>
      <c r="Q197" s="82"/>
      <c r="R197" s="82"/>
      <c r="S197" s="97"/>
      <c r="T197" s="97"/>
      <c r="V197" s="93">
        <v>12</v>
      </c>
      <c r="X197" s="94" t="s">
        <v>1741</v>
      </c>
      <c r="Y197" s="95" t="s">
        <v>1633</v>
      </c>
      <c r="Z197" s="95"/>
      <c r="AA197" s="94" t="s">
        <v>1742</v>
      </c>
      <c r="AB197" s="94"/>
      <c r="AC197" s="94"/>
      <c r="AD197" s="94"/>
      <c r="AE197" s="94"/>
      <c r="AF197" s="94"/>
      <c r="AG197" s="93" t="s">
        <v>1724</v>
      </c>
      <c r="AK197" s="93" t="s">
        <v>1736</v>
      </c>
      <c r="AQ197" s="93" t="s">
        <v>1729</v>
      </c>
      <c r="AR197" s="93" t="s">
        <v>1633</v>
      </c>
      <c r="AS197" s="94"/>
      <c r="AT197" s="94"/>
      <c r="AU197" s="94" t="s">
        <v>1763</v>
      </c>
      <c r="AV197" s="94"/>
      <c r="BA197" s="94" t="s">
        <v>1733</v>
      </c>
      <c r="BB197" s="108">
        <f>Schäden_Einband!X197+Schäden_Buchblock!AC197</f>
        <v>0.5</v>
      </c>
      <c r="BC197" s="95"/>
      <c r="BD197" s="93" t="s">
        <v>1887</v>
      </c>
    </row>
    <row r="198" spans="1:56" ht="46" x14ac:dyDescent="0.25">
      <c r="A198" s="82">
        <v>190</v>
      </c>
      <c r="B198" s="64" t="s">
        <v>503</v>
      </c>
      <c r="C198" s="64">
        <v>1066972508</v>
      </c>
      <c r="D198" s="84" t="str">
        <f t="shared" si="2"/>
        <v>https://portal.dnb.de/opac.htm?method=simpleSearch&amp;cqlMode=true&amp;query=idn%3D1066972508</v>
      </c>
      <c r="E198" s="64" t="s">
        <v>504</v>
      </c>
      <c r="F198" s="82" t="s">
        <v>89</v>
      </c>
      <c r="G198" s="85" t="s">
        <v>1585</v>
      </c>
      <c r="H198" s="82" t="s">
        <v>51</v>
      </c>
      <c r="I198" s="85" t="s">
        <v>86</v>
      </c>
      <c r="J198" s="85" t="s">
        <v>1628</v>
      </c>
      <c r="K198" s="82" t="s">
        <v>67</v>
      </c>
      <c r="L198" s="82" t="s">
        <v>35</v>
      </c>
      <c r="M198" s="82" t="s">
        <v>1629</v>
      </c>
      <c r="N198" s="82">
        <v>0</v>
      </c>
      <c r="O198" s="82"/>
      <c r="P198" s="82"/>
      <c r="Q198" s="82"/>
      <c r="R198" s="82"/>
      <c r="S198" s="97"/>
      <c r="T198" s="97"/>
      <c r="V198" s="93">
        <v>13</v>
      </c>
      <c r="X198" s="94" t="s">
        <v>1741</v>
      </c>
      <c r="Y198" s="95"/>
      <c r="Z198" s="95" t="s">
        <v>1633</v>
      </c>
      <c r="AA198" s="94" t="s">
        <v>1738</v>
      </c>
      <c r="AB198" s="94"/>
      <c r="AC198" s="94"/>
      <c r="AD198" s="94"/>
      <c r="AE198" s="94"/>
      <c r="AF198" s="94"/>
      <c r="AG198" s="93" t="s">
        <v>1724</v>
      </c>
      <c r="AI198" s="93" t="s">
        <v>1633</v>
      </c>
      <c r="AK198" s="93" t="s">
        <v>1736</v>
      </c>
      <c r="AQ198" s="93" t="s">
        <v>1729</v>
      </c>
      <c r="AR198" s="93" t="s">
        <v>1633</v>
      </c>
      <c r="AS198" s="94">
        <v>0</v>
      </c>
      <c r="AT198" s="94"/>
      <c r="AU198" s="94">
        <v>45</v>
      </c>
      <c r="AV198" s="94"/>
      <c r="BA198" s="94" t="s">
        <v>1733</v>
      </c>
      <c r="BB198" s="108">
        <f>Schäden_Einband!X198+Schäden_Buchblock!AC198</f>
        <v>0.5</v>
      </c>
      <c r="BC198" s="95"/>
      <c r="BD198" s="93" t="s">
        <v>1886</v>
      </c>
    </row>
    <row r="199" spans="1:56" ht="46" x14ac:dyDescent="0.25">
      <c r="A199" s="82">
        <v>191</v>
      </c>
      <c r="B199" s="64" t="s">
        <v>505</v>
      </c>
      <c r="C199" s="64">
        <v>1066873151</v>
      </c>
      <c r="D199" s="84" t="str">
        <f t="shared" si="2"/>
        <v>https://portal.dnb.de/opac.htm?method=simpleSearch&amp;cqlMode=true&amp;query=idn%3D1066873151</v>
      </c>
      <c r="E199" s="64" t="s">
        <v>506</v>
      </c>
      <c r="F199" s="82" t="s">
        <v>89</v>
      </c>
      <c r="G199" s="85" t="s">
        <v>1584</v>
      </c>
      <c r="H199" s="82" t="s">
        <v>51</v>
      </c>
      <c r="I199" s="85" t="s">
        <v>55</v>
      </c>
      <c r="J199" s="85" t="s">
        <v>1583</v>
      </c>
      <c r="K199" s="82" t="s">
        <v>67</v>
      </c>
      <c r="L199" s="82" t="s">
        <v>35</v>
      </c>
      <c r="M199" s="82" t="s">
        <v>37</v>
      </c>
      <c r="N199" s="82">
        <v>2</v>
      </c>
      <c r="O199" s="82"/>
      <c r="P199" s="82"/>
      <c r="Q199" s="82"/>
      <c r="R199" s="82"/>
      <c r="S199" s="97"/>
      <c r="T199" s="97"/>
      <c r="X199" s="94"/>
      <c r="Y199" s="95"/>
      <c r="Z199" s="95"/>
      <c r="AA199" s="94"/>
      <c r="AB199" s="94"/>
      <c r="AC199" s="94"/>
      <c r="AD199" s="94"/>
      <c r="AE199" s="94"/>
      <c r="AF199" s="94"/>
      <c r="AS199" s="94"/>
      <c r="AT199" s="94"/>
      <c r="AU199" s="94"/>
      <c r="AV199" s="94"/>
      <c r="BB199" s="108">
        <f>Schäden_Einband!X199+Schäden_Buchblock!AC199</f>
        <v>0</v>
      </c>
      <c r="BC199" s="95"/>
    </row>
    <row r="200" spans="1:56" ht="46" x14ac:dyDescent="0.25">
      <c r="A200" s="82">
        <v>192</v>
      </c>
      <c r="B200" s="64" t="s">
        <v>507</v>
      </c>
      <c r="C200" s="64">
        <v>1072055228</v>
      </c>
      <c r="D200" s="84" t="str">
        <f t="shared" si="2"/>
        <v>https://portal.dnb.de/opac.htm?method=simpleSearch&amp;cqlMode=true&amp;query=idn%3D1072055228</v>
      </c>
      <c r="E200" s="64" t="s">
        <v>508</v>
      </c>
      <c r="F200" s="82" t="s">
        <v>89</v>
      </c>
      <c r="G200" s="85" t="s">
        <v>1585</v>
      </c>
      <c r="H200" s="82" t="s">
        <v>51</v>
      </c>
      <c r="I200" s="85" t="s">
        <v>90</v>
      </c>
      <c r="J200" s="85"/>
      <c r="K200" s="82"/>
      <c r="L200" s="82" t="s">
        <v>35</v>
      </c>
      <c r="M200" s="82" t="s">
        <v>37</v>
      </c>
      <c r="N200" s="82">
        <v>0</v>
      </c>
      <c r="O200" s="82"/>
      <c r="P200" s="82" t="s">
        <v>1603</v>
      </c>
      <c r="Q200" s="82"/>
      <c r="R200" s="82"/>
      <c r="S200" s="97"/>
      <c r="T200" s="97"/>
      <c r="X200" s="94"/>
      <c r="Y200" s="95"/>
      <c r="Z200" s="95"/>
      <c r="AA200" s="94"/>
      <c r="AB200" s="94"/>
      <c r="AC200" s="94"/>
      <c r="AD200" s="94"/>
      <c r="AE200" s="94"/>
      <c r="AF200" s="94"/>
      <c r="AS200" s="94"/>
      <c r="AT200" s="94"/>
      <c r="AU200" s="94"/>
      <c r="AV200" s="94"/>
      <c r="BB200" s="108">
        <f>Schäden_Einband!X200+Schäden_Buchblock!AC200</f>
        <v>0</v>
      </c>
      <c r="BC200" s="95"/>
    </row>
    <row r="201" spans="1:56" ht="46" x14ac:dyDescent="0.25">
      <c r="A201" s="82">
        <v>193</v>
      </c>
      <c r="B201" s="64" t="s">
        <v>509</v>
      </c>
      <c r="C201" s="64">
        <v>1066970416</v>
      </c>
      <c r="D201" s="84" t="str">
        <f t="shared" si="2"/>
        <v>https://portal.dnb.de/opac.htm?method=simpleSearch&amp;cqlMode=true&amp;query=idn%3D1066970416</v>
      </c>
      <c r="E201" s="64" t="s">
        <v>510</v>
      </c>
      <c r="F201" s="82" t="s">
        <v>89</v>
      </c>
      <c r="G201" s="85" t="s">
        <v>1585</v>
      </c>
      <c r="H201" s="82" t="s">
        <v>51</v>
      </c>
      <c r="I201" s="85" t="s">
        <v>86</v>
      </c>
      <c r="J201" s="85"/>
      <c r="K201" s="82"/>
      <c r="L201" s="82" t="s">
        <v>35</v>
      </c>
      <c r="M201" s="82" t="s">
        <v>37</v>
      </c>
      <c r="N201" s="82">
        <v>0</v>
      </c>
      <c r="O201" s="82"/>
      <c r="P201" s="82" t="s">
        <v>1603</v>
      </c>
      <c r="Q201" s="82"/>
      <c r="R201" s="82"/>
      <c r="S201" s="97"/>
      <c r="T201" s="97"/>
      <c r="X201" s="94"/>
      <c r="Y201" s="95"/>
      <c r="Z201" s="95"/>
      <c r="AA201" s="94"/>
      <c r="AB201" s="94"/>
      <c r="AC201" s="94"/>
      <c r="AD201" s="94"/>
      <c r="AE201" s="94"/>
      <c r="AF201" s="94"/>
      <c r="AS201" s="94"/>
      <c r="AT201" s="94"/>
      <c r="AU201" s="94"/>
      <c r="AV201" s="94"/>
      <c r="BB201" s="108">
        <f>Schäden_Einband!X201+Schäden_Buchblock!AC201</f>
        <v>0</v>
      </c>
      <c r="BC201" s="95"/>
    </row>
    <row r="202" spans="1:56" x14ac:dyDescent="0.25">
      <c r="A202" s="82">
        <v>194</v>
      </c>
      <c r="B202" s="64" t="s">
        <v>511</v>
      </c>
      <c r="C202" s="64">
        <v>1066970424</v>
      </c>
      <c r="D202" s="84" t="str">
        <f t="shared" ref="D202:D266" si="3">HYPERLINK(CONCATENATE("https://portal.dnb.de/opac.htm?method=simpleSearch&amp;cqlMode=true&amp;query=idn%3D",C202))</f>
        <v>https://portal.dnb.de/opac.htm?method=simpleSearch&amp;cqlMode=true&amp;query=idn%3D1066970424</v>
      </c>
      <c r="E202" s="64" t="s">
        <v>512</v>
      </c>
      <c r="F202" s="82"/>
      <c r="G202" s="85"/>
      <c r="H202" s="82"/>
      <c r="I202" s="85"/>
      <c r="J202" s="85"/>
      <c r="K202" s="82"/>
      <c r="L202" s="82"/>
      <c r="M202" s="82"/>
      <c r="N202" s="82"/>
      <c r="O202" s="82"/>
      <c r="P202" s="82"/>
      <c r="Q202" s="82"/>
      <c r="R202" s="82"/>
      <c r="S202" s="97"/>
      <c r="T202" s="97"/>
      <c r="X202" s="94"/>
      <c r="Y202" s="95"/>
      <c r="Z202" s="95"/>
      <c r="AA202" s="94"/>
      <c r="AB202" s="94"/>
      <c r="AC202" s="94"/>
      <c r="AD202" s="94"/>
      <c r="AE202" s="94"/>
      <c r="AF202" s="94"/>
      <c r="AS202" s="94"/>
      <c r="AT202" s="94"/>
      <c r="AU202" s="94"/>
      <c r="AV202" s="94"/>
      <c r="BB202" s="108">
        <f>Schäden_Einband!X202+Schäden_Buchblock!AC202</f>
        <v>0</v>
      </c>
      <c r="BC202" s="95"/>
    </row>
    <row r="203" spans="1:56" ht="46" x14ac:dyDescent="0.25">
      <c r="A203" s="82">
        <v>195</v>
      </c>
      <c r="B203" s="64" t="s">
        <v>513</v>
      </c>
      <c r="C203" s="64">
        <v>1066972540</v>
      </c>
      <c r="D203" s="84" t="str">
        <f t="shared" si="3"/>
        <v>https://portal.dnb.de/opac.htm?method=simpleSearch&amp;cqlMode=true&amp;query=idn%3D1066972540</v>
      </c>
      <c r="E203" s="64" t="s">
        <v>514</v>
      </c>
      <c r="F203" s="82" t="s">
        <v>89</v>
      </c>
      <c r="G203" s="85" t="s">
        <v>1585</v>
      </c>
      <c r="H203" s="82" t="s">
        <v>51</v>
      </c>
      <c r="I203" s="85" t="s">
        <v>90</v>
      </c>
      <c r="J203" s="85" t="s">
        <v>1612</v>
      </c>
      <c r="K203" s="82" t="s">
        <v>67</v>
      </c>
      <c r="L203" s="82" t="s">
        <v>35</v>
      </c>
      <c r="M203" s="82" t="s">
        <v>37</v>
      </c>
      <c r="N203" s="82">
        <v>2</v>
      </c>
      <c r="O203" s="82"/>
      <c r="P203" s="82"/>
      <c r="Q203" s="82"/>
      <c r="R203" s="82"/>
      <c r="S203" s="97"/>
      <c r="T203" s="97"/>
      <c r="X203" s="94"/>
      <c r="Y203" s="95"/>
      <c r="Z203" s="95"/>
      <c r="AA203" s="94"/>
      <c r="AB203" s="94"/>
      <c r="AC203" s="94"/>
      <c r="AD203" s="94"/>
      <c r="AE203" s="94"/>
      <c r="AF203" s="94"/>
      <c r="AS203" s="94"/>
      <c r="AT203" s="94"/>
      <c r="AU203" s="94"/>
      <c r="AV203" s="94"/>
      <c r="BB203" s="108">
        <f>Schäden_Einband!X203+Schäden_Buchblock!AC203</f>
        <v>0</v>
      </c>
      <c r="BC203" s="95"/>
    </row>
    <row r="204" spans="1:56" x14ac:dyDescent="0.25">
      <c r="A204" s="82">
        <v>196</v>
      </c>
      <c r="B204" s="64" t="s">
        <v>515</v>
      </c>
      <c r="C204" s="64">
        <v>1066969906</v>
      </c>
      <c r="D204" s="84" t="str">
        <f t="shared" si="3"/>
        <v>https://portal.dnb.de/opac.htm?method=simpleSearch&amp;cqlMode=true&amp;query=idn%3D1066969906</v>
      </c>
      <c r="E204" s="64" t="s">
        <v>516</v>
      </c>
      <c r="F204" s="82"/>
      <c r="G204" s="85"/>
      <c r="H204" s="82"/>
      <c r="I204" s="85"/>
      <c r="J204" s="85"/>
      <c r="K204" s="82"/>
      <c r="L204" s="82"/>
      <c r="M204" s="82"/>
      <c r="N204" s="82"/>
      <c r="O204" s="82"/>
      <c r="P204" s="82"/>
      <c r="Q204" s="82"/>
      <c r="R204" s="82"/>
      <c r="S204" s="97"/>
      <c r="T204" s="97"/>
      <c r="X204" s="94"/>
      <c r="Y204" s="95"/>
      <c r="Z204" s="95"/>
      <c r="AA204" s="94"/>
      <c r="AB204" s="94"/>
      <c r="AC204" s="94"/>
      <c r="AD204" s="94"/>
      <c r="AE204" s="94"/>
      <c r="AF204" s="94"/>
      <c r="AS204" s="94"/>
      <c r="AT204" s="94"/>
      <c r="AU204" s="94"/>
      <c r="AV204" s="94"/>
      <c r="BB204" s="108">
        <f>Schäden_Einband!X204+Schäden_Buchblock!AC204</f>
        <v>0</v>
      </c>
      <c r="BC204" s="95"/>
    </row>
    <row r="205" spans="1:56" ht="46" x14ac:dyDescent="0.25">
      <c r="A205" s="82">
        <v>197</v>
      </c>
      <c r="B205" s="64" t="s">
        <v>517</v>
      </c>
      <c r="C205" s="64" t="s">
        <v>518</v>
      </c>
      <c r="D205" s="84" t="str">
        <f t="shared" si="3"/>
        <v>https://portal.dnb.de/opac.htm?method=simpleSearch&amp;cqlMode=true&amp;query=idn%3D106697344X</v>
      </c>
      <c r="E205" s="64" t="s">
        <v>519</v>
      </c>
      <c r="F205" s="82" t="s">
        <v>89</v>
      </c>
      <c r="G205" s="85" t="s">
        <v>1585</v>
      </c>
      <c r="H205" s="82" t="s">
        <v>51</v>
      </c>
      <c r="I205" s="85" t="s">
        <v>90</v>
      </c>
      <c r="J205" s="85" t="s">
        <v>1606</v>
      </c>
      <c r="K205" s="82"/>
      <c r="L205" s="82" t="s">
        <v>35</v>
      </c>
      <c r="M205" s="82" t="s">
        <v>37</v>
      </c>
      <c r="N205" s="82">
        <v>3</v>
      </c>
      <c r="O205" s="82"/>
      <c r="P205" s="82"/>
      <c r="Q205" s="82"/>
      <c r="R205" s="82"/>
      <c r="S205" s="97"/>
      <c r="T205" s="97"/>
      <c r="X205" s="94"/>
      <c r="Y205" s="95"/>
      <c r="Z205" s="95"/>
      <c r="AA205" s="94"/>
      <c r="AB205" s="94"/>
      <c r="AC205" s="94"/>
      <c r="AD205" s="94"/>
      <c r="AE205" s="94"/>
      <c r="AF205" s="94"/>
      <c r="AS205" s="94"/>
      <c r="AT205" s="94"/>
      <c r="AU205" s="94"/>
      <c r="AV205" s="94"/>
      <c r="BB205" s="108">
        <f>Schäden_Einband!X205+Schäden_Buchblock!AC205</f>
        <v>0</v>
      </c>
      <c r="BC205" s="95"/>
    </row>
    <row r="206" spans="1:56" ht="23" x14ac:dyDescent="0.25">
      <c r="A206" s="82">
        <v>198</v>
      </c>
      <c r="B206" s="64" t="s">
        <v>520</v>
      </c>
      <c r="C206" s="64">
        <v>1066967385</v>
      </c>
      <c r="D206" s="84" t="str">
        <f t="shared" si="3"/>
        <v>https://portal.dnb.de/opac.htm?method=simpleSearch&amp;cqlMode=true&amp;query=idn%3D1066967385</v>
      </c>
      <c r="E206" s="64" t="s">
        <v>521</v>
      </c>
      <c r="F206" s="82"/>
      <c r="G206" s="85" t="s">
        <v>46</v>
      </c>
      <c r="H206" s="82" t="s">
        <v>51</v>
      </c>
      <c r="I206" s="85" t="s">
        <v>55</v>
      </c>
      <c r="J206" s="85" t="s">
        <v>81</v>
      </c>
      <c r="K206" s="82"/>
      <c r="L206" s="82" t="s">
        <v>35</v>
      </c>
      <c r="M206" s="82" t="s">
        <v>37</v>
      </c>
      <c r="N206" s="82">
        <v>0</v>
      </c>
      <c r="O206" s="82"/>
      <c r="P206" s="82"/>
      <c r="Q206" s="82"/>
      <c r="R206" s="82"/>
      <c r="S206" s="97"/>
      <c r="T206" s="97"/>
      <c r="X206" s="94"/>
      <c r="Y206" s="95"/>
      <c r="Z206" s="95"/>
      <c r="AA206" s="94"/>
      <c r="AB206" s="94"/>
      <c r="AC206" s="94"/>
      <c r="AD206" s="94"/>
      <c r="AE206" s="94"/>
      <c r="AF206" s="94"/>
      <c r="AS206" s="94"/>
      <c r="AT206" s="94"/>
      <c r="AU206" s="94"/>
      <c r="AV206" s="94"/>
      <c r="BB206" s="108">
        <f>Schäden_Einband!X206+Schäden_Buchblock!AC206</f>
        <v>0</v>
      </c>
      <c r="BC206" s="95"/>
    </row>
    <row r="207" spans="1:56" ht="23" x14ac:dyDescent="0.25">
      <c r="A207" s="82">
        <v>199</v>
      </c>
      <c r="B207" s="64" t="s">
        <v>522</v>
      </c>
      <c r="C207" s="64">
        <v>1066969353</v>
      </c>
      <c r="D207" s="84" t="str">
        <f t="shared" si="3"/>
        <v>https://portal.dnb.de/opac.htm?method=simpleSearch&amp;cqlMode=true&amp;query=idn%3D1066969353</v>
      </c>
      <c r="E207" s="64" t="s">
        <v>523</v>
      </c>
      <c r="F207" s="82" t="s">
        <v>89</v>
      </c>
      <c r="G207" s="85" t="s">
        <v>3</v>
      </c>
      <c r="H207" s="82" t="s">
        <v>50</v>
      </c>
      <c r="I207" s="85" t="s">
        <v>90</v>
      </c>
      <c r="J207" s="85" t="s">
        <v>1586</v>
      </c>
      <c r="K207" s="82" t="s">
        <v>67</v>
      </c>
      <c r="L207" s="82" t="s">
        <v>35</v>
      </c>
      <c r="M207" s="82" t="s">
        <v>37</v>
      </c>
      <c r="N207" s="82">
        <v>1</v>
      </c>
      <c r="O207" s="82"/>
      <c r="P207" s="82"/>
      <c r="Q207" s="82"/>
      <c r="R207" s="82"/>
      <c r="S207" s="97"/>
      <c r="T207" s="97"/>
      <c r="X207" s="94"/>
      <c r="Y207" s="95"/>
      <c r="Z207" s="95"/>
      <c r="AA207" s="94"/>
      <c r="AB207" s="94"/>
      <c r="AC207" s="94"/>
      <c r="AD207" s="94"/>
      <c r="AE207" s="94"/>
      <c r="AF207" s="94"/>
      <c r="AS207" s="94"/>
      <c r="AT207" s="94"/>
      <c r="AU207" s="94"/>
      <c r="AV207" s="94"/>
      <c r="BB207" s="108">
        <f>Schäden_Einband!X207+Schäden_Buchblock!AC207</f>
        <v>0</v>
      </c>
      <c r="BC207" s="95"/>
    </row>
    <row r="208" spans="1:56" x14ac:dyDescent="0.25">
      <c r="A208" s="82">
        <v>200</v>
      </c>
      <c r="B208" s="64" t="s">
        <v>524</v>
      </c>
      <c r="C208" s="64">
        <v>1066965765</v>
      </c>
      <c r="D208" s="84" t="str">
        <f t="shared" si="3"/>
        <v>https://portal.dnb.de/opac.htm?method=simpleSearch&amp;cqlMode=true&amp;query=idn%3D1066965765</v>
      </c>
      <c r="E208" s="64" t="s">
        <v>525</v>
      </c>
      <c r="F208" s="82" t="s">
        <v>89</v>
      </c>
      <c r="G208" s="85" t="s">
        <v>45</v>
      </c>
      <c r="H208" s="82" t="s">
        <v>50</v>
      </c>
      <c r="I208" s="85" t="s">
        <v>86</v>
      </c>
      <c r="J208" s="85" t="s">
        <v>60</v>
      </c>
      <c r="K208" s="82" t="s">
        <v>67</v>
      </c>
      <c r="L208" s="82" t="s">
        <v>35</v>
      </c>
      <c r="M208" s="82" t="s">
        <v>37</v>
      </c>
      <c r="N208" s="82">
        <v>0</v>
      </c>
      <c r="O208" s="82"/>
      <c r="P208" s="82"/>
      <c r="Q208" s="82"/>
      <c r="R208" s="82"/>
      <c r="S208" s="97"/>
      <c r="T208" s="97"/>
      <c r="X208" s="94"/>
      <c r="Y208" s="95"/>
      <c r="Z208" s="95"/>
      <c r="AA208" s="94"/>
      <c r="AB208" s="94"/>
      <c r="AC208" s="94"/>
      <c r="AD208" s="94"/>
      <c r="AE208" s="94"/>
      <c r="AF208" s="94"/>
      <c r="AS208" s="94"/>
      <c r="AT208" s="94"/>
      <c r="AU208" s="94"/>
      <c r="AV208" s="94"/>
      <c r="BB208" s="108">
        <f>Schäden_Einband!X208+Schäden_Buchblock!AC208</f>
        <v>0</v>
      </c>
      <c r="BC208" s="95"/>
    </row>
    <row r="209" spans="1:55" ht="23" x14ac:dyDescent="0.25">
      <c r="A209" s="82">
        <v>201</v>
      </c>
      <c r="B209" s="64" t="s">
        <v>526</v>
      </c>
      <c r="C209" s="64">
        <v>1066967644</v>
      </c>
      <c r="D209" s="84" t="str">
        <f t="shared" si="3"/>
        <v>https://portal.dnb.de/opac.htm?method=simpleSearch&amp;cqlMode=true&amp;query=idn%3D1066967644</v>
      </c>
      <c r="E209" s="64" t="s">
        <v>527</v>
      </c>
      <c r="F209" s="82" t="s">
        <v>89</v>
      </c>
      <c r="G209" s="85" t="s">
        <v>3</v>
      </c>
      <c r="H209" s="82" t="s">
        <v>50</v>
      </c>
      <c r="I209" s="85" t="s">
        <v>90</v>
      </c>
      <c r="J209" s="85" t="s">
        <v>1586</v>
      </c>
      <c r="K209" s="82" t="s">
        <v>67</v>
      </c>
      <c r="L209" s="82" t="s">
        <v>35</v>
      </c>
      <c r="M209" s="82" t="s">
        <v>37</v>
      </c>
      <c r="N209" s="82">
        <v>0</v>
      </c>
      <c r="O209" s="82"/>
      <c r="P209" s="82"/>
      <c r="Q209" s="82"/>
      <c r="R209" s="82"/>
      <c r="S209" s="97"/>
      <c r="T209" s="97"/>
      <c r="X209" s="94"/>
      <c r="Y209" s="95"/>
      <c r="Z209" s="95"/>
      <c r="AA209" s="94"/>
      <c r="AB209" s="94"/>
      <c r="AC209" s="94"/>
      <c r="AD209" s="94"/>
      <c r="AE209" s="94"/>
      <c r="AF209" s="94"/>
      <c r="AS209" s="94"/>
      <c r="AT209" s="94"/>
      <c r="AU209" s="94"/>
      <c r="AV209" s="94"/>
      <c r="BB209" s="108">
        <f>Schäden_Einband!X209+Schäden_Buchblock!AC209</f>
        <v>0</v>
      </c>
      <c r="BC209" s="95"/>
    </row>
    <row r="210" spans="1:55" ht="23" x14ac:dyDescent="0.25">
      <c r="A210" s="82">
        <v>202</v>
      </c>
      <c r="B210" s="64" t="s">
        <v>528</v>
      </c>
      <c r="C210" s="64">
        <v>1079553606</v>
      </c>
      <c r="D210" s="84" t="str">
        <f t="shared" si="3"/>
        <v>https://portal.dnb.de/opac.htm?method=simpleSearch&amp;cqlMode=true&amp;query=idn%3D1079553606</v>
      </c>
      <c r="E210" s="64" t="s">
        <v>529</v>
      </c>
      <c r="F210" s="82" t="s">
        <v>89</v>
      </c>
      <c r="G210" s="85" t="s">
        <v>4</v>
      </c>
      <c r="H210" s="82" t="s">
        <v>50</v>
      </c>
      <c r="I210" s="85" t="s">
        <v>90</v>
      </c>
      <c r="J210" s="85" t="s">
        <v>60</v>
      </c>
      <c r="K210" s="82" t="s">
        <v>67</v>
      </c>
      <c r="L210" s="82" t="s">
        <v>35</v>
      </c>
      <c r="M210" s="82" t="s">
        <v>37</v>
      </c>
      <c r="N210" s="82">
        <v>0</v>
      </c>
      <c r="O210" s="82"/>
      <c r="P210" s="82" t="s">
        <v>1603</v>
      </c>
      <c r="Q210" s="82"/>
      <c r="R210" s="82"/>
      <c r="S210" s="97"/>
      <c r="T210" s="97"/>
      <c r="X210" s="94"/>
      <c r="Y210" s="95"/>
      <c r="Z210" s="95"/>
      <c r="AA210" s="94"/>
      <c r="AB210" s="94"/>
      <c r="AC210" s="94"/>
      <c r="AD210" s="94"/>
      <c r="AE210" s="94"/>
      <c r="AF210" s="94"/>
      <c r="AS210" s="94"/>
      <c r="AT210" s="94"/>
      <c r="AU210" s="94"/>
      <c r="AV210" s="94"/>
      <c r="BB210" s="108">
        <f>Schäden_Einband!X210+Schäden_Buchblock!AC210</f>
        <v>0</v>
      </c>
      <c r="BC210" s="95"/>
    </row>
    <row r="211" spans="1:55" ht="46" x14ac:dyDescent="0.25">
      <c r="A211" s="82">
        <v>203</v>
      </c>
      <c r="B211" s="64" t="s">
        <v>530</v>
      </c>
      <c r="C211" s="64">
        <v>1072057565</v>
      </c>
      <c r="D211" s="84" t="str">
        <f t="shared" si="3"/>
        <v>https://portal.dnb.de/opac.htm?method=simpleSearch&amp;cqlMode=true&amp;query=idn%3D1072057565</v>
      </c>
      <c r="E211" s="64" t="s">
        <v>531</v>
      </c>
      <c r="F211" s="82" t="s">
        <v>89</v>
      </c>
      <c r="G211" s="85" t="s">
        <v>1585</v>
      </c>
      <c r="H211" s="82" t="s">
        <v>51</v>
      </c>
      <c r="I211" s="85" t="s">
        <v>86</v>
      </c>
      <c r="J211" s="85" t="s">
        <v>60</v>
      </c>
      <c r="K211" s="82" t="s">
        <v>67</v>
      </c>
      <c r="L211" s="82" t="s">
        <v>35</v>
      </c>
      <c r="M211" s="82" t="s">
        <v>37</v>
      </c>
      <c r="N211" s="82">
        <v>0</v>
      </c>
      <c r="O211" s="82"/>
      <c r="P211" s="82" t="s">
        <v>1603</v>
      </c>
      <c r="Q211" s="82"/>
      <c r="R211" s="82"/>
      <c r="S211" s="97"/>
      <c r="T211" s="97"/>
      <c r="X211" s="94"/>
      <c r="Y211" s="95"/>
      <c r="Z211" s="95"/>
      <c r="AA211" s="94"/>
      <c r="AB211" s="94"/>
      <c r="AC211" s="94"/>
      <c r="AD211" s="94"/>
      <c r="AE211" s="94"/>
      <c r="AF211" s="94"/>
      <c r="AS211" s="94"/>
      <c r="AT211" s="94"/>
      <c r="AU211" s="94"/>
      <c r="AV211" s="94"/>
      <c r="BB211" s="108">
        <f>Schäden_Einband!X211+Schäden_Buchblock!AC211</f>
        <v>0</v>
      </c>
      <c r="BC211" s="95"/>
    </row>
    <row r="212" spans="1:55" ht="46" x14ac:dyDescent="0.25">
      <c r="A212" s="82">
        <v>204</v>
      </c>
      <c r="B212" s="64" t="s">
        <v>532</v>
      </c>
      <c r="C212" s="64">
        <v>1066970262</v>
      </c>
      <c r="D212" s="84" t="str">
        <f t="shared" si="3"/>
        <v>https://portal.dnb.de/opac.htm?method=simpleSearch&amp;cqlMode=true&amp;query=idn%3D1066970262</v>
      </c>
      <c r="E212" s="64" t="s">
        <v>533</v>
      </c>
      <c r="F212" s="82" t="s">
        <v>89</v>
      </c>
      <c r="G212" s="85" t="s">
        <v>1584</v>
      </c>
      <c r="H212" s="82" t="s">
        <v>51</v>
      </c>
      <c r="I212" s="85" t="s">
        <v>90</v>
      </c>
      <c r="J212" s="85" t="s">
        <v>1631</v>
      </c>
      <c r="K212" s="82" t="s">
        <v>67</v>
      </c>
      <c r="L212" s="82" t="s">
        <v>35</v>
      </c>
      <c r="M212" s="82" t="s">
        <v>37</v>
      </c>
      <c r="N212" s="82">
        <v>3</v>
      </c>
      <c r="O212" s="82"/>
      <c r="P212" s="82"/>
      <c r="Q212" s="82"/>
      <c r="R212" s="82"/>
      <c r="S212" s="97"/>
      <c r="T212" s="97"/>
      <c r="X212" s="94"/>
      <c r="Y212" s="95"/>
      <c r="Z212" s="95"/>
      <c r="AA212" s="94"/>
      <c r="AB212" s="94"/>
      <c r="AC212" s="94"/>
      <c r="AD212" s="94"/>
      <c r="AE212" s="94"/>
      <c r="AF212" s="94"/>
      <c r="AS212" s="94"/>
      <c r="AT212" s="94"/>
      <c r="AU212" s="94"/>
      <c r="AV212" s="94"/>
      <c r="BB212" s="108">
        <f>Schäden_Einband!X212+Schäden_Buchblock!AC212</f>
        <v>0</v>
      </c>
      <c r="BC212" s="95"/>
    </row>
    <row r="213" spans="1:55" ht="23" x14ac:dyDescent="0.25">
      <c r="A213" s="82">
        <v>205</v>
      </c>
      <c r="B213" s="64" t="s">
        <v>534</v>
      </c>
      <c r="C213" s="64">
        <v>1066970610</v>
      </c>
      <c r="D213" s="84" t="str">
        <f t="shared" si="3"/>
        <v>https://portal.dnb.de/opac.htm?method=simpleSearch&amp;cqlMode=true&amp;query=idn%3D1066970610</v>
      </c>
      <c r="E213" s="64" t="s">
        <v>535</v>
      </c>
      <c r="F213" s="82" t="s">
        <v>89</v>
      </c>
      <c r="G213" s="85" t="s">
        <v>3</v>
      </c>
      <c r="H213" s="82" t="s">
        <v>52</v>
      </c>
      <c r="I213" s="85" t="s">
        <v>90</v>
      </c>
      <c r="J213" s="85" t="s">
        <v>1583</v>
      </c>
      <c r="K213" s="82" t="s">
        <v>67</v>
      </c>
      <c r="L213" s="82"/>
      <c r="M213" s="82" t="s">
        <v>101</v>
      </c>
      <c r="N213" s="82">
        <v>1</v>
      </c>
      <c r="O213" s="82"/>
      <c r="P213" s="82"/>
      <c r="Q213" s="82"/>
      <c r="R213" s="82"/>
      <c r="S213" s="97"/>
      <c r="T213" s="97"/>
      <c r="X213" s="94"/>
      <c r="Y213" s="95"/>
      <c r="Z213" s="95"/>
      <c r="AA213" s="94"/>
      <c r="AB213" s="94"/>
      <c r="AC213" s="94"/>
      <c r="AD213" s="94"/>
      <c r="AE213" s="94"/>
      <c r="AF213" s="94"/>
      <c r="AS213" s="94"/>
      <c r="AT213" s="94"/>
      <c r="AU213" s="94"/>
      <c r="AV213" s="94"/>
      <c r="BB213" s="108">
        <f>Schäden_Einband!X213+Schäden_Buchblock!AC213</f>
        <v>0</v>
      </c>
      <c r="BC213" s="95"/>
    </row>
    <row r="214" spans="1:55" ht="23" x14ac:dyDescent="0.25">
      <c r="A214" s="82">
        <v>206</v>
      </c>
      <c r="B214" s="64" t="s">
        <v>536</v>
      </c>
      <c r="C214" s="64">
        <v>1066970165</v>
      </c>
      <c r="D214" s="84" t="str">
        <f t="shared" si="3"/>
        <v>https://portal.dnb.de/opac.htm?method=simpleSearch&amp;cqlMode=true&amp;query=idn%3D1066970165</v>
      </c>
      <c r="E214" s="64" t="s">
        <v>537</v>
      </c>
      <c r="F214" s="82" t="s">
        <v>89</v>
      </c>
      <c r="G214" s="85" t="s">
        <v>5</v>
      </c>
      <c r="H214" s="82" t="s">
        <v>50</v>
      </c>
      <c r="I214" s="85" t="s">
        <v>90</v>
      </c>
      <c r="J214" s="85" t="s">
        <v>1583</v>
      </c>
      <c r="K214" s="82" t="s">
        <v>67</v>
      </c>
      <c r="L214" s="82" t="s">
        <v>35</v>
      </c>
      <c r="M214" s="82" t="s">
        <v>37</v>
      </c>
      <c r="N214" s="82">
        <v>1</v>
      </c>
      <c r="O214" s="82"/>
      <c r="P214" s="82"/>
      <c r="Q214" s="82"/>
      <c r="R214" s="82"/>
      <c r="S214" s="97"/>
      <c r="T214" s="97"/>
      <c r="X214" s="94"/>
      <c r="Y214" s="95"/>
      <c r="Z214" s="95"/>
      <c r="AA214" s="94"/>
      <c r="AB214" s="94"/>
      <c r="AC214" s="94"/>
      <c r="AD214" s="94"/>
      <c r="AE214" s="94"/>
      <c r="AF214" s="94"/>
      <c r="AS214" s="94"/>
      <c r="AT214" s="94"/>
      <c r="AU214" s="94"/>
      <c r="AV214" s="94"/>
      <c r="BB214" s="108">
        <f>Schäden_Einband!X214+Schäden_Buchblock!AC214</f>
        <v>0</v>
      </c>
      <c r="BC214" s="95"/>
    </row>
    <row r="215" spans="1:55" ht="23" x14ac:dyDescent="0.25">
      <c r="A215" s="82">
        <v>207</v>
      </c>
      <c r="B215" s="64" t="s">
        <v>538</v>
      </c>
      <c r="C215" s="64">
        <v>1066965617</v>
      </c>
      <c r="D215" s="84" t="str">
        <f t="shared" si="3"/>
        <v>https://portal.dnb.de/opac.htm?method=simpleSearch&amp;cqlMode=true&amp;query=idn%3D1066965617</v>
      </c>
      <c r="E215" s="64" t="s">
        <v>539</v>
      </c>
      <c r="F215" s="82" t="s">
        <v>89</v>
      </c>
      <c r="G215" s="85" t="s">
        <v>3</v>
      </c>
      <c r="H215" s="82" t="s">
        <v>51</v>
      </c>
      <c r="I215" s="85" t="s">
        <v>90</v>
      </c>
      <c r="J215" s="85" t="s">
        <v>94</v>
      </c>
      <c r="K215" s="82"/>
      <c r="L215" s="82" t="s">
        <v>35</v>
      </c>
      <c r="M215" s="82" t="s">
        <v>37</v>
      </c>
      <c r="N215" s="82">
        <v>1</v>
      </c>
      <c r="O215" s="82"/>
      <c r="P215" s="82"/>
      <c r="Q215" s="82"/>
      <c r="R215" s="82"/>
      <c r="S215" s="97"/>
      <c r="T215" s="97"/>
      <c r="X215" s="94"/>
      <c r="Y215" s="95"/>
      <c r="Z215" s="95"/>
      <c r="AA215" s="94"/>
      <c r="AB215" s="94"/>
      <c r="AC215" s="94"/>
      <c r="AD215" s="94"/>
      <c r="AE215" s="94"/>
      <c r="AF215" s="94"/>
      <c r="AS215" s="94"/>
      <c r="AT215" s="94"/>
      <c r="AU215" s="94"/>
      <c r="AV215" s="94"/>
      <c r="BB215" s="108">
        <f>Schäden_Einband!X215+Schäden_Buchblock!AC215</f>
        <v>0</v>
      </c>
      <c r="BC215" s="95"/>
    </row>
    <row r="216" spans="1:55" ht="23" x14ac:dyDescent="0.25">
      <c r="A216" s="82">
        <v>208</v>
      </c>
      <c r="B216" s="64" t="s">
        <v>540</v>
      </c>
      <c r="C216" s="64">
        <v>1066965064</v>
      </c>
      <c r="D216" s="84" t="str">
        <f t="shared" si="3"/>
        <v>https://portal.dnb.de/opac.htm?method=simpleSearch&amp;cqlMode=true&amp;query=idn%3D1066965064</v>
      </c>
      <c r="E216" s="64" t="s">
        <v>541</v>
      </c>
      <c r="F216" s="82" t="s">
        <v>89</v>
      </c>
      <c r="G216" s="85" t="s">
        <v>45</v>
      </c>
      <c r="H216" s="82" t="s">
        <v>50</v>
      </c>
      <c r="I216" s="85" t="s">
        <v>90</v>
      </c>
      <c r="J216" s="85"/>
      <c r="K216" s="82"/>
      <c r="L216" s="82" t="s">
        <v>35</v>
      </c>
      <c r="M216" s="82" t="s">
        <v>37</v>
      </c>
      <c r="N216" s="82">
        <v>0</v>
      </c>
      <c r="O216" s="82"/>
      <c r="P216" s="82" t="s">
        <v>1603</v>
      </c>
      <c r="Q216" s="82"/>
      <c r="R216" s="82"/>
      <c r="S216" s="97"/>
      <c r="T216" s="97"/>
      <c r="X216" s="94"/>
      <c r="Y216" s="95"/>
      <c r="Z216" s="95"/>
      <c r="AA216" s="94"/>
      <c r="AB216" s="94"/>
      <c r="AC216" s="94"/>
      <c r="AD216" s="94"/>
      <c r="AE216" s="94"/>
      <c r="AF216" s="94"/>
      <c r="AS216" s="94"/>
      <c r="AT216" s="94"/>
      <c r="AU216" s="94"/>
      <c r="AV216" s="94"/>
      <c r="BB216" s="108">
        <f>Schäden_Einband!X216+Schäden_Buchblock!AC216</f>
        <v>0</v>
      </c>
      <c r="BC216" s="95"/>
    </row>
    <row r="217" spans="1:55" ht="46" x14ac:dyDescent="0.25">
      <c r="A217" s="82">
        <v>209</v>
      </c>
      <c r="B217" s="64" t="s">
        <v>542</v>
      </c>
      <c r="C217" s="64">
        <v>1072318075</v>
      </c>
      <c r="D217" s="84" t="str">
        <f t="shared" si="3"/>
        <v>https://portal.dnb.de/opac.htm?method=simpleSearch&amp;cqlMode=true&amp;query=idn%3D1072318075</v>
      </c>
      <c r="E217" s="64" t="s">
        <v>543</v>
      </c>
      <c r="F217" s="82" t="s">
        <v>89</v>
      </c>
      <c r="G217" s="85" t="s">
        <v>1584</v>
      </c>
      <c r="H217" s="82" t="s">
        <v>51</v>
      </c>
      <c r="I217" s="85" t="s">
        <v>90</v>
      </c>
      <c r="J217" s="85" t="s">
        <v>1632</v>
      </c>
      <c r="K217" s="82" t="s">
        <v>67</v>
      </c>
      <c r="L217" s="82" t="s">
        <v>35</v>
      </c>
      <c r="M217" s="82" t="s">
        <v>37</v>
      </c>
      <c r="N217" s="82">
        <v>3</v>
      </c>
      <c r="O217" s="82"/>
      <c r="P217" s="82"/>
      <c r="Q217" s="82"/>
      <c r="R217" s="82"/>
      <c r="S217" s="97"/>
      <c r="T217" s="97"/>
      <c r="X217" s="94"/>
      <c r="Y217" s="95"/>
      <c r="Z217" s="95"/>
      <c r="AA217" s="94"/>
      <c r="AB217" s="94"/>
      <c r="AC217" s="94"/>
      <c r="AD217" s="94"/>
      <c r="AE217" s="94"/>
      <c r="AF217" s="94"/>
      <c r="AS217" s="94"/>
      <c r="AT217" s="94"/>
      <c r="AU217" s="94"/>
      <c r="AV217" s="94"/>
      <c r="BB217" s="108">
        <f>Schäden_Einband!X217+Schäden_Buchblock!AC217</f>
        <v>0</v>
      </c>
      <c r="BC217" s="95"/>
    </row>
    <row r="218" spans="1:55" ht="46" x14ac:dyDescent="0.25">
      <c r="A218" s="82">
        <v>210</v>
      </c>
      <c r="B218" s="64" t="s">
        <v>544</v>
      </c>
      <c r="C218" s="64">
        <v>1066965609</v>
      </c>
      <c r="D218" s="84" t="str">
        <f t="shared" si="3"/>
        <v>https://portal.dnb.de/opac.htm?method=simpleSearch&amp;cqlMode=true&amp;query=idn%3D1066965609</v>
      </c>
      <c r="E218" s="64" t="s">
        <v>545</v>
      </c>
      <c r="F218" s="82" t="s">
        <v>89</v>
      </c>
      <c r="G218" s="85" t="s">
        <v>1584</v>
      </c>
      <c r="H218" s="82" t="s">
        <v>52</v>
      </c>
      <c r="I218" s="85" t="s">
        <v>86</v>
      </c>
      <c r="J218" s="85" t="s">
        <v>94</v>
      </c>
      <c r="K218" s="82"/>
      <c r="L218" s="82"/>
      <c r="M218" s="82" t="s">
        <v>101</v>
      </c>
      <c r="N218" s="82">
        <v>0</v>
      </c>
      <c r="O218" s="82"/>
      <c r="P218" s="82" t="s">
        <v>1639</v>
      </c>
      <c r="Q218" s="82"/>
      <c r="R218" s="82"/>
      <c r="S218" s="97"/>
      <c r="T218" s="97"/>
      <c r="X218" s="94"/>
      <c r="Y218" s="95"/>
      <c r="Z218" s="95"/>
      <c r="AA218" s="94"/>
      <c r="AB218" s="94"/>
      <c r="AC218" s="94"/>
      <c r="AD218" s="94"/>
      <c r="AE218" s="94"/>
      <c r="AF218" s="94"/>
      <c r="AS218" s="94"/>
      <c r="AT218" s="94"/>
      <c r="AU218" s="94"/>
      <c r="AV218" s="94"/>
      <c r="BB218" s="108">
        <f>Schäden_Einband!X218+Schäden_Buchblock!AC218</f>
        <v>0</v>
      </c>
      <c r="BC218" s="95"/>
    </row>
    <row r="219" spans="1:55" x14ac:dyDescent="0.25">
      <c r="A219" s="82">
        <v>211</v>
      </c>
      <c r="B219" s="64" t="s">
        <v>546</v>
      </c>
      <c r="C219" s="64">
        <v>1066964874</v>
      </c>
      <c r="D219" s="84" t="str">
        <f t="shared" si="3"/>
        <v>https://portal.dnb.de/opac.htm?method=simpleSearch&amp;cqlMode=true&amp;query=idn%3D1066964874</v>
      </c>
      <c r="E219" s="64" t="s">
        <v>547</v>
      </c>
      <c r="F219" s="82"/>
      <c r="G219" s="85"/>
      <c r="H219" s="82"/>
      <c r="I219" s="85"/>
      <c r="J219" s="85"/>
      <c r="K219" s="82"/>
      <c r="L219" s="82"/>
      <c r="M219" s="82"/>
      <c r="N219" s="82"/>
      <c r="O219" s="82"/>
      <c r="P219" s="82"/>
      <c r="Q219" s="82"/>
      <c r="R219" s="82"/>
      <c r="S219" s="97"/>
      <c r="T219" s="97"/>
      <c r="X219" s="94"/>
      <c r="Y219" s="95"/>
      <c r="Z219" s="95"/>
      <c r="AA219" s="94"/>
      <c r="AB219" s="94"/>
      <c r="AC219" s="94"/>
      <c r="AD219" s="94"/>
      <c r="AE219" s="94"/>
      <c r="AF219" s="94"/>
      <c r="AS219" s="94"/>
      <c r="AT219" s="94"/>
      <c r="AU219" s="94"/>
      <c r="AV219" s="94"/>
      <c r="BB219" s="108">
        <f>Schäden_Einband!X219+Schäden_Buchblock!AC219</f>
        <v>0</v>
      </c>
      <c r="BC219" s="95"/>
    </row>
    <row r="220" spans="1:55" x14ac:dyDescent="0.25">
      <c r="A220" s="82">
        <v>212</v>
      </c>
      <c r="B220" s="64" t="s">
        <v>548</v>
      </c>
      <c r="C220" s="64">
        <v>1066968373</v>
      </c>
      <c r="D220" s="84" t="str">
        <f t="shared" si="3"/>
        <v>https://portal.dnb.de/opac.htm?method=simpleSearch&amp;cqlMode=true&amp;query=idn%3D1066968373</v>
      </c>
      <c r="E220" s="64" t="s">
        <v>549</v>
      </c>
      <c r="F220" s="82"/>
      <c r="G220" s="85"/>
      <c r="H220" s="82"/>
      <c r="I220" s="85"/>
      <c r="J220" s="85"/>
      <c r="K220" s="82"/>
      <c r="L220" s="82"/>
      <c r="M220" s="82"/>
      <c r="N220" s="82"/>
      <c r="O220" s="82"/>
      <c r="P220" s="82"/>
      <c r="Q220" s="82"/>
      <c r="R220" s="82"/>
      <c r="S220" s="97"/>
      <c r="T220" s="97"/>
      <c r="X220" s="94"/>
      <c r="Y220" s="95"/>
      <c r="Z220" s="95"/>
      <c r="AA220" s="94"/>
      <c r="AB220" s="94"/>
      <c r="AC220" s="94"/>
      <c r="AD220" s="94"/>
      <c r="AE220" s="94"/>
      <c r="AF220" s="94"/>
      <c r="AS220" s="94"/>
      <c r="AT220" s="94"/>
      <c r="AU220" s="94"/>
      <c r="AV220" s="94"/>
      <c r="BB220" s="108">
        <f>Schäden_Einband!X220+Schäden_Buchblock!AC220</f>
        <v>0</v>
      </c>
      <c r="BC220" s="95"/>
    </row>
    <row r="221" spans="1:55" x14ac:dyDescent="0.25">
      <c r="A221" s="82">
        <v>213</v>
      </c>
      <c r="B221" s="64" t="s">
        <v>550</v>
      </c>
      <c r="C221" s="64">
        <v>1066971706</v>
      </c>
      <c r="D221" s="84" t="str">
        <f t="shared" si="3"/>
        <v>https://portal.dnb.de/opac.htm?method=simpleSearch&amp;cqlMode=true&amp;query=idn%3D1066971706</v>
      </c>
      <c r="E221" s="64" t="s">
        <v>551</v>
      </c>
      <c r="F221" s="82"/>
      <c r="G221" s="85"/>
      <c r="H221" s="82"/>
      <c r="I221" s="85"/>
      <c r="J221" s="85"/>
      <c r="K221" s="82"/>
      <c r="L221" s="82"/>
      <c r="M221" s="82"/>
      <c r="N221" s="82"/>
      <c r="O221" s="82"/>
      <c r="P221" s="82"/>
      <c r="Q221" s="82"/>
      <c r="R221" s="82"/>
      <c r="S221" s="97"/>
      <c r="T221" s="97"/>
      <c r="X221" s="94"/>
      <c r="Y221" s="95"/>
      <c r="Z221" s="95"/>
      <c r="AA221" s="94"/>
      <c r="AB221" s="94"/>
      <c r="AC221" s="94"/>
      <c r="AD221" s="94"/>
      <c r="AE221" s="94"/>
      <c r="AF221" s="94"/>
      <c r="AS221" s="94"/>
      <c r="AT221" s="94"/>
      <c r="AU221" s="94"/>
      <c r="AV221" s="94"/>
      <c r="BB221" s="108">
        <f>Schäden_Einband!X221+Schäden_Buchblock!AC221</f>
        <v>0</v>
      </c>
      <c r="BC221" s="95"/>
    </row>
    <row r="222" spans="1:55" ht="46" x14ac:dyDescent="0.25">
      <c r="A222" s="82">
        <v>214</v>
      </c>
      <c r="B222" s="64" t="s">
        <v>552</v>
      </c>
      <c r="C222" s="64">
        <v>1066966826</v>
      </c>
      <c r="D222" s="84" t="str">
        <f t="shared" si="3"/>
        <v>https://portal.dnb.de/opac.htm?method=simpleSearch&amp;cqlMode=true&amp;query=idn%3D1066966826</v>
      </c>
      <c r="E222" s="64" t="s">
        <v>553</v>
      </c>
      <c r="F222" s="82" t="s">
        <v>1633</v>
      </c>
      <c r="G222" s="85" t="s">
        <v>1585</v>
      </c>
      <c r="H222" s="82" t="s">
        <v>50</v>
      </c>
      <c r="I222" s="85" t="s">
        <v>90</v>
      </c>
      <c r="J222" s="85" t="s">
        <v>1583</v>
      </c>
      <c r="K222" s="82" t="s">
        <v>67</v>
      </c>
      <c r="L222" s="82" t="s">
        <v>35</v>
      </c>
      <c r="M222" s="82" t="s">
        <v>37</v>
      </c>
      <c r="N222" s="82">
        <v>1</v>
      </c>
      <c r="O222" s="82"/>
      <c r="P222" s="82"/>
      <c r="Q222" s="82"/>
      <c r="R222" s="82"/>
      <c r="S222" s="97"/>
      <c r="T222" s="97"/>
      <c r="X222" s="94"/>
      <c r="Y222" s="95"/>
      <c r="Z222" s="95"/>
      <c r="AA222" s="94"/>
      <c r="AB222" s="94"/>
      <c r="AC222" s="94"/>
      <c r="AD222" s="94"/>
      <c r="AE222" s="94"/>
      <c r="AF222" s="94"/>
      <c r="AS222" s="94"/>
      <c r="AT222" s="94"/>
      <c r="AU222" s="94"/>
      <c r="AV222" s="94"/>
      <c r="BB222" s="108">
        <f>Schäden_Einband!X222+Schäden_Buchblock!AC222</f>
        <v>0</v>
      </c>
      <c r="BC222" s="95"/>
    </row>
    <row r="223" spans="1:55" ht="23" x14ac:dyDescent="0.25">
      <c r="A223" s="82">
        <v>215</v>
      </c>
      <c r="B223" s="64" t="s">
        <v>554</v>
      </c>
      <c r="C223" s="64">
        <v>1066965102</v>
      </c>
      <c r="D223" s="84" t="str">
        <f t="shared" si="3"/>
        <v>https://portal.dnb.de/opac.htm?method=simpleSearch&amp;cqlMode=true&amp;query=idn%3D1066965102</v>
      </c>
      <c r="E223" s="64" t="s">
        <v>555</v>
      </c>
      <c r="F223" s="82" t="s">
        <v>1633</v>
      </c>
      <c r="G223" s="85" t="s">
        <v>45</v>
      </c>
      <c r="H223" s="82" t="s">
        <v>50</v>
      </c>
      <c r="I223" s="85" t="s">
        <v>90</v>
      </c>
      <c r="J223" s="85" t="s">
        <v>60</v>
      </c>
      <c r="K223" s="82" t="s">
        <v>67</v>
      </c>
      <c r="L223" s="82" t="s">
        <v>35</v>
      </c>
      <c r="M223" s="82" t="s">
        <v>37</v>
      </c>
      <c r="N223" s="82">
        <v>0</v>
      </c>
      <c r="O223" s="82"/>
      <c r="P223" s="82"/>
      <c r="Q223" s="82"/>
      <c r="R223" s="82"/>
      <c r="S223" s="97"/>
      <c r="T223" s="97"/>
      <c r="X223" s="94"/>
      <c r="Y223" s="95"/>
      <c r="Z223" s="95"/>
      <c r="AA223" s="94"/>
      <c r="AB223" s="94"/>
      <c r="AC223" s="94"/>
      <c r="AD223" s="94"/>
      <c r="AE223" s="94"/>
      <c r="AF223" s="94"/>
      <c r="AS223" s="94"/>
      <c r="AT223" s="94"/>
      <c r="AU223" s="94"/>
      <c r="AV223" s="94"/>
      <c r="BB223" s="108">
        <f>Schäden_Einband!X223+Schäden_Buchblock!AC223</f>
        <v>0</v>
      </c>
      <c r="BC223" s="95"/>
    </row>
    <row r="224" spans="1:55" ht="46" x14ac:dyDescent="0.25">
      <c r="A224" s="82">
        <v>216</v>
      </c>
      <c r="B224" s="64" t="s">
        <v>556</v>
      </c>
      <c r="C224" s="64">
        <v>1066965110</v>
      </c>
      <c r="D224" s="84" t="str">
        <f t="shared" si="3"/>
        <v>https://portal.dnb.de/opac.htm?method=simpleSearch&amp;cqlMode=true&amp;query=idn%3D1066965110</v>
      </c>
      <c r="E224" s="64" t="s">
        <v>557</v>
      </c>
      <c r="F224" s="82" t="s">
        <v>1633</v>
      </c>
      <c r="G224" s="85" t="s">
        <v>1585</v>
      </c>
      <c r="H224" s="82" t="s">
        <v>50</v>
      </c>
      <c r="I224" s="85" t="s">
        <v>90</v>
      </c>
      <c r="J224" s="85" t="s">
        <v>1586</v>
      </c>
      <c r="K224" s="82" t="s">
        <v>67</v>
      </c>
      <c r="L224" s="82" t="s">
        <v>35</v>
      </c>
      <c r="M224" s="82" t="s">
        <v>37</v>
      </c>
      <c r="N224" s="82">
        <v>0</v>
      </c>
      <c r="O224" s="82"/>
      <c r="P224" s="82"/>
      <c r="Q224" s="82"/>
      <c r="R224" s="82"/>
      <c r="S224" s="97"/>
      <c r="T224" s="97"/>
      <c r="X224" s="94"/>
      <c r="Y224" s="95"/>
      <c r="Z224" s="95"/>
      <c r="AA224" s="94"/>
      <c r="AB224" s="94"/>
      <c r="AC224" s="94"/>
      <c r="AD224" s="94"/>
      <c r="AE224" s="94"/>
      <c r="AF224" s="94"/>
      <c r="AS224" s="94"/>
      <c r="AT224" s="94"/>
      <c r="AU224" s="94"/>
      <c r="AV224" s="94"/>
      <c r="BB224" s="108">
        <f>Schäden_Einband!X224+Schäden_Buchblock!AC224</f>
        <v>0</v>
      </c>
      <c r="BC224" s="95"/>
    </row>
    <row r="225" spans="1:55" x14ac:dyDescent="0.25">
      <c r="A225" s="82">
        <v>217</v>
      </c>
      <c r="B225" s="64" t="s">
        <v>558</v>
      </c>
      <c r="C225" s="64">
        <v>1072057948</v>
      </c>
      <c r="D225" s="84" t="str">
        <f t="shared" si="3"/>
        <v>https://portal.dnb.de/opac.htm?method=simpleSearch&amp;cqlMode=true&amp;query=idn%3D1072057948</v>
      </c>
      <c r="E225" s="64" t="s">
        <v>559</v>
      </c>
      <c r="F225" s="82"/>
      <c r="G225" s="85"/>
      <c r="H225" s="82"/>
      <c r="I225" s="85"/>
      <c r="J225" s="85"/>
      <c r="K225" s="82"/>
      <c r="L225" s="82"/>
      <c r="M225" s="82"/>
      <c r="N225" s="82"/>
      <c r="O225" s="82"/>
      <c r="P225" s="82"/>
      <c r="Q225" s="82"/>
      <c r="R225" s="82"/>
      <c r="S225" s="97"/>
      <c r="T225" s="97"/>
      <c r="X225" s="94"/>
      <c r="Y225" s="95"/>
      <c r="Z225" s="95"/>
      <c r="AA225" s="94"/>
      <c r="AB225" s="94"/>
      <c r="AC225" s="94"/>
      <c r="AD225" s="94"/>
      <c r="AE225" s="94"/>
      <c r="AF225" s="94"/>
      <c r="AS225" s="94"/>
      <c r="AT225" s="94"/>
      <c r="AU225" s="94"/>
      <c r="AV225" s="94"/>
      <c r="BB225" s="108">
        <f>Schäden_Einband!X225+Schäden_Buchblock!AC225</f>
        <v>0</v>
      </c>
      <c r="BC225" s="95"/>
    </row>
    <row r="226" spans="1:55" x14ac:dyDescent="0.25">
      <c r="A226" s="82">
        <v>218</v>
      </c>
      <c r="B226" s="64" t="s">
        <v>560</v>
      </c>
      <c r="C226" s="64">
        <v>1066972478</v>
      </c>
      <c r="D226" s="84" t="str">
        <f t="shared" si="3"/>
        <v>https://portal.dnb.de/opac.htm?method=simpleSearch&amp;cqlMode=true&amp;query=idn%3D1066972478</v>
      </c>
      <c r="E226" s="64" t="s">
        <v>561</v>
      </c>
      <c r="F226" s="82"/>
      <c r="G226" s="85"/>
      <c r="H226" s="82"/>
      <c r="I226" s="85"/>
      <c r="J226" s="85"/>
      <c r="K226" s="82"/>
      <c r="L226" s="82"/>
      <c r="M226" s="82"/>
      <c r="N226" s="82"/>
      <c r="O226" s="82"/>
      <c r="P226" s="82"/>
      <c r="Q226" s="82"/>
      <c r="R226" s="82"/>
      <c r="S226" s="97"/>
      <c r="T226" s="97"/>
      <c r="X226" s="94"/>
      <c r="Y226" s="95"/>
      <c r="Z226" s="95"/>
      <c r="AA226" s="94"/>
      <c r="AB226" s="94"/>
      <c r="AC226" s="94"/>
      <c r="AD226" s="94"/>
      <c r="AE226" s="94"/>
      <c r="AF226" s="94"/>
      <c r="AS226" s="94"/>
      <c r="AT226" s="94"/>
      <c r="AU226" s="94"/>
      <c r="AV226" s="94"/>
      <c r="BB226" s="108">
        <f>Schäden_Einband!X226+Schäden_Buchblock!AC226</f>
        <v>0</v>
      </c>
      <c r="BC226" s="95"/>
    </row>
    <row r="227" spans="1:55" ht="46" x14ac:dyDescent="0.25">
      <c r="A227" s="82">
        <v>219</v>
      </c>
      <c r="B227" s="64" t="s">
        <v>562</v>
      </c>
      <c r="C227" s="64">
        <v>1066969000</v>
      </c>
      <c r="D227" s="84" t="str">
        <f t="shared" si="3"/>
        <v>https://portal.dnb.de/opac.htm?method=simpleSearch&amp;cqlMode=true&amp;query=idn%3D1066969000</v>
      </c>
      <c r="E227" s="64" t="s">
        <v>563</v>
      </c>
      <c r="F227" s="82"/>
      <c r="G227" s="85" t="s">
        <v>1585</v>
      </c>
      <c r="H227" s="82" t="s">
        <v>50</v>
      </c>
      <c r="I227" s="85" t="s">
        <v>90</v>
      </c>
      <c r="J227" s="85" t="s">
        <v>60</v>
      </c>
      <c r="K227" s="82" t="s">
        <v>67</v>
      </c>
      <c r="L227" s="82" t="s">
        <v>35</v>
      </c>
      <c r="M227" s="82" t="s">
        <v>1634</v>
      </c>
      <c r="N227" s="82">
        <v>0</v>
      </c>
      <c r="O227" s="82"/>
      <c r="P227" s="82"/>
      <c r="Q227" s="82"/>
      <c r="R227" s="82"/>
      <c r="S227" s="97"/>
      <c r="T227" s="97"/>
      <c r="X227" s="94"/>
      <c r="Y227" s="95"/>
      <c r="Z227" s="95"/>
      <c r="AA227" s="94"/>
      <c r="AB227" s="94"/>
      <c r="AC227" s="94"/>
      <c r="AD227" s="94"/>
      <c r="AE227" s="94"/>
      <c r="AF227" s="94"/>
      <c r="AS227" s="94"/>
      <c r="AT227" s="94"/>
      <c r="AU227" s="94"/>
      <c r="AV227" s="94"/>
      <c r="BB227" s="108">
        <f>Schäden_Einband!X227+Schäden_Buchblock!AC227</f>
        <v>0</v>
      </c>
      <c r="BC227" s="95"/>
    </row>
    <row r="228" spans="1:55" ht="23" x14ac:dyDescent="0.25">
      <c r="A228" s="82">
        <v>220</v>
      </c>
      <c r="B228" s="64" t="s">
        <v>564</v>
      </c>
      <c r="C228" s="64">
        <v>1066970750</v>
      </c>
      <c r="D228" s="84" t="str">
        <f t="shared" si="3"/>
        <v>https://portal.dnb.de/opac.htm?method=simpleSearch&amp;cqlMode=true&amp;query=idn%3D1066970750</v>
      </c>
      <c r="E228" s="64" t="s">
        <v>565</v>
      </c>
      <c r="F228" s="82"/>
      <c r="G228" s="85" t="s">
        <v>3</v>
      </c>
      <c r="H228" s="82" t="s">
        <v>50</v>
      </c>
      <c r="I228" s="85" t="s">
        <v>90</v>
      </c>
      <c r="J228" s="85" t="s">
        <v>94</v>
      </c>
      <c r="K228" s="82"/>
      <c r="L228" s="82" t="s">
        <v>35</v>
      </c>
      <c r="M228" s="82" t="s">
        <v>37</v>
      </c>
      <c r="N228" s="82">
        <v>0</v>
      </c>
      <c r="O228" s="82"/>
      <c r="P228" s="82"/>
      <c r="Q228" s="82"/>
      <c r="R228" s="82"/>
      <c r="S228" s="97"/>
      <c r="T228" s="97"/>
      <c r="X228" s="94"/>
      <c r="Y228" s="95"/>
      <c r="Z228" s="95"/>
      <c r="AA228" s="94"/>
      <c r="AB228" s="94"/>
      <c r="AC228" s="94"/>
      <c r="AD228" s="94"/>
      <c r="AE228" s="94"/>
      <c r="AF228" s="94"/>
      <c r="AS228" s="94"/>
      <c r="AT228" s="94"/>
      <c r="AU228" s="94"/>
      <c r="AV228" s="94"/>
      <c r="BB228" s="108">
        <f>Schäden_Einband!X228+Schäden_Buchblock!AC228</f>
        <v>0</v>
      </c>
      <c r="BC228" s="95"/>
    </row>
    <row r="229" spans="1:55" x14ac:dyDescent="0.25">
      <c r="A229" s="82">
        <v>221</v>
      </c>
      <c r="B229" s="64" t="s">
        <v>566</v>
      </c>
      <c r="C229" s="64">
        <v>1066970750</v>
      </c>
      <c r="D229" s="84" t="str">
        <f t="shared" si="3"/>
        <v>https://portal.dnb.de/opac.htm?method=simpleSearch&amp;cqlMode=true&amp;query=idn%3D1066970750</v>
      </c>
      <c r="E229" s="64" t="s">
        <v>567</v>
      </c>
      <c r="F229" s="82"/>
      <c r="G229" s="85"/>
      <c r="H229" s="82"/>
      <c r="I229" s="85"/>
      <c r="J229" s="85"/>
      <c r="K229" s="82"/>
      <c r="L229" s="82"/>
      <c r="M229" s="82"/>
      <c r="N229" s="82"/>
      <c r="O229" s="82"/>
      <c r="P229" s="82"/>
      <c r="Q229" s="82"/>
      <c r="R229" s="82"/>
      <c r="S229" s="97"/>
      <c r="T229" s="97"/>
      <c r="X229" s="94"/>
      <c r="Y229" s="95"/>
      <c r="Z229" s="95"/>
      <c r="AA229" s="94"/>
      <c r="AB229" s="94"/>
      <c r="AC229" s="94"/>
      <c r="AD229" s="94"/>
      <c r="AE229" s="94"/>
      <c r="AF229" s="94"/>
      <c r="AS229" s="94"/>
      <c r="AT229" s="94"/>
      <c r="AU229" s="94"/>
      <c r="AV229" s="94"/>
      <c r="BB229" s="108">
        <f>Schäden_Einband!X229+Schäden_Buchblock!AC229</f>
        <v>0</v>
      </c>
      <c r="BC229" s="95"/>
    </row>
    <row r="230" spans="1:55" ht="23" x14ac:dyDescent="0.25">
      <c r="A230" s="82"/>
      <c r="B230" s="64"/>
      <c r="C230" s="64"/>
      <c r="D230" s="84"/>
      <c r="E230" s="64" t="s">
        <v>1635</v>
      </c>
      <c r="F230" s="82" t="s">
        <v>1633</v>
      </c>
      <c r="G230" s="85" t="s">
        <v>16</v>
      </c>
      <c r="H230" s="82" t="s">
        <v>50</v>
      </c>
      <c r="I230" s="85" t="s">
        <v>90</v>
      </c>
      <c r="J230" s="85" t="s">
        <v>81</v>
      </c>
      <c r="K230" s="82"/>
      <c r="L230" s="82" t="s">
        <v>35</v>
      </c>
      <c r="M230" s="82" t="s">
        <v>37</v>
      </c>
      <c r="N230" s="82">
        <v>0</v>
      </c>
      <c r="O230" s="82"/>
      <c r="P230" s="82"/>
      <c r="Q230" s="82"/>
      <c r="R230" s="82"/>
      <c r="S230" s="97"/>
      <c r="T230" s="97"/>
      <c r="X230" s="94"/>
      <c r="Y230" s="95"/>
      <c r="Z230" s="95"/>
      <c r="AA230" s="94"/>
      <c r="AB230" s="94"/>
      <c r="AC230" s="94"/>
      <c r="AD230" s="94"/>
      <c r="AE230" s="94"/>
      <c r="AF230" s="94"/>
      <c r="AS230" s="94"/>
      <c r="AT230" s="94"/>
      <c r="AU230" s="94"/>
      <c r="AV230" s="94"/>
      <c r="BB230" s="108">
        <f>Schäden_Einband!X230+Schäden_Buchblock!AC230</f>
        <v>0</v>
      </c>
      <c r="BC230" s="95"/>
    </row>
    <row r="231" spans="1:55" ht="46" x14ac:dyDescent="0.25">
      <c r="A231" s="82">
        <v>222</v>
      </c>
      <c r="B231" s="64" t="s">
        <v>568</v>
      </c>
      <c r="C231" s="64">
        <v>1066971811</v>
      </c>
      <c r="D231" s="84" t="str">
        <f t="shared" si="3"/>
        <v>https://portal.dnb.de/opac.htm?method=simpleSearch&amp;cqlMode=true&amp;query=idn%3D1066971811</v>
      </c>
      <c r="E231" s="64" t="s">
        <v>569</v>
      </c>
      <c r="F231" s="82"/>
      <c r="G231" s="85" t="s">
        <v>1585</v>
      </c>
      <c r="H231" s="82" t="s">
        <v>51</v>
      </c>
      <c r="I231" s="85" t="s">
        <v>90</v>
      </c>
      <c r="J231" s="85" t="s">
        <v>1583</v>
      </c>
      <c r="K231" s="82" t="s">
        <v>67</v>
      </c>
      <c r="L231" s="82" t="s">
        <v>35</v>
      </c>
      <c r="M231" s="82" t="s">
        <v>37</v>
      </c>
      <c r="N231" s="82">
        <v>1</v>
      </c>
      <c r="O231" s="82"/>
      <c r="P231" s="82"/>
      <c r="Q231" s="82"/>
      <c r="R231" s="82"/>
      <c r="S231" s="97"/>
      <c r="T231" s="97"/>
      <c r="X231" s="94"/>
      <c r="Y231" s="95"/>
      <c r="Z231" s="95"/>
      <c r="AA231" s="94"/>
      <c r="AB231" s="94"/>
      <c r="AC231" s="94"/>
      <c r="AD231" s="94"/>
      <c r="AE231" s="94"/>
      <c r="AF231" s="94"/>
      <c r="AS231" s="94"/>
      <c r="AT231" s="94"/>
      <c r="AU231" s="94"/>
      <c r="AV231" s="94"/>
      <c r="BB231" s="108">
        <f>Schäden_Einband!X231+Schäden_Buchblock!AC231</f>
        <v>0</v>
      </c>
      <c r="BC231" s="95"/>
    </row>
    <row r="232" spans="1:55" ht="46" x14ac:dyDescent="0.25">
      <c r="A232" s="82">
        <v>223</v>
      </c>
      <c r="B232" s="64" t="s">
        <v>570</v>
      </c>
      <c r="C232" s="64">
        <v>1066973164</v>
      </c>
      <c r="D232" s="84" t="str">
        <f t="shared" si="3"/>
        <v>https://portal.dnb.de/opac.htm?method=simpleSearch&amp;cqlMode=true&amp;query=idn%3D1066973164</v>
      </c>
      <c r="E232" s="64" t="s">
        <v>571</v>
      </c>
      <c r="F232" s="82"/>
      <c r="G232" s="85" t="s">
        <v>1585</v>
      </c>
      <c r="H232" s="82" t="s">
        <v>50</v>
      </c>
      <c r="I232" s="85" t="s">
        <v>90</v>
      </c>
      <c r="J232" s="85" t="s">
        <v>1586</v>
      </c>
      <c r="K232" s="82" t="s">
        <v>67</v>
      </c>
      <c r="L232" s="82" t="s">
        <v>35</v>
      </c>
      <c r="M232" s="82" t="s">
        <v>37</v>
      </c>
      <c r="N232" s="82">
        <v>0</v>
      </c>
      <c r="O232" s="82"/>
      <c r="P232" s="82"/>
      <c r="Q232" s="82"/>
      <c r="R232" s="82"/>
      <c r="S232" s="97"/>
      <c r="T232" s="97"/>
      <c r="X232" s="94"/>
      <c r="Y232" s="95"/>
      <c r="Z232" s="95"/>
      <c r="AA232" s="94"/>
      <c r="AB232" s="94"/>
      <c r="AC232" s="94"/>
      <c r="AD232" s="94"/>
      <c r="AE232" s="94"/>
      <c r="AF232" s="94"/>
      <c r="AS232" s="94"/>
      <c r="AT232" s="94"/>
      <c r="AU232" s="94"/>
      <c r="AV232" s="94"/>
      <c r="BB232" s="108">
        <f>Schäden_Einband!X232+Schäden_Buchblock!AC232</f>
        <v>0</v>
      </c>
      <c r="BC232" s="95"/>
    </row>
    <row r="233" spans="1:55" x14ac:dyDescent="0.25">
      <c r="A233" s="82">
        <v>224</v>
      </c>
      <c r="B233" s="64" t="s">
        <v>572</v>
      </c>
      <c r="C233" s="64">
        <v>1066965471</v>
      </c>
      <c r="D233" s="84" t="str">
        <f t="shared" si="3"/>
        <v>https://portal.dnb.de/opac.htm?method=simpleSearch&amp;cqlMode=true&amp;query=idn%3D1066965471</v>
      </c>
      <c r="E233" s="64" t="s">
        <v>573</v>
      </c>
      <c r="F233" s="82"/>
      <c r="G233" s="85"/>
      <c r="H233" s="82"/>
      <c r="I233" s="85"/>
      <c r="J233" s="85"/>
      <c r="K233" s="82"/>
      <c r="L233" s="82"/>
      <c r="M233" s="82"/>
      <c r="N233" s="82"/>
      <c r="O233" s="82"/>
      <c r="P233" s="82"/>
      <c r="Q233" s="82"/>
      <c r="R233" s="82"/>
      <c r="S233" s="97"/>
      <c r="T233" s="97"/>
      <c r="X233" s="94"/>
      <c r="Y233" s="95"/>
      <c r="Z233" s="95"/>
      <c r="AA233" s="94"/>
      <c r="AB233" s="94"/>
      <c r="AC233" s="94"/>
      <c r="AD233" s="94"/>
      <c r="AE233" s="94"/>
      <c r="AF233" s="94"/>
      <c r="AS233" s="94"/>
      <c r="AT233" s="94"/>
      <c r="AU233" s="94"/>
      <c r="AV233" s="94"/>
      <c r="BB233" s="108">
        <f>Schäden_Einband!X233+Schäden_Buchblock!AC233</f>
        <v>0</v>
      </c>
      <c r="BC233" s="95"/>
    </row>
    <row r="234" spans="1:55" ht="23" x14ac:dyDescent="0.25">
      <c r="A234" s="82">
        <v>225</v>
      </c>
      <c r="B234" s="64" t="s">
        <v>574</v>
      </c>
      <c r="C234" s="64" t="s">
        <v>575</v>
      </c>
      <c r="D234" s="84" t="str">
        <f t="shared" si="3"/>
        <v>https://portal.dnb.de/opac.htm?method=simpleSearch&amp;cqlMode=true&amp;query=idn%3D106697277X</v>
      </c>
      <c r="E234" s="64" t="s">
        <v>576</v>
      </c>
      <c r="F234" s="82"/>
      <c r="G234" s="85" t="s">
        <v>4</v>
      </c>
      <c r="H234" s="82" t="s">
        <v>50</v>
      </c>
      <c r="I234" s="85" t="s">
        <v>90</v>
      </c>
      <c r="J234" s="85"/>
      <c r="K234" s="82"/>
      <c r="L234" s="82" t="s">
        <v>35</v>
      </c>
      <c r="M234" s="82" t="s">
        <v>37</v>
      </c>
      <c r="N234" s="82"/>
      <c r="O234" s="82"/>
      <c r="P234" s="82"/>
      <c r="Q234" s="82"/>
      <c r="R234" s="82"/>
      <c r="S234" s="97"/>
      <c r="T234" s="97"/>
      <c r="X234" s="94"/>
      <c r="Y234" s="95"/>
      <c r="Z234" s="95"/>
      <c r="AA234" s="94"/>
      <c r="AB234" s="94"/>
      <c r="AC234" s="94"/>
      <c r="AD234" s="94"/>
      <c r="AE234" s="94"/>
      <c r="AF234" s="94"/>
      <c r="AS234" s="94"/>
      <c r="AT234" s="94"/>
      <c r="AU234" s="94"/>
      <c r="AV234" s="94"/>
      <c r="BB234" s="108">
        <f>Schäden_Einband!X234+Schäden_Buchblock!AC234</f>
        <v>0</v>
      </c>
      <c r="BC234" s="95"/>
    </row>
    <row r="235" spans="1:55" ht="46" x14ac:dyDescent="0.25">
      <c r="A235" s="82">
        <v>226</v>
      </c>
      <c r="B235" s="64" t="s">
        <v>577</v>
      </c>
      <c r="C235" s="64" t="s">
        <v>578</v>
      </c>
      <c r="D235" s="84" t="str">
        <f t="shared" si="3"/>
        <v>https://portal.dnb.de/opac.htm?method=simpleSearch&amp;cqlMode=true&amp;query=idn%3D106697263X</v>
      </c>
      <c r="E235" s="64" t="s">
        <v>579</v>
      </c>
      <c r="F235" s="82" t="s">
        <v>89</v>
      </c>
      <c r="G235" s="85" t="s">
        <v>1584</v>
      </c>
      <c r="H235" s="82" t="s">
        <v>52</v>
      </c>
      <c r="I235" s="85" t="s">
        <v>90</v>
      </c>
      <c r="J235" s="85" t="s">
        <v>1586</v>
      </c>
      <c r="K235" s="82" t="s">
        <v>67</v>
      </c>
      <c r="L235" s="82"/>
      <c r="M235" s="82" t="s">
        <v>101</v>
      </c>
      <c r="N235" s="82">
        <v>0</v>
      </c>
      <c r="O235" s="82"/>
      <c r="P235" s="82" t="s">
        <v>1638</v>
      </c>
      <c r="Q235" s="82"/>
      <c r="R235" s="82"/>
      <c r="S235" s="97"/>
      <c r="T235" s="97"/>
      <c r="X235" s="94"/>
      <c r="Y235" s="95"/>
      <c r="Z235" s="95"/>
      <c r="AA235" s="94"/>
      <c r="AB235" s="94"/>
      <c r="AC235" s="94"/>
      <c r="AD235" s="94"/>
      <c r="AE235" s="94"/>
      <c r="AF235" s="94"/>
      <c r="AS235" s="94"/>
      <c r="AT235" s="94"/>
      <c r="AU235" s="94"/>
      <c r="AV235" s="94"/>
      <c r="BB235" s="108">
        <f>Schäden_Einband!X235+Schäden_Buchblock!AC235</f>
        <v>0</v>
      </c>
      <c r="BC235" s="95"/>
    </row>
    <row r="236" spans="1:55" x14ac:dyDescent="0.25">
      <c r="A236" s="82">
        <v>227</v>
      </c>
      <c r="B236" s="64" t="s">
        <v>580</v>
      </c>
      <c r="C236" s="64">
        <v>1066972524</v>
      </c>
      <c r="D236" s="84" t="str">
        <f t="shared" si="3"/>
        <v>https://portal.dnb.de/opac.htm?method=simpleSearch&amp;cqlMode=true&amp;query=idn%3D1066972524</v>
      </c>
      <c r="E236" s="64" t="s">
        <v>581</v>
      </c>
      <c r="F236" s="82"/>
      <c r="G236" s="85"/>
      <c r="H236" s="82"/>
      <c r="I236" s="85"/>
      <c r="J236" s="85"/>
      <c r="K236" s="82"/>
      <c r="L236" s="82"/>
      <c r="M236" s="82"/>
      <c r="N236" s="82"/>
      <c r="O236" s="82"/>
      <c r="P236" s="82"/>
      <c r="Q236" s="82"/>
      <c r="R236" s="82"/>
      <c r="S236" s="97"/>
      <c r="T236" s="97"/>
      <c r="X236" s="94"/>
      <c r="Y236" s="95"/>
      <c r="Z236" s="95"/>
      <c r="AA236" s="94"/>
      <c r="AB236" s="94"/>
      <c r="AC236" s="94"/>
      <c r="AD236" s="94"/>
      <c r="AE236" s="94"/>
      <c r="AF236" s="94"/>
      <c r="AS236" s="94"/>
      <c r="AT236" s="94"/>
      <c r="AU236" s="94"/>
      <c r="AV236" s="94"/>
      <c r="BB236" s="108">
        <f>Schäden_Einband!X236+Schäden_Buchblock!AC236</f>
        <v>0</v>
      </c>
      <c r="BC236" s="95"/>
    </row>
    <row r="237" spans="1:55" ht="23" x14ac:dyDescent="0.25">
      <c r="A237" s="82">
        <v>228</v>
      </c>
      <c r="B237" s="64" t="s">
        <v>582</v>
      </c>
      <c r="C237" s="64">
        <v>1066971293</v>
      </c>
      <c r="D237" s="84" t="str">
        <f t="shared" si="3"/>
        <v>https://portal.dnb.de/opac.htm?method=simpleSearch&amp;cqlMode=true&amp;query=idn%3D1066971293</v>
      </c>
      <c r="E237" s="64" t="s">
        <v>583</v>
      </c>
      <c r="F237" s="82" t="s">
        <v>1633</v>
      </c>
      <c r="G237" s="85" t="s">
        <v>4</v>
      </c>
      <c r="H237" s="82" t="s">
        <v>50</v>
      </c>
      <c r="I237" s="85" t="s">
        <v>90</v>
      </c>
      <c r="J237" s="85" t="s">
        <v>1586</v>
      </c>
      <c r="K237" s="82" t="s">
        <v>67</v>
      </c>
      <c r="L237" s="82" t="s">
        <v>35</v>
      </c>
      <c r="M237" s="82" t="s">
        <v>36</v>
      </c>
      <c r="N237" s="82">
        <v>0</v>
      </c>
      <c r="O237" s="82"/>
      <c r="P237" s="82"/>
      <c r="Q237" s="82"/>
      <c r="R237" s="82"/>
      <c r="S237" s="97"/>
      <c r="T237" s="97"/>
      <c r="X237" s="94"/>
      <c r="Y237" s="95"/>
      <c r="Z237" s="95"/>
      <c r="AA237" s="94"/>
      <c r="AB237" s="94"/>
      <c r="AC237" s="94"/>
      <c r="AD237" s="94"/>
      <c r="AE237" s="94"/>
      <c r="AF237" s="94"/>
      <c r="AS237" s="94"/>
      <c r="AT237" s="94"/>
      <c r="AU237" s="94"/>
      <c r="AV237" s="94"/>
      <c r="BB237" s="108">
        <f>Schäden_Einband!X237+Schäden_Buchblock!AC237</f>
        <v>0</v>
      </c>
      <c r="BC237" s="95"/>
    </row>
    <row r="238" spans="1:55" x14ac:dyDescent="0.25">
      <c r="A238" s="82">
        <v>229</v>
      </c>
      <c r="B238" s="64" t="s">
        <v>584</v>
      </c>
      <c r="C238" s="64" t="s">
        <v>585</v>
      </c>
      <c r="D238" s="84" t="str">
        <f t="shared" si="3"/>
        <v>https://portal.dnb.de/opac.htm?method=simpleSearch&amp;cqlMode=true&amp;query=idn%3D106696579X</v>
      </c>
      <c r="E238" s="64" t="s">
        <v>586</v>
      </c>
      <c r="F238" s="82"/>
      <c r="G238" s="85"/>
      <c r="H238" s="82"/>
      <c r="I238" s="85"/>
      <c r="J238" s="85"/>
      <c r="K238" s="82"/>
      <c r="L238" s="82"/>
      <c r="M238" s="82"/>
      <c r="N238" s="82"/>
      <c r="O238" s="82"/>
      <c r="P238" s="82"/>
      <c r="Q238" s="82"/>
      <c r="R238" s="82"/>
      <c r="S238" s="97"/>
      <c r="T238" s="97"/>
      <c r="X238" s="94"/>
      <c r="Y238" s="95"/>
      <c r="Z238" s="95"/>
      <c r="AA238" s="94"/>
      <c r="AB238" s="94"/>
      <c r="AC238" s="94"/>
      <c r="AD238" s="94"/>
      <c r="AE238" s="94"/>
      <c r="AF238" s="94"/>
      <c r="AS238" s="94"/>
      <c r="AT238" s="94"/>
      <c r="AU238" s="94"/>
      <c r="AV238" s="94"/>
      <c r="BB238" s="108">
        <f>Schäden_Einband!X238+Schäden_Buchblock!AC238</f>
        <v>0</v>
      </c>
      <c r="BC238" s="95"/>
    </row>
    <row r="239" spans="1:55" ht="46" x14ac:dyDescent="0.25">
      <c r="A239" s="82">
        <v>230</v>
      </c>
      <c r="B239" s="64" t="s">
        <v>587</v>
      </c>
      <c r="C239" s="64">
        <v>1066973229</v>
      </c>
      <c r="D239" s="84" t="str">
        <f t="shared" si="3"/>
        <v>https://portal.dnb.de/opac.htm?method=simpleSearch&amp;cqlMode=true&amp;query=idn%3D1066973229</v>
      </c>
      <c r="E239" s="64" t="s">
        <v>588</v>
      </c>
      <c r="F239" s="82" t="s">
        <v>1633</v>
      </c>
      <c r="G239" s="85" t="s">
        <v>1636</v>
      </c>
      <c r="H239" s="82" t="s">
        <v>51</v>
      </c>
      <c r="I239" s="85" t="s">
        <v>90</v>
      </c>
      <c r="J239" s="85" t="s">
        <v>1586</v>
      </c>
      <c r="K239" s="82" t="s">
        <v>67</v>
      </c>
      <c r="L239" s="82" t="s">
        <v>35</v>
      </c>
      <c r="M239" s="82" t="s">
        <v>37</v>
      </c>
      <c r="N239" s="82">
        <v>1</v>
      </c>
      <c r="O239" s="82"/>
      <c r="P239" s="82"/>
      <c r="Q239" s="82"/>
      <c r="R239" s="82"/>
      <c r="S239" s="97"/>
      <c r="T239" s="97"/>
      <c r="X239" s="94"/>
      <c r="Y239" s="95"/>
      <c r="Z239" s="95"/>
      <c r="AA239" s="94"/>
      <c r="AB239" s="94"/>
      <c r="AC239" s="94"/>
      <c r="AD239" s="94"/>
      <c r="AE239" s="94"/>
      <c r="AF239" s="94"/>
      <c r="AS239" s="94"/>
      <c r="AT239" s="94"/>
      <c r="AU239" s="94"/>
      <c r="AV239" s="94"/>
      <c r="BB239" s="108">
        <f>Schäden_Einband!X239+Schäden_Buchblock!AC239</f>
        <v>0</v>
      </c>
      <c r="BC239" s="95"/>
    </row>
    <row r="240" spans="1:55" x14ac:dyDescent="0.25">
      <c r="A240" s="82">
        <v>231</v>
      </c>
      <c r="B240" s="64" t="s">
        <v>589</v>
      </c>
      <c r="C240" s="64">
        <v>1066965706</v>
      </c>
      <c r="D240" s="84" t="str">
        <f t="shared" si="3"/>
        <v>https://portal.dnb.de/opac.htm?method=simpleSearch&amp;cqlMode=true&amp;query=idn%3D1066965706</v>
      </c>
      <c r="E240" s="64" t="s">
        <v>590</v>
      </c>
      <c r="F240" s="82"/>
      <c r="G240" s="85"/>
      <c r="H240" s="82"/>
      <c r="I240" s="85"/>
      <c r="J240" s="85"/>
      <c r="K240" s="82"/>
      <c r="L240" s="82"/>
      <c r="M240" s="82"/>
      <c r="N240" s="82"/>
      <c r="O240" s="82"/>
      <c r="P240" s="82"/>
      <c r="Q240" s="82"/>
      <c r="R240" s="82"/>
      <c r="S240" s="97"/>
      <c r="T240" s="97"/>
      <c r="X240" s="94"/>
      <c r="Y240" s="95"/>
      <c r="Z240" s="95"/>
      <c r="AA240" s="94"/>
      <c r="AB240" s="94"/>
      <c r="AC240" s="94"/>
      <c r="AD240" s="94"/>
      <c r="AE240" s="94"/>
      <c r="AF240" s="94"/>
      <c r="AS240" s="94"/>
      <c r="AT240" s="94"/>
      <c r="AU240" s="94"/>
      <c r="AV240" s="94"/>
      <c r="BB240" s="108">
        <f>Schäden_Einband!X240+Schäden_Buchblock!AC240</f>
        <v>0</v>
      </c>
      <c r="BC240" s="95"/>
    </row>
    <row r="241" spans="1:55" x14ac:dyDescent="0.25">
      <c r="A241" s="82">
        <v>232</v>
      </c>
      <c r="B241" s="64" t="s">
        <v>591</v>
      </c>
      <c r="C241" s="64">
        <v>1066964866</v>
      </c>
      <c r="D241" s="84" t="str">
        <f t="shared" si="3"/>
        <v>https://portal.dnb.de/opac.htm?method=simpleSearch&amp;cqlMode=true&amp;query=idn%3D1066964866</v>
      </c>
      <c r="E241" s="64" t="s">
        <v>592</v>
      </c>
      <c r="F241" s="82"/>
      <c r="G241" s="85"/>
      <c r="H241" s="82"/>
      <c r="I241" s="85"/>
      <c r="J241" s="85"/>
      <c r="K241" s="82"/>
      <c r="L241" s="82"/>
      <c r="M241" s="82"/>
      <c r="N241" s="82"/>
      <c r="O241" s="82"/>
      <c r="P241" s="82"/>
      <c r="Q241" s="82"/>
      <c r="R241" s="82"/>
      <c r="S241" s="97"/>
      <c r="T241" s="97"/>
      <c r="X241" s="94"/>
      <c r="Y241" s="95"/>
      <c r="Z241" s="95"/>
      <c r="AA241" s="94"/>
      <c r="AB241" s="94"/>
      <c r="AC241" s="94"/>
      <c r="AD241" s="94"/>
      <c r="AE241" s="94"/>
      <c r="AF241" s="94"/>
      <c r="AS241" s="94"/>
      <c r="AT241" s="94"/>
      <c r="AU241" s="94"/>
      <c r="AV241" s="94"/>
      <c r="BB241" s="108">
        <f>Schäden_Einband!X241+Schäden_Buchblock!AC241</f>
        <v>0</v>
      </c>
      <c r="BC241" s="95"/>
    </row>
    <row r="242" spans="1:55" ht="23" x14ac:dyDescent="0.25">
      <c r="A242" s="82">
        <v>233</v>
      </c>
      <c r="B242" s="64" t="s">
        <v>593</v>
      </c>
      <c r="C242" s="64">
        <v>1066968934</v>
      </c>
      <c r="D242" s="84" t="str">
        <f t="shared" si="3"/>
        <v>https://portal.dnb.de/opac.htm?method=simpleSearch&amp;cqlMode=true&amp;query=idn%3D1066968934</v>
      </c>
      <c r="E242" s="64" t="s">
        <v>594</v>
      </c>
      <c r="F242" s="82"/>
      <c r="G242" s="85" t="s">
        <v>45</v>
      </c>
      <c r="H242" s="82" t="s">
        <v>51</v>
      </c>
      <c r="I242" s="85" t="s">
        <v>90</v>
      </c>
      <c r="J242" s="85" t="s">
        <v>1586</v>
      </c>
      <c r="K242" s="82" t="s">
        <v>67</v>
      </c>
      <c r="L242" s="82" t="s">
        <v>35</v>
      </c>
      <c r="M242" s="82" t="s">
        <v>37</v>
      </c>
      <c r="N242" s="82">
        <v>0</v>
      </c>
      <c r="O242" s="82"/>
      <c r="P242" s="82"/>
      <c r="Q242" s="82"/>
      <c r="R242" s="82"/>
      <c r="S242" s="97"/>
      <c r="T242" s="97"/>
      <c r="X242" s="94"/>
      <c r="Y242" s="95"/>
      <c r="Z242" s="95"/>
      <c r="AA242" s="94"/>
      <c r="AB242" s="94"/>
      <c r="AC242" s="94"/>
      <c r="AD242" s="94"/>
      <c r="AE242" s="94"/>
      <c r="AF242" s="94"/>
      <c r="AS242" s="94"/>
      <c r="AT242" s="94"/>
      <c r="AU242" s="94"/>
      <c r="AV242" s="94"/>
      <c r="BB242" s="108">
        <f>Schäden_Einband!X242+Schäden_Buchblock!AC242</f>
        <v>0</v>
      </c>
      <c r="BC242" s="95"/>
    </row>
    <row r="243" spans="1:55" ht="23" x14ac:dyDescent="0.25">
      <c r="A243" s="82">
        <v>234</v>
      </c>
      <c r="B243" s="64" t="s">
        <v>595</v>
      </c>
      <c r="C243" s="64">
        <v>1066968055</v>
      </c>
      <c r="D243" s="84" t="str">
        <f t="shared" si="3"/>
        <v>https://portal.dnb.de/opac.htm?method=simpleSearch&amp;cqlMode=true&amp;query=idn%3D1066968055</v>
      </c>
      <c r="E243" s="64" t="s">
        <v>596</v>
      </c>
      <c r="F243" s="82"/>
      <c r="G243" s="85" t="s">
        <v>45</v>
      </c>
      <c r="H243" s="82" t="s">
        <v>51</v>
      </c>
      <c r="I243" s="85" t="s">
        <v>90</v>
      </c>
      <c r="J243" s="85" t="s">
        <v>1586</v>
      </c>
      <c r="K243" s="82" t="s">
        <v>67</v>
      </c>
      <c r="L243" s="82" t="s">
        <v>35</v>
      </c>
      <c r="M243" s="82" t="s">
        <v>37</v>
      </c>
      <c r="N243" s="82">
        <v>0</v>
      </c>
      <c r="O243" s="82"/>
      <c r="P243" s="82"/>
      <c r="Q243" s="82"/>
      <c r="R243" s="82"/>
      <c r="S243" s="97"/>
      <c r="T243" s="97"/>
      <c r="X243" s="94"/>
      <c r="Y243" s="95"/>
      <c r="Z243" s="95"/>
      <c r="AA243" s="94"/>
      <c r="AB243" s="94"/>
      <c r="AC243" s="94"/>
      <c r="AD243" s="94"/>
      <c r="AE243" s="94"/>
      <c r="AF243" s="94"/>
      <c r="AS243" s="94"/>
      <c r="AT243" s="94"/>
      <c r="AU243" s="94"/>
      <c r="AV243" s="94"/>
      <c r="BB243" s="108">
        <f>Schäden_Einband!X243+Schäden_Buchblock!AC243</f>
        <v>0</v>
      </c>
      <c r="BC243" s="95"/>
    </row>
    <row r="244" spans="1:55" x14ac:dyDescent="0.25">
      <c r="A244" s="82">
        <v>235</v>
      </c>
      <c r="B244" s="64" t="s">
        <v>597</v>
      </c>
      <c r="C244" s="64">
        <v>1066971994</v>
      </c>
      <c r="D244" s="84" t="str">
        <f t="shared" si="3"/>
        <v>https://portal.dnb.de/opac.htm?method=simpleSearch&amp;cqlMode=true&amp;query=idn%3D1066971994</v>
      </c>
      <c r="E244" s="64" t="s">
        <v>598</v>
      </c>
      <c r="F244" s="82"/>
      <c r="G244" s="85"/>
      <c r="H244" s="82"/>
      <c r="I244" s="85"/>
      <c r="J244" s="85"/>
      <c r="K244" s="82"/>
      <c r="L244" s="82"/>
      <c r="M244" s="82"/>
      <c r="N244" s="82"/>
      <c r="O244" s="82"/>
      <c r="P244" s="82"/>
      <c r="Q244" s="82"/>
      <c r="R244" s="82"/>
      <c r="S244" s="97"/>
      <c r="T244" s="97"/>
      <c r="X244" s="94"/>
      <c r="Y244" s="95"/>
      <c r="Z244" s="95"/>
      <c r="AA244" s="94"/>
      <c r="AB244" s="94"/>
      <c r="AC244" s="94"/>
      <c r="AD244" s="94"/>
      <c r="AE244" s="94"/>
      <c r="AF244" s="94"/>
      <c r="AS244" s="94"/>
      <c r="AT244" s="94"/>
      <c r="AU244" s="94"/>
      <c r="AV244" s="94"/>
      <c r="BB244" s="108">
        <f>Schäden_Einband!X244+Schäden_Buchblock!AC244</f>
        <v>0</v>
      </c>
      <c r="BC244" s="95"/>
    </row>
    <row r="245" spans="1:55" ht="46" x14ac:dyDescent="0.25">
      <c r="A245" s="82">
        <v>236</v>
      </c>
      <c r="B245" s="64" t="s">
        <v>599</v>
      </c>
      <c r="C245" s="64" t="s">
        <v>600</v>
      </c>
      <c r="D245" s="84" t="str">
        <f t="shared" si="3"/>
        <v>https://portal.dnb.de/opac.htm?method=simpleSearch&amp;cqlMode=true&amp;query=idn%3D107205812X</v>
      </c>
      <c r="E245" s="64" t="s">
        <v>601</v>
      </c>
      <c r="F245" s="82"/>
      <c r="G245" s="85" t="s">
        <v>1585</v>
      </c>
      <c r="H245" s="82" t="s">
        <v>50</v>
      </c>
      <c r="I245" s="85" t="s">
        <v>90</v>
      </c>
      <c r="J245" s="85" t="s">
        <v>81</v>
      </c>
      <c r="K245" s="82"/>
      <c r="L245" s="82" t="s">
        <v>35</v>
      </c>
      <c r="M245" s="82" t="s">
        <v>37</v>
      </c>
      <c r="N245" s="82">
        <v>0</v>
      </c>
      <c r="O245" s="82"/>
      <c r="P245" s="82"/>
      <c r="Q245" s="82"/>
      <c r="R245" s="82"/>
      <c r="S245" s="97"/>
      <c r="T245" s="97"/>
      <c r="X245" s="94"/>
      <c r="Y245" s="95"/>
      <c r="Z245" s="95"/>
      <c r="AA245" s="94"/>
      <c r="AB245" s="94"/>
      <c r="AC245" s="94"/>
      <c r="AD245" s="94"/>
      <c r="AE245" s="94"/>
      <c r="AF245" s="94"/>
      <c r="AS245" s="94"/>
      <c r="AT245" s="94"/>
      <c r="AU245" s="94"/>
      <c r="AV245" s="94"/>
      <c r="BB245" s="108">
        <f>Schäden_Einband!X245+Schäden_Buchblock!AC245</f>
        <v>0</v>
      </c>
      <c r="BC245" s="95"/>
    </row>
    <row r="246" spans="1:55" x14ac:dyDescent="0.25">
      <c r="A246" s="82">
        <v>237</v>
      </c>
      <c r="B246" s="64" t="s">
        <v>602</v>
      </c>
      <c r="C246" s="64">
        <v>1066972001</v>
      </c>
      <c r="D246" s="84" t="str">
        <f t="shared" si="3"/>
        <v>https://portal.dnb.de/opac.htm?method=simpleSearch&amp;cqlMode=true&amp;query=idn%3D1066972001</v>
      </c>
      <c r="E246" s="64" t="s">
        <v>603</v>
      </c>
      <c r="F246" s="82"/>
      <c r="G246" s="85"/>
      <c r="H246" s="82"/>
      <c r="I246" s="85"/>
      <c r="J246" s="85"/>
      <c r="K246" s="82"/>
      <c r="L246" s="82"/>
      <c r="M246" s="82"/>
      <c r="N246" s="82"/>
      <c r="O246" s="82"/>
      <c r="P246" s="82"/>
      <c r="Q246" s="82"/>
      <c r="R246" s="82"/>
      <c r="S246" s="97"/>
      <c r="T246" s="97"/>
      <c r="X246" s="94"/>
      <c r="Y246" s="95"/>
      <c r="Z246" s="95"/>
      <c r="AA246" s="94"/>
      <c r="AB246" s="94"/>
      <c r="AC246" s="94"/>
      <c r="AD246" s="94"/>
      <c r="AE246" s="94"/>
      <c r="AF246" s="94"/>
      <c r="AS246" s="94"/>
      <c r="AT246" s="94"/>
      <c r="AU246" s="94"/>
      <c r="AV246" s="94"/>
      <c r="BB246" s="108">
        <f>Schäden_Einband!X246+Schäden_Buchblock!AC246</f>
        <v>0</v>
      </c>
      <c r="BC246" s="95"/>
    </row>
    <row r="247" spans="1:55" ht="46" x14ac:dyDescent="0.25">
      <c r="A247" s="82">
        <v>238</v>
      </c>
      <c r="B247" s="64" t="s">
        <v>604</v>
      </c>
      <c r="C247" s="64">
        <v>1066973180</v>
      </c>
      <c r="D247" s="84" t="str">
        <f t="shared" si="3"/>
        <v>https://portal.dnb.de/opac.htm?method=simpleSearch&amp;cqlMode=true&amp;query=idn%3D1066973180</v>
      </c>
      <c r="E247" s="64" t="s">
        <v>605</v>
      </c>
      <c r="F247" s="82"/>
      <c r="G247" s="85" t="s">
        <v>1584</v>
      </c>
      <c r="H247" s="82" t="s">
        <v>51</v>
      </c>
      <c r="I247" s="85" t="s">
        <v>90</v>
      </c>
      <c r="J247" s="85" t="s">
        <v>81</v>
      </c>
      <c r="K247" s="82"/>
      <c r="L247" s="82" t="s">
        <v>35</v>
      </c>
      <c r="M247" s="82" t="s">
        <v>37</v>
      </c>
      <c r="N247" s="82">
        <v>2</v>
      </c>
      <c r="O247" s="82"/>
      <c r="P247" s="82"/>
      <c r="Q247" s="82"/>
      <c r="R247" s="82"/>
      <c r="S247" s="97"/>
      <c r="T247" s="97"/>
      <c r="X247" s="94"/>
      <c r="Y247" s="95"/>
      <c r="Z247" s="95"/>
      <c r="AA247" s="94"/>
      <c r="AB247" s="94"/>
      <c r="AC247" s="94"/>
      <c r="AD247" s="94"/>
      <c r="AE247" s="94"/>
      <c r="AF247" s="94"/>
      <c r="AS247" s="94"/>
      <c r="AT247" s="94"/>
      <c r="AU247" s="94"/>
      <c r="AV247" s="94"/>
      <c r="BB247" s="108">
        <f>Schäden_Einband!X247+Schäden_Buchblock!AC247</f>
        <v>0</v>
      </c>
      <c r="BC247" s="95"/>
    </row>
    <row r="248" spans="1:55" ht="23" x14ac:dyDescent="0.25">
      <c r="A248" s="82">
        <v>239</v>
      </c>
      <c r="B248" s="64" t="s">
        <v>606</v>
      </c>
      <c r="C248" s="64">
        <v>1066970653</v>
      </c>
      <c r="D248" s="84" t="str">
        <f t="shared" si="3"/>
        <v>https://portal.dnb.de/opac.htm?method=simpleSearch&amp;cqlMode=true&amp;query=idn%3D1066970653</v>
      </c>
      <c r="E248" s="64" t="s">
        <v>607</v>
      </c>
      <c r="F248" s="82" t="s">
        <v>1633</v>
      </c>
      <c r="G248" s="85" t="s">
        <v>46</v>
      </c>
      <c r="H248" s="82" t="s">
        <v>51</v>
      </c>
      <c r="I248" s="85" t="s">
        <v>90</v>
      </c>
      <c r="J248" s="85" t="s">
        <v>1586</v>
      </c>
      <c r="K248" s="82" t="s">
        <v>67</v>
      </c>
      <c r="L248" s="82" t="s">
        <v>35</v>
      </c>
      <c r="M248" s="82" t="s">
        <v>37</v>
      </c>
      <c r="N248" s="82">
        <v>0</v>
      </c>
      <c r="O248" s="82"/>
      <c r="P248" s="82"/>
      <c r="Q248" s="82"/>
      <c r="R248" s="82"/>
      <c r="S248" s="97"/>
      <c r="T248" s="97"/>
      <c r="X248" s="94"/>
      <c r="Y248" s="95"/>
      <c r="Z248" s="95"/>
      <c r="AA248" s="94"/>
      <c r="AB248" s="94"/>
      <c r="AC248" s="94"/>
      <c r="AD248" s="94"/>
      <c r="AE248" s="94"/>
      <c r="AF248" s="94"/>
      <c r="AS248" s="94"/>
      <c r="AT248" s="94"/>
      <c r="AU248" s="94"/>
      <c r="AV248" s="94"/>
      <c r="BB248" s="108">
        <f>Schäden_Einband!X248+Schäden_Buchblock!AC248</f>
        <v>0</v>
      </c>
      <c r="BC248" s="95"/>
    </row>
    <row r="249" spans="1:55" x14ac:dyDescent="0.25">
      <c r="A249" s="82">
        <v>240</v>
      </c>
      <c r="B249" s="64" t="s">
        <v>608</v>
      </c>
      <c r="C249" s="64">
        <v>1066970882</v>
      </c>
      <c r="D249" s="84" t="str">
        <f t="shared" si="3"/>
        <v>https://portal.dnb.de/opac.htm?method=simpleSearch&amp;cqlMode=true&amp;query=idn%3D1066970882</v>
      </c>
      <c r="E249" s="64" t="s">
        <v>609</v>
      </c>
      <c r="F249" s="82"/>
      <c r="G249" s="85"/>
      <c r="H249" s="82"/>
      <c r="I249" s="85"/>
      <c r="J249" s="85"/>
      <c r="K249" s="82"/>
      <c r="L249" s="82"/>
      <c r="M249" s="82"/>
      <c r="N249" s="82"/>
      <c r="O249" s="82"/>
      <c r="P249" s="82"/>
      <c r="Q249" s="82"/>
      <c r="R249" s="82"/>
      <c r="S249" s="97"/>
      <c r="T249" s="97"/>
      <c r="X249" s="94"/>
      <c r="Y249" s="95"/>
      <c r="Z249" s="95"/>
      <c r="AA249" s="94"/>
      <c r="AB249" s="94"/>
      <c r="AC249" s="94"/>
      <c r="AD249" s="94"/>
      <c r="AE249" s="94"/>
      <c r="AF249" s="94"/>
      <c r="AS249" s="94"/>
      <c r="AT249" s="94"/>
      <c r="AU249" s="94"/>
      <c r="AV249" s="94"/>
      <c r="BB249" s="108">
        <f>Schäden_Einband!X249+Schäden_Buchblock!AC249</f>
        <v>0</v>
      </c>
      <c r="BC249" s="95"/>
    </row>
    <row r="250" spans="1:55" ht="46" x14ac:dyDescent="0.25">
      <c r="A250" s="82">
        <v>241</v>
      </c>
      <c r="B250" s="64" t="s">
        <v>610</v>
      </c>
      <c r="C250" s="64">
        <v>1072058391</v>
      </c>
      <c r="D250" s="84" t="str">
        <f t="shared" si="3"/>
        <v>https://portal.dnb.de/opac.htm?method=simpleSearch&amp;cqlMode=true&amp;query=idn%3D1072058391</v>
      </c>
      <c r="E250" s="64" t="s">
        <v>611</v>
      </c>
      <c r="F250" s="82" t="s">
        <v>89</v>
      </c>
      <c r="G250" s="85" t="s">
        <v>1585</v>
      </c>
      <c r="H250" s="82" t="s">
        <v>51</v>
      </c>
      <c r="I250" s="85" t="s">
        <v>55</v>
      </c>
      <c r="J250" s="85" t="s">
        <v>1587</v>
      </c>
      <c r="K250" s="82" t="s">
        <v>67</v>
      </c>
      <c r="L250" s="82" t="s">
        <v>35</v>
      </c>
      <c r="M250" s="82" t="s">
        <v>37</v>
      </c>
      <c r="N250" s="82">
        <v>0</v>
      </c>
      <c r="O250" s="82"/>
      <c r="P250" s="82"/>
      <c r="Q250" s="82"/>
      <c r="R250" s="82"/>
      <c r="S250" s="97"/>
      <c r="T250" s="97"/>
      <c r="X250" s="94"/>
      <c r="Y250" s="95"/>
      <c r="Z250" s="95"/>
      <c r="AA250" s="94"/>
      <c r="AB250" s="94"/>
      <c r="AC250" s="94"/>
      <c r="AD250" s="94"/>
      <c r="AE250" s="94"/>
      <c r="AF250" s="94"/>
      <c r="AS250" s="94"/>
      <c r="AT250" s="94"/>
      <c r="AU250" s="94"/>
      <c r="AV250" s="94"/>
      <c r="BB250" s="108">
        <f>Schäden_Einband!X250+Schäden_Buchblock!AC250</f>
        <v>0</v>
      </c>
      <c r="BC250" s="95"/>
    </row>
    <row r="251" spans="1:55" ht="46" x14ac:dyDescent="0.25">
      <c r="A251" s="82">
        <v>242</v>
      </c>
      <c r="B251" s="64" t="s">
        <v>612</v>
      </c>
      <c r="C251" s="64">
        <v>1066968217</v>
      </c>
      <c r="D251" s="84" t="str">
        <f t="shared" si="3"/>
        <v>https://portal.dnb.de/opac.htm?method=simpleSearch&amp;cqlMode=true&amp;query=idn%3D1066968217</v>
      </c>
      <c r="E251" s="64" t="s">
        <v>613</v>
      </c>
      <c r="F251" s="82" t="s">
        <v>89</v>
      </c>
      <c r="G251" s="85" t="s">
        <v>1607</v>
      </c>
      <c r="H251" s="82" t="s">
        <v>51</v>
      </c>
      <c r="I251" s="85" t="s">
        <v>55</v>
      </c>
      <c r="J251" s="85" t="s">
        <v>81</v>
      </c>
      <c r="K251" s="82"/>
      <c r="L251" s="82" t="s">
        <v>35</v>
      </c>
      <c r="M251" s="82" t="s">
        <v>37</v>
      </c>
      <c r="N251" s="82">
        <v>0</v>
      </c>
      <c r="O251" s="82"/>
      <c r="P251" s="82"/>
      <c r="Q251" s="82"/>
      <c r="R251" s="82"/>
      <c r="S251" s="97"/>
      <c r="T251" s="97"/>
      <c r="X251" s="94"/>
      <c r="Y251" s="95"/>
      <c r="Z251" s="95"/>
      <c r="AA251" s="94"/>
      <c r="AB251" s="94"/>
      <c r="AC251" s="94"/>
      <c r="AD251" s="94"/>
      <c r="AE251" s="94"/>
      <c r="AF251" s="94"/>
      <c r="AS251" s="94"/>
      <c r="AT251" s="94"/>
      <c r="AU251" s="94"/>
      <c r="AV251" s="94"/>
      <c r="BB251" s="108">
        <f>Schäden_Einband!X251+Schäden_Buchblock!AC251</f>
        <v>0</v>
      </c>
      <c r="BC251" s="95"/>
    </row>
    <row r="252" spans="1:55" ht="46" x14ac:dyDescent="0.25">
      <c r="A252" s="82">
        <v>243</v>
      </c>
      <c r="B252" s="64" t="s">
        <v>614</v>
      </c>
      <c r="C252" s="64">
        <v>1066968837</v>
      </c>
      <c r="D252" s="84" t="str">
        <f t="shared" si="3"/>
        <v>https://portal.dnb.de/opac.htm?method=simpleSearch&amp;cqlMode=true&amp;query=idn%3D1066968837</v>
      </c>
      <c r="E252" s="64" t="s">
        <v>615</v>
      </c>
      <c r="F252" s="82" t="s">
        <v>89</v>
      </c>
      <c r="G252" s="85" t="s">
        <v>1585</v>
      </c>
      <c r="H252" s="82" t="s">
        <v>50</v>
      </c>
      <c r="I252" s="85" t="s">
        <v>90</v>
      </c>
      <c r="J252" s="85" t="s">
        <v>1586</v>
      </c>
      <c r="K252" s="82" t="s">
        <v>67</v>
      </c>
      <c r="L252" s="82" t="s">
        <v>35</v>
      </c>
      <c r="M252" s="82" t="s">
        <v>37</v>
      </c>
      <c r="N252" s="82">
        <v>0</v>
      </c>
      <c r="O252" s="82"/>
      <c r="P252" s="82"/>
      <c r="Q252" s="82"/>
      <c r="R252" s="82"/>
      <c r="S252" s="97"/>
      <c r="T252" s="97"/>
      <c r="X252" s="94"/>
      <c r="Y252" s="95"/>
      <c r="Z252" s="95"/>
      <c r="AA252" s="94"/>
      <c r="AB252" s="94"/>
      <c r="AC252" s="94"/>
      <c r="AD252" s="94"/>
      <c r="AE252" s="94"/>
      <c r="AF252" s="94"/>
      <c r="AS252" s="94"/>
      <c r="AT252" s="94"/>
      <c r="AU252" s="94"/>
      <c r="AV252" s="94"/>
      <c r="BB252" s="108">
        <f>Schäden_Einband!X252+Schäden_Buchblock!AC252</f>
        <v>0</v>
      </c>
      <c r="BC252" s="95"/>
    </row>
    <row r="253" spans="1:55" ht="46" x14ac:dyDescent="0.25">
      <c r="A253" s="82">
        <v>244</v>
      </c>
      <c r="B253" s="64" t="s">
        <v>616</v>
      </c>
      <c r="C253" s="64">
        <v>1066966095</v>
      </c>
      <c r="D253" s="84" t="str">
        <f t="shared" si="3"/>
        <v>https://portal.dnb.de/opac.htm?method=simpleSearch&amp;cqlMode=true&amp;query=idn%3D1066966095</v>
      </c>
      <c r="E253" s="64" t="s">
        <v>617</v>
      </c>
      <c r="F253" s="82" t="s">
        <v>89</v>
      </c>
      <c r="G253" s="85" t="s">
        <v>1601</v>
      </c>
      <c r="H253" s="82" t="s">
        <v>50</v>
      </c>
      <c r="I253" s="85" t="s">
        <v>55</v>
      </c>
      <c r="J253" s="85" t="s">
        <v>1690</v>
      </c>
      <c r="K253" s="82" t="s">
        <v>67</v>
      </c>
      <c r="L253" s="82" t="s">
        <v>35</v>
      </c>
      <c r="M253" s="82" t="s">
        <v>37</v>
      </c>
      <c r="N253" s="82">
        <v>0</v>
      </c>
      <c r="O253" s="82" t="s">
        <v>76</v>
      </c>
      <c r="P253" s="82"/>
      <c r="Q253" s="82"/>
      <c r="R253" s="82"/>
      <c r="S253" s="97"/>
      <c r="T253" s="97"/>
      <c r="X253" s="94"/>
      <c r="Y253" s="95"/>
      <c r="Z253" s="95"/>
      <c r="AA253" s="94"/>
      <c r="AB253" s="94"/>
      <c r="AC253" s="94"/>
      <c r="AD253" s="94"/>
      <c r="AE253" s="94"/>
      <c r="AF253" s="94"/>
      <c r="AS253" s="94"/>
      <c r="AT253" s="94"/>
      <c r="AU253" s="94"/>
      <c r="AV253" s="94"/>
      <c r="BB253" s="108">
        <f>Schäden_Einband!X253+Schäden_Buchblock!AC253</f>
        <v>0</v>
      </c>
      <c r="BC253" s="95"/>
    </row>
    <row r="254" spans="1:55" ht="46" x14ac:dyDescent="0.25">
      <c r="A254" s="82">
        <v>245</v>
      </c>
      <c r="B254" s="64" t="s">
        <v>618</v>
      </c>
      <c r="C254" s="64">
        <v>1066970718</v>
      </c>
      <c r="D254" s="84" t="str">
        <f t="shared" si="3"/>
        <v>https://portal.dnb.de/opac.htm?method=simpleSearch&amp;cqlMode=true&amp;query=idn%3D1066970718</v>
      </c>
      <c r="E254" s="64" t="s">
        <v>619</v>
      </c>
      <c r="F254" s="82" t="s">
        <v>89</v>
      </c>
      <c r="G254" s="85" t="s">
        <v>1584</v>
      </c>
      <c r="H254" s="82" t="s">
        <v>51</v>
      </c>
      <c r="I254" s="85" t="s">
        <v>90</v>
      </c>
      <c r="J254" s="85" t="s">
        <v>81</v>
      </c>
      <c r="K254" s="82"/>
      <c r="L254" s="82" t="s">
        <v>35</v>
      </c>
      <c r="M254" s="82" t="s">
        <v>37</v>
      </c>
      <c r="N254" s="82">
        <v>0</v>
      </c>
      <c r="O254" s="82"/>
      <c r="P254" s="82"/>
      <c r="Q254" s="82"/>
      <c r="R254" s="82"/>
      <c r="S254" s="97"/>
      <c r="T254" s="97"/>
      <c r="X254" s="94"/>
      <c r="Y254" s="95"/>
      <c r="Z254" s="95"/>
      <c r="AA254" s="94"/>
      <c r="AB254" s="94"/>
      <c r="AC254" s="94"/>
      <c r="AD254" s="94"/>
      <c r="AE254" s="94"/>
      <c r="AF254" s="94"/>
      <c r="AS254" s="94"/>
      <c r="AT254" s="94"/>
      <c r="AU254" s="94"/>
      <c r="AV254" s="94"/>
      <c r="BB254" s="108">
        <f>Schäden_Einband!X254+Schäden_Buchblock!AC254</f>
        <v>0</v>
      </c>
      <c r="BC254" s="95"/>
    </row>
    <row r="255" spans="1:55" ht="46" x14ac:dyDescent="0.25">
      <c r="A255" s="82">
        <v>246</v>
      </c>
      <c r="B255" s="64" t="s">
        <v>620</v>
      </c>
      <c r="C255" s="64">
        <v>1066973288</v>
      </c>
      <c r="D255" s="84" t="str">
        <f t="shared" si="3"/>
        <v>https://portal.dnb.de/opac.htm?method=simpleSearch&amp;cqlMode=true&amp;query=idn%3D1066973288</v>
      </c>
      <c r="E255" s="64" t="s">
        <v>621</v>
      </c>
      <c r="F255" s="82" t="s">
        <v>89</v>
      </c>
      <c r="G255" s="85" t="s">
        <v>1584</v>
      </c>
      <c r="H255" s="82" t="s">
        <v>50</v>
      </c>
      <c r="I255" s="85"/>
      <c r="J255" s="85" t="s">
        <v>1637</v>
      </c>
      <c r="K255" s="82"/>
      <c r="L255" s="82" t="s">
        <v>35</v>
      </c>
      <c r="M255" s="82" t="s">
        <v>37</v>
      </c>
      <c r="N255" s="82">
        <v>0</v>
      </c>
      <c r="O255" s="82"/>
      <c r="P255" s="82"/>
      <c r="Q255" s="82"/>
      <c r="R255" s="82"/>
      <c r="S255" s="97"/>
      <c r="T255" s="97"/>
      <c r="X255" s="94"/>
      <c r="Y255" s="95"/>
      <c r="Z255" s="95"/>
      <c r="AA255" s="94"/>
      <c r="AB255" s="94"/>
      <c r="AC255" s="94"/>
      <c r="AD255" s="94"/>
      <c r="AE255" s="94"/>
      <c r="AF255" s="94"/>
      <c r="AS255" s="94"/>
      <c r="AT255" s="94"/>
      <c r="AU255" s="94"/>
      <c r="AV255" s="94"/>
      <c r="BB255" s="108">
        <f>Schäden_Einband!X255+Schäden_Buchblock!AC255</f>
        <v>0</v>
      </c>
      <c r="BC255" s="95"/>
    </row>
    <row r="256" spans="1:55" ht="34.5" x14ac:dyDescent="0.25">
      <c r="A256" s="82">
        <v>247</v>
      </c>
      <c r="B256" s="64" t="s">
        <v>622</v>
      </c>
      <c r="C256" s="64" t="s">
        <v>623</v>
      </c>
      <c r="D256" s="84" t="str">
        <f t="shared" si="3"/>
        <v>https://portal.dnb.de/opac.htm?method=simpleSearch&amp;cqlMode=true&amp;query=idn%3D106697330X</v>
      </c>
      <c r="E256" s="64" t="s">
        <v>624</v>
      </c>
      <c r="F256" s="82" t="s">
        <v>89</v>
      </c>
      <c r="G256" s="85" t="s">
        <v>3</v>
      </c>
      <c r="H256" s="82" t="s">
        <v>50</v>
      </c>
      <c r="I256" s="85"/>
      <c r="J256" s="85" t="s">
        <v>1612</v>
      </c>
      <c r="K256" s="82" t="s">
        <v>67</v>
      </c>
      <c r="L256" s="82" t="s">
        <v>35</v>
      </c>
      <c r="M256" s="82" t="s">
        <v>37</v>
      </c>
      <c r="N256" s="82">
        <v>1</v>
      </c>
      <c r="O256" s="82"/>
      <c r="P256" s="82"/>
      <c r="Q256" s="82"/>
      <c r="R256" s="82"/>
      <c r="S256" s="97"/>
      <c r="T256" s="97"/>
      <c r="X256" s="94"/>
      <c r="Y256" s="95"/>
      <c r="Z256" s="95"/>
      <c r="AA256" s="94"/>
      <c r="AB256" s="94"/>
      <c r="AC256" s="94"/>
      <c r="AD256" s="94"/>
      <c r="AE256" s="94"/>
      <c r="AF256" s="94"/>
      <c r="AS256" s="94"/>
      <c r="AT256" s="94"/>
      <c r="AU256" s="94"/>
      <c r="AV256" s="94"/>
      <c r="BB256" s="108">
        <f>Schäden_Einband!X256+Schäden_Buchblock!AC256</f>
        <v>0</v>
      </c>
      <c r="BC256" s="95"/>
    </row>
    <row r="257" spans="1:55" ht="46" x14ac:dyDescent="0.25">
      <c r="A257" s="82">
        <v>248</v>
      </c>
      <c r="B257" s="64" t="s">
        <v>625</v>
      </c>
      <c r="C257" s="64">
        <v>1066973377</v>
      </c>
      <c r="D257" s="84" t="str">
        <f t="shared" si="3"/>
        <v>https://portal.dnb.de/opac.htm?method=simpleSearch&amp;cqlMode=true&amp;query=idn%3D1066973377</v>
      </c>
      <c r="E257" s="64" t="s">
        <v>626</v>
      </c>
      <c r="F257" s="82" t="s">
        <v>89</v>
      </c>
      <c r="G257" s="85" t="s">
        <v>1584</v>
      </c>
      <c r="H257" s="82" t="s">
        <v>50</v>
      </c>
      <c r="I257" s="85" t="s">
        <v>55</v>
      </c>
      <c r="J257" s="85" t="s">
        <v>1586</v>
      </c>
      <c r="K257" s="82" t="s">
        <v>67</v>
      </c>
      <c r="L257" s="82" t="s">
        <v>35</v>
      </c>
      <c r="M257" s="82" t="s">
        <v>37</v>
      </c>
      <c r="N257" s="82">
        <v>0</v>
      </c>
      <c r="O257" s="82"/>
      <c r="P257" s="82" t="s">
        <v>1700</v>
      </c>
      <c r="Q257" s="82"/>
      <c r="R257" s="82"/>
      <c r="S257" s="97"/>
      <c r="T257" s="97"/>
      <c r="X257" s="94"/>
      <c r="Y257" s="95"/>
      <c r="Z257" s="95"/>
      <c r="AA257" s="94"/>
      <c r="AB257" s="94"/>
      <c r="AC257" s="94"/>
      <c r="AD257" s="94"/>
      <c r="AE257" s="94"/>
      <c r="AF257" s="94"/>
      <c r="AS257" s="94"/>
      <c r="AT257" s="94"/>
      <c r="AU257" s="94"/>
      <c r="AV257" s="94"/>
      <c r="BB257" s="108">
        <f>Schäden_Einband!X257+Schäden_Buchblock!AC257</f>
        <v>0</v>
      </c>
      <c r="BC257" s="95"/>
    </row>
    <row r="258" spans="1:55" ht="46" x14ac:dyDescent="0.25">
      <c r="A258" s="82">
        <v>249</v>
      </c>
      <c r="B258" s="64" t="s">
        <v>627</v>
      </c>
      <c r="C258" s="64" t="s">
        <v>628</v>
      </c>
      <c r="D258" s="84" t="str">
        <f t="shared" si="3"/>
        <v>https://portal.dnb.de/opac.htm?method=simpleSearch&amp;cqlMode=true&amp;query=idn%3D106696467X</v>
      </c>
      <c r="E258" s="64" t="s">
        <v>629</v>
      </c>
      <c r="F258" s="82" t="s">
        <v>89</v>
      </c>
      <c r="G258" s="85" t="s">
        <v>1584</v>
      </c>
      <c r="H258" s="82" t="s">
        <v>51</v>
      </c>
      <c r="I258" s="85" t="s">
        <v>55</v>
      </c>
      <c r="J258" s="85" t="s">
        <v>1583</v>
      </c>
      <c r="K258" s="82" t="s">
        <v>67</v>
      </c>
      <c r="L258" s="82" t="s">
        <v>35</v>
      </c>
      <c r="M258" s="82" t="s">
        <v>37</v>
      </c>
      <c r="N258" s="82">
        <v>1</v>
      </c>
      <c r="O258" s="82"/>
      <c r="P258" s="82"/>
      <c r="Q258" s="82"/>
      <c r="R258" s="82"/>
      <c r="S258" s="97"/>
      <c r="T258" s="97"/>
      <c r="X258" s="94"/>
      <c r="Y258" s="95"/>
      <c r="Z258" s="95"/>
      <c r="AA258" s="94"/>
      <c r="AB258" s="94"/>
      <c r="AC258" s="94"/>
      <c r="AD258" s="94"/>
      <c r="AE258" s="94"/>
      <c r="AF258" s="94"/>
      <c r="AS258" s="94"/>
      <c r="AT258" s="94"/>
      <c r="AU258" s="94"/>
      <c r="AV258" s="94"/>
      <c r="BB258" s="108">
        <f>Schäden_Einband!X258+Schäden_Buchblock!AC258</f>
        <v>0</v>
      </c>
      <c r="BC258" s="95"/>
    </row>
    <row r="259" spans="1:55" x14ac:dyDescent="0.25">
      <c r="A259" s="82">
        <v>250</v>
      </c>
      <c r="B259" s="64" t="s">
        <v>630</v>
      </c>
      <c r="C259" s="64">
        <v>1066972168</v>
      </c>
      <c r="D259" s="84" t="str">
        <f t="shared" si="3"/>
        <v>https://portal.dnb.de/opac.htm?method=simpleSearch&amp;cqlMode=true&amp;query=idn%3D1066972168</v>
      </c>
      <c r="E259" s="64" t="s">
        <v>631</v>
      </c>
      <c r="F259" s="82" t="s">
        <v>89</v>
      </c>
      <c r="G259" s="85" t="s">
        <v>3</v>
      </c>
      <c r="H259" s="82" t="s">
        <v>50</v>
      </c>
      <c r="I259" s="85"/>
      <c r="J259" s="85" t="s">
        <v>81</v>
      </c>
      <c r="K259" s="82"/>
      <c r="L259" s="82" t="s">
        <v>35</v>
      </c>
      <c r="M259" s="82" t="s">
        <v>37</v>
      </c>
      <c r="N259" s="82">
        <v>1</v>
      </c>
      <c r="O259" s="82"/>
      <c r="P259" s="82"/>
      <c r="Q259" s="82"/>
      <c r="R259" s="82"/>
      <c r="S259" s="97"/>
      <c r="T259" s="97"/>
      <c r="X259" s="94"/>
      <c r="Y259" s="95"/>
      <c r="Z259" s="95"/>
      <c r="AA259" s="94"/>
      <c r="AB259" s="94"/>
      <c r="AC259" s="94"/>
      <c r="AD259" s="94"/>
      <c r="AE259" s="94"/>
      <c r="AF259" s="94"/>
      <c r="AS259" s="94"/>
      <c r="AT259" s="94"/>
      <c r="AU259" s="94"/>
      <c r="AV259" s="94"/>
      <c r="BB259" s="108">
        <f>Schäden_Einband!X259+Schäden_Buchblock!AC259</f>
        <v>0</v>
      </c>
      <c r="BC259" s="95"/>
    </row>
    <row r="260" spans="1:55" ht="23" x14ac:dyDescent="0.25">
      <c r="A260" s="82">
        <v>251</v>
      </c>
      <c r="B260" s="64" t="s">
        <v>632</v>
      </c>
      <c r="C260" s="64">
        <v>1066969981</v>
      </c>
      <c r="D260" s="84" t="str">
        <f t="shared" si="3"/>
        <v>https://portal.dnb.de/opac.htm?method=simpleSearch&amp;cqlMode=true&amp;query=idn%3D1066969981</v>
      </c>
      <c r="E260" s="64" t="s">
        <v>633</v>
      </c>
      <c r="F260" s="82" t="s">
        <v>89</v>
      </c>
      <c r="G260" s="85" t="s">
        <v>4</v>
      </c>
      <c r="H260" s="82" t="s">
        <v>50</v>
      </c>
      <c r="I260" s="85" t="s">
        <v>55</v>
      </c>
      <c r="J260" s="85" t="s">
        <v>1586</v>
      </c>
      <c r="K260" s="82" t="s">
        <v>67</v>
      </c>
      <c r="L260" s="82" t="s">
        <v>35</v>
      </c>
      <c r="M260" s="82" t="s">
        <v>37</v>
      </c>
      <c r="N260" s="82">
        <v>0</v>
      </c>
      <c r="O260" s="82"/>
      <c r="P260" s="82"/>
      <c r="Q260" s="82"/>
      <c r="R260" s="82"/>
      <c r="S260" s="97"/>
      <c r="T260" s="97"/>
      <c r="X260" s="94"/>
      <c r="Y260" s="95"/>
      <c r="Z260" s="95"/>
      <c r="AA260" s="94"/>
      <c r="AB260" s="94"/>
      <c r="AC260" s="94"/>
      <c r="AD260" s="94"/>
      <c r="AE260" s="94"/>
      <c r="AF260" s="94"/>
      <c r="AS260" s="94"/>
      <c r="AT260" s="94"/>
      <c r="AU260" s="94"/>
      <c r="AV260" s="94"/>
      <c r="BB260" s="108">
        <f>Schäden_Einband!X260+Schäden_Buchblock!AC260</f>
        <v>0</v>
      </c>
      <c r="BC260" s="95"/>
    </row>
    <row r="261" spans="1:55" x14ac:dyDescent="0.25">
      <c r="A261" s="82">
        <v>252</v>
      </c>
      <c r="B261" s="64" t="s">
        <v>634</v>
      </c>
      <c r="C261" s="64">
        <v>1001280369</v>
      </c>
      <c r="D261" s="84" t="str">
        <f t="shared" si="3"/>
        <v>https://portal.dnb.de/opac.htm?method=simpleSearch&amp;cqlMode=true&amp;query=idn%3D1001280369</v>
      </c>
      <c r="E261" s="64" t="s">
        <v>635</v>
      </c>
      <c r="F261" s="82"/>
      <c r="G261" s="85"/>
      <c r="H261" s="82"/>
      <c r="I261" s="85"/>
      <c r="J261" s="85"/>
      <c r="K261" s="82"/>
      <c r="L261" s="82"/>
      <c r="M261" s="82"/>
      <c r="N261" s="82"/>
      <c r="O261" s="82"/>
      <c r="P261" s="82"/>
      <c r="Q261" s="82"/>
      <c r="R261" s="82"/>
      <c r="S261" s="97"/>
      <c r="T261" s="97"/>
      <c r="X261" s="94"/>
      <c r="Y261" s="95"/>
      <c r="Z261" s="95"/>
      <c r="AA261" s="94"/>
      <c r="AB261" s="94"/>
      <c r="AC261" s="94"/>
      <c r="AD261" s="94"/>
      <c r="AE261" s="94"/>
      <c r="AF261" s="94"/>
      <c r="AS261" s="94"/>
      <c r="AT261" s="94"/>
      <c r="AU261" s="94"/>
      <c r="AV261" s="94"/>
      <c r="BB261" s="108">
        <f>Schäden_Einband!X261+Schäden_Buchblock!AC261</f>
        <v>0</v>
      </c>
      <c r="BC261" s="95"/>
    </row>
    <row r="262" spans="1:55" x14ac:dyDescent="0.25">
      <c r="A262" s="82">
        <v>253</v>
      </c>
      <c r="B262" s="64" t="s">
        <v>636</v>
      </c>
      <c r="C262" s="64">
        <v>1066965951</v>
      </c>
      <c r="D262" s="84" t="str">
        <f t="shared" si="3"/>
        <v>https://portal.dnb.de/opac.htm?method=simpleSearch&amp;cqlMode=true&amp;query=idn%3D1066965951</v>
      </c>
      <c r="E262" s="64" t="s">
        <v>637</v>
      </c>
      <c r="F262" s="82"/>
      <c r="G262" s="85"/>
      <c r="H262" s="82"/>
      <c r="I262" s="85"/>
      <c r="J262" s="85"/>
      <c r="K262" s="82"/>
      <c r="L262" s="82"/>
      <c r="M262" s="82"/>
      <c r="N262" s="82"/>
      <c r="O262" s="82"/>
      <c r="P262" s="82"/>
      <c r="Q262" s="82"/>
      <c r="R262" s="82"/>
      <c r="S262" s="97"/>
      <c r="T262" s="97"/>
      <c r="X262" s="94"/>
      <c r="Y262" s="95"/>
      <c r="Z262" s="95"/>
      <c r="AA262" s="94"/>
      <c r="AB262" s="94"/>
      <c r="AC262" s="94"/>
      <c r="AD262" s="94"/>
      <c r="AE262" s="94"/>
      <c r="AF262" s="94"/>
      <c r="AS262" s="94"/>
      <c r="AT262" s="94"/>
      <c r="AU262" s="94"/>
      <c r="AV262" s="94"/>
      <c r="BB262" s="108">
        <f>Schäden_Einband!X262+Schäden_Buchblock!AC262</f>
        <v>0</v>
      </c>
      <c r="BC262" s="95"/>
    </row>
    <row r="263" spans="1:55" x14ac:dyDescent="0.25">
      <c r="A263" s="82">
        <v>254</v>
      </c>
      <c r="B263" s="64" t="s">
        <v>638</v>
      </c>
      <c r="C263" s="64">
        <v>1066970734</v>
      </c>
      <c r="D263" s="84" t="str">
        <f t="shared" si="3"/>
        <v>https://portal.dnb.de/opac.htm?method=simpleSearch&amp;cqlMode=true&amp;query=idn%3D1066970734</v>
      </c>
      <c r="E263" s="64" t="s">
        <v>639</v>
      </c>
      <c r="F263" s="82"/>
      <c r="G263" s="85"/>
      <c r="H263" s="82"/>
      <c r="I263" s="85"/>
      <c r="J263" s="85"/>
      <c r="K263" s="82"/>
      <c r="L263" s="82"/>
      <c r="M263" s="82"/>
      <c r="N263" s="82"/>
      <c r="O263" s="82"/>
      <c r="P263" s="82"/>
      <c r="Q263" s="82"/>
      <c r="R263" s="82"/>
      <c r="S263" s="97"/>
      <c r="T263" s="97"/>
      <c r="X263" s="94"/>
      <c r="Y263" s="95"/>
      <c r="Z263" s="95"/>
      <c r="AA263" s="94"/>
      <c r="AB263" s="94"/>
      <c r="AC263" s="94"/>
      <c r="AD263" s="94"/>
      <c r="AE263" s="94"/>
      <c r="AF263" s="94"/>
      <c r="AS263" s="94"/>
      <c r="AT263" s="94"/>
      <c r="AU263" s="94"/>
      <c r="AV263" s="94"/>
      <c r="BB263" s="108">
        <f>Schäden_Einband!X263+Schäden_Buchblock!AC263</f>
        <v>0</v>
      </c>
      <c r="BC263" s="95"/>
    </row>
    <row r="264" spans="1:55" x14ac:dyDescent="0.25">
      <c r="A264" s="82">
        <v>255</v>
      </c>
      <c r="B264" s="64" t="s">
        <v>640</v>
      </c>
      <c r="C264" s="64">
        <v>1072319012</v>
      </c>
      <c r="D264" s="84" t="str">
        <f t="shared" si="3"/>
        <v>https://portal.dnb.de/opac.htm?method=simpleSearch&amp;cqlMode=true&amp;query=idn%3D1072319012</v>
      </c>
      <c r="E264" s="64" t="s">
        <v>641</v>
      </c>
      <c r="F264" s="82"/>
      <c r="G264" s="85"/>
      <c r="H264" s="82"/>
      <c r="I264" s="85"/>
      <c r="J264" s="85"/>
      <c r="K264" s="82"/>
      <c r="L264" s="82"/>
      <c r="M264" s="82"/>
      <c r="N264" s="82"/>
      <c r="O264" s="82"/>
      <c r="P264" s="82"/>
      <c r="Q264" s="82"/>
      <c r="R264" s="82"/>
      <c r="S264" s="97"/>
      <c r="T264" s="97"/>
      <c r="X264" s="94"/>
      <c r="Y264" s="95"/>
      <c r="Z264" s="95"/>
      <c r="AA264" s="94"/>
      <c r="AB264" s="94"/>
      <c r="AC264" s="94"/>
      <c r="AD264" s="94"/>
      <c r="AE264" s="94"/>
      <c r="AF264" s="94"/>
      <c r="AS264" s="94"/>
      <c r="AT264" s="94"/>
      <c r="AU264" s="94"/>
      <c r="AV264" s="94"/>
      <c r="BB264" s="108">
        <f>Schäden_Einband!X264+Schäden_Buchblock!AC264</f>
        <v>0</v>
      </c>
      <c r="BC264" s="95"/>
    </row>
    <row r="265" spans="1:55" x14ac:dyDescent="0.25">
      <c r="A265" s="82">
        <v>256</v>
      </c>
      <c r="B265" s="64" t="s">
        <v>642</v>
      </c>
      <c r="C265" s="64" t="s">
        <v>643</v>
      </c>
      <c r="D265" s="84" t="str">
        <f t="shared" si="3"/>
        <v>https://portal.dnb.de/opac.htm?method=simpleSearch&amp;cqlMode=true&amp;query=idn%3D107205888X</v>
      </c>
      <c r="E265" s="64" t="s">
        <v>644</v>
      </c>
      <c r="F265" s="82"/>
      <c r="G265" s="85"/>
      <c r="H265" s="82"/>
      <c r="I265" s="85"/>
      <c r="J265" s="85"/>
      <c r="K265" s="82"/>
      <c r="L265" s="82"/>
      <c r="M265" s="82"/>
      <c r="N265" s="82"/>
      <c r="O265" s="82"/>
      <c r="P265" s="82"/>
      <c r="Q265" s="82"/>
      <c r="R265" s="82"/>
      <c r="S265" s="97"/>
      <c r="T265" s="97"/>
      <c r="X265" s="94"/>
      <c r="Y265" s="95"/>
      <c r="Z265" s="95"/>
      <c r="AA265" s="94"/>
      <c r="AB265" s="94"/>
      <c r="AC265" s="94"/>
      <c r="AD265" s="94"/>
      <c r="AE265" s="94"/>
      <c r="AF265" s="94"/>
      <c r="AS265" s="94"/>
      <c r="AT265" s="94"/>
      <c r="AU265" s="94"/>
      <c r="AV265" s="94"/>
      <c r="BB265" s="108">
        <f>Schäden_Einband!X265+Schäden_Buchblock!AC265</f>
        <v>0</v>
      </c>
      <c r="BC265" s="95"/>
    </row>
    <row r="266" spans="1:55" x14ac:dyDescent="0.25">
      <c r="A266" s="82">
        <v>257</v>
      </c>
      <c r="B266" s="64" t="s">
        <v>645</v>
      </c>
      <c r="C266" s="64">
        <v>1066965099</v>
      </c>
      <c r="D266" s="84" t="str">
        <f t="shared" si="3"/>
        <v>https://portal.dnb.de/opac.htm?method=simpleSearch&amp;cqlMode=true&amp;query=idn%3D1066965099</v>
      </c>
      <c r="E266" s="64" t="s">
        <v>646</v>
      </c>
      <c r="F266" s="82"/>
      <c r="G266" s="85"/>
      <c r="H266" s="82"/>
      <c r="I266" s="85"/>
      <c r="J266" s="85"/>
      <c r="K266" s="82"/>
      <c r="L266" s="82"/>
      <c r="M266" s="82"/>
      <c r="N266" s="82"/>
      <c r="O266" s="82"/>
      <c r="P266" s="82"/>
      <c r="Q266" s="82"/>
      <c r="R266" s="82"/>
      <c r="S266" s="97"/>
      <c r="T266" s="97"/>
      <c r="X266" s="94"/>
      <c r="Y266" s="95"/>
      <c r="Z266" s="95"/>
      <c r="AA266" s="94"/>
      <c r="AB266" s="94"/>
      <c r="AC266" s="94"/>
      <c r="AD266" s="94"/>
      <c r="AE266" s="94"/>
      <c r="AF266" s="94"/>
      <c r="AS266" s="94"/>
      <c r="AT266" s="94"/>
      <c r="AU266" s="94"/>
      <c r="AV266" s="94"/>
      <c r="BB266" s="108">
        <f>Schäden_Einband!X266+Schäden_Buchblock!AC266</f>
        <v>0</v>
      </c>
      <c r="BC266" s="95"/>
    </row>
    <row r="267" spans="1:55" x14ac:dyDescent="0.25">
      <c r="A267" s="82">
        <v>258</v>
      </c>
      <c r="B267" s="64" t="s">
        <v>647</v>
      </c>
      <c r="C267" s="64">
        <v>1066969663</v>
      </c>
      <c r="D267" s="84" t="str">
        <f t="shared" ref="D267:D334" si="4">HYPERLINK(CONCATENATE("https://portal.dnb.de/opac.htm?method=simpleSearch&amp;cqlMode=true&amp;query=idn%3D",C267))</f>
        <v>https://portal.dnb.de/opac.htm?method=simpleSearch&amp;cqlMode=true&amp;query=idn%3D1066969663</v>
      </c>
      <c r="E267" s="64" t="s">
        <v>648</v>
      </c>
      <c r="F267" s="82"/>
      <c r="G267" s="85"/>
      <c r="H267" s="82"/>
      <c r="I267" s="85"/>
      <c r="J267" s="85"/>
      <c r="K267" s="82"/>
      <c r="L267" s="82"/>
      <c r="M267" s="82"/>
      <c r="N267" s="82"/>
      <c r="O267" s="82"/>
      <c r="P267" s="82"/>
      <c r="Q267" s="82"/>
      <c r="R267" s="82"/>
      <c r="S267" s="97"/>
      <c r="T267" s="97"/>
      <c r="X267" s="94"/>
      <c r="Y267" s="95"/>
      <c r="Z267" s="95"/>
      <c r="AA267" s="94"/>
      <c r="AB267" s="94"/>
      <c r="AC267" s="94"/>
      <c r="AD267" s="94"/>
      <c r="AE267" s="94"/>
      <c r="AF267" s="94"/>
      <c r="AS267" s="94"/>
      <c r="AT267" s="94"/>
      <c r="AU267" s="94"/>
      <c r="AV267" s="94"/>
      <c r="BB267" s="108">
        <f>Schäden_Einband!X267+Schäden_Buchblock!AC267</f>
        <v>0</v>
      </c>
      <c r="BC267" s="95"/>
    </row>
    <row r="268" spans="1:55" x14ac:dyDescent="0.25">
      <c r="A268" s="82">
        <v>259</v>
      </c>
      <c r="B268" s="64" t="s">
        <v>649</v>
      </c>
      <c r="C268" s="64">
        <v>1066973210</v>
      </c>
      <c r="D268" s="84" t="str">
        <f t="shared" si="4"/>
        <v>https://portal.dnb.de/opac.htm?method=simpleSearch&amp;cqlMode=true&amp;query=idn%3D1066973210</v>
      </c>
      <c r="E268" s="64" t="s">
        <v>650</v>
      </c>
      <c r="F268" s="82"/>
      <c r="G268" s="85"/>
      <c r="H268" s="82"/>
      <c r="I268" s="85"/>
      <c r="J268" s="85"/>
      <c r="K268" s="82"/>
      <c r="L268" s="82"/>
      <c r="M268" s="82"/>
      <c r="N268" s="82"/>
      <c r="O268" s="82"/>
      <c r="P268" s="82"/>
      <c r="Q268" s="82"/>
      <c r="R268" s="82"/>
      <c r="S268" s="97"/>
      <c r="T268" s="97"/>
      <c r="X268" s="94"/>
      <c r="Y268" s="95"/>
      <c r="Z268" s="95"/>
      <c r="AA268" s="94"/>
      <c r="AB268" s="94"/>
      <c r="AC268" s="94"/>
      <c r="AD268" s="94"/>
      <c r="AE268" s="94"/>
      <c r="AF268" s="94"/>
      <c r="AS268" s="94"/>
      <c r="AT268" s="94"/>
      <c r="AU268" s="94"/>
      <c r="AV268" s="94"/>
      <c r="BB268" s="108">
        <f>Schäden_Einband!X268+Schäden_Buchblock!AC268</f>
        <v>0</v>
      </c>
      <c r="BC268" s="95"/>
    </row>
    <row r="269" spans="1:55" x14ac:dyDescent="0.25">
      <c r="A269" s="82">
        <v>260</v>
      </c>
      <c r="B269" s="64" t="s">
        <v>651</v>
      </c>
      <c r="C269" s="64">
        <v>1072320371</v>
      </c>
      <c r="D269" s="84" t="str">
        <f t="shared" si="4"/>
        <v>https://portal.dnb.de/opac.htm?method=simpleSearch&amp;cqlMode=true&amp;query=idn%3D1072320371</v>
      </c>
      <c r="E269" s="64" t="s">
        <v>652</v>
      </c>
      <c r="F269" s="82"/>
      <c r="G269" s="85"/>
      <c r="H269" s="82"/>
      <c r="I269" s="85"/>
      <c r="J269" s="85"/>
      <c r="K269" s="82"/>
      <c r="L269" s="82"/>
      <c r="M269" s="82"/>
      <c r="N269" s="82"/>
      <c r="O269" s="82"/>
      <c r="P269" s="82"/>
      <c r="Q269" s="82"/>
      <c r="R269" s="82"/>
      <c r="S269" s="97"/>
      <c r="T269" s="97"/>
      <c r="X269" s="94"/>
      <c r="Y269" s="95"/>
      <c r="Z269" s="95"/>
      <c r="AA269" s="94"/>
      <c r="AB269" s="94"/>
      <c r="AC269" s="94"/>
      <c r="AD269" s="94"/>
      <c r="AE269" s="94"/>
      <c r="AF269" s="94"/>
      <c r="AS269" s="94"/>
      <c r="AT269" s="94"/>
      <c r="AU269" s="94"/>
      <c r="AV269" s="94"/>
      <c r="BB269" s="108">
        <f>Schäden_Einband!X269+Schäden_Buchblock!AC269</f>
        <v>0</v>
      </c>
      <c r="BC269" s="95"/>
    </row>
    <row r="270" spans="1:55" x14ac:dyDescent="0.25">
      <c r="A270" s="82">
        <v>261</v>
      </c>
      <c r="B270" s="64" t="s">
        <v>653</v>
      </c>
      <c r="C270" s="64">
        <v>1072320568</v>
      </c>
      <c r="D270" s="84" t="str">
        <f t="shared" si="4"/>
        <v>https://portal.dnb.de/opac.htm?method=simpleSearch&amp;cqlMode=true&amp;query=idn%3D1072320568</v>
      </c>
      <c r="E270" s="64" t="s">
        <v>654</v>
      </c>
      <c r="F270" s="82"/>
      <c r="G270" s="85"/>
      <c r="H270" s="82"/>
      <c r="I270" s="85"/>
      <c r="J270" s="85"/>
      <c r="K270" s="82"/>
      <c r="L270" s="82"/>
      <c r="M270" s="82"/>
      <c r="N270" s="82"/>
      <c r="O270" s="82"/>
      <c r="P270" s="82"/>
      <c r="Q270" s="82"/>
      <c r="R270" s="82"/>
      <c r="S270" s="97"/>
      <c r="T270" s="97"/>
      <c r="X270" s="94"/>
      <c r="Y270" s="95"/>
      <c r="Z270" s="95"/>
      <c r="AA270" s="94"/>
      <c r="AB270" s="94"/>
      <c r="AC270" s="94"/>
      <c r="AD270" s="94"/>
      <c r="AE270" s="94"/>
      <c r="AF270" s="94"/>
      <c r="AS270" s="94"/>
      <c r="AT270" s="94"/>
      <c r="AU270" s="94"/>
      <c r="AV270" s="94"/>
      <c r="BB270" s="108">
        <f>Schäden_Einband!X270+Schäden_Buchblock!AC270</f>
        <v>0</v>
      </c>
      <c r="BC270" s="95"/>
    </row>
    <row r="271" spans="1:55" x14ac:dyDescent="0.25">
      <c r="A271" s="82">
        <v>262</v>
      </c>
      <c r="B271" s="64" t="s">
        <v>655</v>
      </c>
      <c r="C271" s="64">
        <v>1072059312</v>
      </c>
      <c r="D271" s="84" t="str">
        <f t="shared" si="4"/>
        <v>https://portal.dnb.de/opac.htm?method=simpleSearch&amp;cqlMode=true&amp;query=idn%3D1072059312</v>
      </c>
      <c r="E271" s="64" t="s">
        <v>656</v>
      </c>
      <c r="F271" s="82"/>
      <c r="G271" s="85"/>
      <c r="H271" s="82"/>
      <c r="I271" s="85"/>
      <c r="J271" s="85"/>
      <c r="K271" s="82"/>
      <c r="L271" s="82"/>
      <c r="M271" s="82"/>
      <c r="N271" s="82"/>
      <c r="O271" s="82"/>
      <c r="P271" s="82"/>
      <c r="Q271" s="82"/>
      <c r="R271" s="82"/>
      <c r="S271" s="97"/>
      <c r="T271" s="97"/>
      <c r="X271" s="94"/>
      <c r="Y271" s="95"/>
      <c r="Z271" s="95"/>
      <c r="AA271" s="94"/>
      <c r="AB271" s="94"/>
      <c r="AC271" s="94"/>
      <c r="AD271" s="94"/>
      <c r="AE271" s="94"/>
      <c r="AF271" s="94"/>
      <c r="AS271" s="94"/>
      <c r="AT271" s="94"/>
      <c r="AU271" s="94"/>
      <c r="AV271" s="94"/>
      <c r="BB271" s="108">
        <f>Schäden_Einband!X271+Schäden_Buchblock!AC271</f>
        <v>0</v>
      </c>
      <c r="BC271" s="95"/>
    </row>
    <row r="272" spans="1:55" x14ac:dyDescent="0.25">
      <c r="A272" s="82">
        <v>263</v>
      </c>
      <c r="B272" s="64" t="s">
        <v>657</v>
      </c>
      <c r="C272" s="64">
        <v>1067438289</v>
      </c>
      <c r="D272" s="84" t="str">
        <f t="shared" si="4"/>
        <v>https://portal.dnb.de/opac.htm?method=simpleSearch&amp;cqlMode=true&amp;query=idn%3D1067438289</v>
      </c>
      <c r="E272" s="64" t="s">
        <v>658</v>
      </c>
      <c r="F272" s="82"/>
      <c r="G272" s="85"/>
      <c r="H272" s="82"/>
      <c r="I272" s="85"/>
      <c r="J272" s="85"/>
      <c r="K272" s="82"/>
      <c r="L272" s="82"/>
      <c r="M272" s="82"/>
      <c r="N272" s="82"/>
      <c r="O272" s="82"/>
      <c r="P272" s="82"/>
      <c r="Q272" s="82"/>
      <c r="R272" s="82"/>
      <c r="S272" s="97"/>
      <c r="T272" s="97"/>
      <c r="X272" s="94"/>
      <c r="Y272" s="95"/>
      <c r="Z272" s="95"/>
      <c r="AA272" s="94"/>
      <c r="AB272" s="94"/>
      <c r="AC272" s="94"/>
      <c r="AD272" s="94"/>
      <c r="AE272" s="94"/>
      <c r="AF272" s="94"/>
      <c r="AS272" s="94"/>
      <c r="AT272" s="94"/>
      <c r="AU272" s="94"/>
      <c r="AV272" s="94"/>
      <c r="BB272" s="108">
        <f>Schäden_Einband!X272+Schäden_Buchblock!AC272</f>
        <v>0</v>
      </c>
      <c r="BC272" s="95"/>
    </row>
    <row r="273" spans="1:55" x14ac:dyDescent="0.25">
      <c r="A273" s="82">
        <v>264</v>
      </c>
      <c r="B273" s="64" t="s">
        <v>659</v>
      </c>
      <c r="C273" s="64">
        <v>1067438548</v>
      </c>
      <c r="D273" s="84" t="str">
        <f t="shared" si="4"/>
        <v>https://portal.dnb.de/opac.htm?method=simpleSearch&amp;cqlMode=true&amp;query=idn%3D1067438548</v>
      </c>
      <c r="E273" s="64" t="s">
        <v>660</v>
      </c>
      <c r="F273" s="82"/>
      <c r="G273" s="85"/>
      <c r="H273" s="82"/>
      <c r="I273" s="85"/>
      <c r="J273" s="85"/>
      <c r="K273" s="82"/>
      <c r="L273" s="82"/>
      <c r="M273" s="82"/>
      <c r="N273" s="82"/>
      <c r="O273" s="82"/>
      <c r="P273" s="82"/>
      <c r="Q273" s="82"/>
      <c r="R273" s="82"/>
      <c r="S273" s="97"/>
      <c r="T273" s="97"/>
      <c r="X273" s="94"/>
      <c r="Y273" s="95"/>
      <c r="Z273" s="95"/>
      <c r="AA273" s="94"/>
      <c r="AB273" s="94"/>
      <c r="AC273" s="94"/>
      <c r="AD273" s="94"/>
      <c r="AE273" s="94"/>
      <c r="AF273" s="94"/>
      <c r="AS273" s="94"/>
      <c r="AT273" s="94"/>
      <c r="AU273" s="94"/>
      <c r="AV273" s="94"/>
      <c r="BB273" s="108">
        <f>Schäden_Einband!X273+Schäden_Buchblock!AC273</f>
        <v>0</v>
      </c>
      <c r="BC273" s="95"/>
    </row>
    <row r="274" spans="1:55" x14ac:dyDescent="0.25">
      <c r="A274" s="82">
        <v>265</v>
      </c>
      <c r="B274" s="64" t="s">
        <v>661</v>
      </c>
      <c r="C274" s="64">
        <v>1067439005</v>
      </c>
      <c r="D274" s="84" t="str">
        <f t="shared" si="4"/>
        <v>https://portal.dnb.de/opac.htm?method=simpleSearch&amp;cqlMode=true&amp;query=idn%3D1067439005</v>
      </c>
      <c r="E274" s="64" t="s">
        <v>662</v>
      </c>
      <c r="F274" s="82"/>
      <c r="G274" s="85"/>
      <c r="H274" s="82"/>
      <c r="I274" s="85"/>
      <c r="J274" s="85"/>
      <c r="K274" s="82"/>
      <c r="L274" s="82"/>
      <c r="M274" s="82"/>
      <c r="N274" s="82"/>
      <c r="O274" s="82"/>
      <c r="P274" s="82"/>
      <c r="Q274" s="82"/>
      <c r="R274" s="82"/>
      <c r="S274" s="97"/>
      <c r="T274" s="97"/>
      <c r="X274" s="94"/>
      <c r="Y274" s="95"/>
      <c r="Z274" s="95"/>
      <c r="AA274" s="94"/>
      <c r="AB274" s="94"/>
      <c r="AC274" s="94"/>
      <c r="AD274" s="94"/>
      <c r="AE274" s="94"/>
      <c r="AF274" s="94"/>
      <c r="AS274" s="94"/>
      <c r="AT274" s="94"/>
      <c r="AU274" s="94"/>
      <c r="AV274" s="94"/>
      <c r="BB274" s="108">
        <f>Schäden_Einband!X274+Schäden_Buchblock!AC274</f>
        <v>0</v>
      </c>
      <c r="BC274" s="95"/>
    </row>
    <row r="275" spans="1:55" x14ac:dyDescent="0.25">
      <c r="A275" s="82">
        <v>266</v>
      </c>
      <c r="B275" s="64" t="s">
        <v>663</v>
      </c>
      <c r="C275" s="64">
        <v>1072059665</v>
      </c>
      <c r="D275" s="84" t="str">
        <f t="shared" si="4"/>
        <v>https://portal.dnb.de/opac.htm?method=simpleSearch&amp;cqlMode=true&amp;query=idn%3D1072059665</v>
      </c>
      <c r="E275" s="64" t="s">
        <v>664</v>
      </c>
      <c r="F275" s="82"/>
      <c r="G275" s="85"/>
      <c r="H275" s="82"/>
      <c r="I275" s="85"/>
      <c r="J275" s="85"/>
      <c r="K275" s="82"/>
      <c r="L275" s="82"/>
      <c r="M275" s="82"/>
      <c r="N275" s="82"/>
      <c r="O275" s="82"/>
      <c r="P275" s="82"/>
      <c r="Q275" s="82"/>
      <c r="R275" s="82"/>
      <c r="S275" s="97"/>
      <c r="T275" s="97"/>
      <c r="X275" s="94"/>
      <c r="Y275" s="95"/>
      <c r="Z275" s="95"/>
      <c r="AA275" s="94"/>
      <c r="AB275" s="94"/>
      <c r="AC275" s="94"/>
      <c r="AD275" s="94"/>
      <c r="AE275" s="94"/>
      <c r="AF275" s="94"/>
      <c r="AS275" s="94"/>
      <c r="AT275" s="94"/>
      <c r="AU275" s="94"/>
      <c r="AV275" s="94"/>
      <c r="BB275" s="108">
        <f>Schäden_Einband!X275+Schäden_Buchblock!AC275</f>
        <v>0</v>
      </c>
      <c r="BC275" s="95"/>
    </row>
    <row r="276" spans="1:55" x14ac:dyDescent="0.25">
      <c r="A276" s="82">
        <v>267</v>
      </c>
      <c r="B276" s="64" t="s">
        <v>665</v>
      </c>
      <c r="C276" s="64">
        <v>1066967202</v>
      </c>
      <c r="D276" s="84" t="str">
        <f t="shared" si="4"/>
        <v>https://portal.dnb.de/opac.htm?method=simpleSearch&amp;cqlMode=true&amp;query=idn%3D1066967202</v>
      </c>
      <c r="E276" s="64" t="s">
        <v>666</v>
      </c>
      <c r="F276" s="82"/>
      <c r="G276" s="85"/>
      <c r="H276" s="82"/>
      <c r="I276" s="85"/>
      <c r="J276" s="85"/>
      <c r="K276" s="82"/>
      <c r="L276" s="82"/>
      <c r="M276" s="82"/>
      <c r="N276" s="82"/>
      <c r="O276" s="82"/>
      <c r="P276" s="82"/>
      <c r="Q276" s="82"/>
      <c r="R276" s="82"/>
      <c r="S276" s="97"/>
      <c r="T276" s="97"/>
      <c r="X276" s="94"/>
      <c r="Y276" s="95"/>
      <c r="Z276" s="95"/>
      <c r="AA276" s="94"/>
      <c r="AB276" s="94"/>
      <c r="AC276" s="94"/>
      <c r="AD276" s="94"/>
      <c r="AE276" s="94"/>
      <c r="AF276" s="94"/>
      <c r="AS276" s="94"/>
      <c r="AT276" s="94"/>
      <c r="AU276" s="94"/>
      <c r="AV276" s="94"/>
      <c r="BB276" s="108">
        <f>Schäden_Einband!X276+Schäden_Buchblock!AC276</f>
        <v>0</v>
      </c>
      <c r="BC276" s="95"/>
    </row>
    <row r="277" spans="1:55" x14ac:dyDescent="0.25">
      <c r="A277" s="82">
        <v>268</v>
      </c>
      <c r="B277" s="64" t="s">
        <v>667</v>
      </c>
      <c r="C277" s="64">
        <v>1066967202</v>
      </c>
      <c r="D277" s="84" t="str">
        <f t="shared" si="4"/>
        <v>https://portal.dnb.de/opac.htm?method=simpleSearch&amp;cqlMode=true&amp;query=idn%3D1066967202</v>
      </c>
      <c r="E277" s="64" t="s">
        <v>668</v>
      </c>
      <c r="F277" s="82"/>
      <c r="G277" s="85"/>
      <c r="H277" s="82"/>
      <c r="I277" s="85"/>
      <c r="J277" s="85"/>
      <c r="K277" s="82"/>
      <c r="L277" s="82"/>
      <c r="M277" s="82"/>
      <c r="N277" s="82"/>
      <c r="O277" s="82"/>
      <c r="P277" s="82"/>
      <c r="Q277" s="82"/>
      <c r="R277" s="82"/>
      <c r="S277" s="97"/>
      <c r="T277" s="97"/>
      <c r="X277" s="94"/>
      <c r="Y277" s="95"/>
      <c r="Z277" s="95"/>
      <c r="AA277" s="94"/>
      <c r="AB277" s="94"/>
      <c r="AC277" s="94"/>
      <c r="AD277" s="94"/>
      <c r="AE277" s="94"/>
      <c r="AF277" s="94"/>
      <c r="AS277" s="94"/>
      <c r="AT277" s="94"/>
      <c r="AU277" s="94"/>
      <c r="AV277" s="94"/>
      <c r="BB277" s="108">
        <f>Schäden_Einband!X277+Schäden_Buchblock!AC277</f>
        <v>0</v>
      </c>
      <c r="BC277" s="95"/>
    </row>
    <row r="278" spans="1:55" x14ac:dyDescent="0.25">
      <c r="A278" s="82">
        <v>269</v>
      </c>
      <c r="B278" s="64" t="s">
        <v>669</v>
      </c>
      <c r="C278" s="64">
        <v>1066967636</v>
      </c>
      <c r="D278" s="84" t="str">
        <f t="shared" si="4"/>
        <v>https://portal.dnb.de/opac.htm?method=simpleSearch&amp;cqlMode=true&amp;query=idn%3D1066967636</v>
      </c>
      <c r="E278" s="64" t="s">
        <v>670</v>
      </c>
      <c r="F278" s="82"/>
      <c r="G278" s="85"/>
      <c r="H278" s="82"/>
      <c r="I278" s="85"/>
      <c r="J278" s="85"/>
      <c r="K278" s="82"/>
      <c r="L278" s="82"/>
      <c r="M278" s="82"/>
      <c r="N278" s="82"/>
      <c r="O278" s="82"/>
      <c r="P278" s="82"/>
      <c r="Q278" s="82"/>
      <c r="R278" s="82"/>
      <c r="S278" s="97"/>
      <c r="T278" s="97"/>
      <c r="X278" s="94"/>
      <c r="Y278" s="95"/>
      <c r="Z278" s="95"/>
      <c r="AA278" s="94"/>
      <c r="AB278" s="94"/>
      <c r="AC278" s="94"/>
      <c r="AD278" s="94"/>
      <c r="AE278" s="94"/>
      <c r="AF278" s="94"/>
      <c r="AS278" s="94"/>
      <c r="AT278" s="94"/>
      <c r="AU278" s="94"/>
      <c r="AV278" s="94"/>
      <c r="BB278" s="108">
        <f>Schäden_Einband!X278+Schäden_Buchblock!AC278</f>
        <v>0</v>
      </c>
      <c r="BC278" s="95"/>
    </row>
    <row r="279" spans="1:55" x14ac:dyDescent="0.25">
      <c r="A279" s="82">
        <v>270</v>
      </c>
      <c r="B279" s="64" t="s">
        <v>671</v>
      </c>
      <c r="C279" s="64">
        <v>1067300287</v>
      </c>
      <c r="D279" s="84" t="str">
        <f t="shared" si="4"/>
        <v>https://portal.dnb.de/opac.htm?method=simpleSearch&amp;cqlMode=true&amp;query=idn%3D1067300287</v>
      </c>
      <c r="E279" s="64" t="s">
        <v>672</v>
      </c>
      <c r="F279" s="82"/>
      <c r="G279" s="85"/>
      <c r="H279" s="82"/>
      <c r="I279" s="85"/>
      <c r="J279" s="85"/>
      <c r="K279" s="82"/>
      <c r="L279" s="82"/>
      <c r="M279" s="82"/>
      <c r="N279" s="82"/>
      <c r="O279" s="82"/>
      <c r="P279" s="82"/>
      <c r="Q279" s="82"/>
      <c r="R279" s="82"/>
      <c r="S279" s="97"/>
      <c r="T279" s="97"/>
      <c r="X279" s="94"/>
      <c r="Y279" s="95"/>
      <c r="Z279" s="95"/>
      <c r="AA279" s="94"/>
      <c r="AB279" s="94"/>
      <c r="AC279" s="94"/>
      <c r="AD279" s="94"/>
      <c r="AE279" s="94"/>
      <c r="AF279" s="94"/>
      <c r="AS279" s="94"/>
      <c r="AT279" s="94"/>
      <c r="AU279" s="94"/>
      <c r="AV279" s="94"/>
      <c r="BB279" s="108">
        <f>Schäden_Einband!X279+Schäden_Buchblock!AC279</f>
        <v>0</v>
      </c>
      <c r="BC279" s="95"/>
    </row>
    <row r="280" spans="1:55" x14ac:dyDescent="0.25">
      <c r="A280" s="82">
        <v>271</v>
      </c>
      <c r="B280" s="64" t="s">
        <v>673</v>
      </c>
      <c r="C280" s="64">
        <v>1066964777</v>
      </c>
      <c r="D280" s="84" t="str">
        <f t="shared" si="4"/>
        <v>https://portal.dnb.de/opac.htm?method=simpleSearch&amp;cqlMode=true&amp;query=idn%3D1066964777</v>
      </c>
      <c r="E280" s="64" t="s">
        <v>674</v>
      </c>
      <c r="F280" s="82"/>
      <c r="G280" s="85"/>
      <c r="H280" s="82"/>
      <c r="I280" s="85"/>
      <c r="J280" s="85"/>
      <c r="K280" s="82"/>
      <c r="L280" s="82"/>
      <c r="M280" s="82"/>
      <c r="N280" s="82"/>
      <c r="O280" s="82"/>
      <c r="P280" s="82"/>
      <c r="Q280" s="82"/>
      <c r="R280" s="82"/>
      <c r="S280" s="97"/>
      <c r="T280" s="97"/>
      <c r="X280" s="94"/>
      <c r="Y280" s="95"/>
      <c r="Z280" s="95"/>
      <c r="AA280" s="94"/>
      <c r="AB280" s="94"/>
      <c r="AC280" s="94"/>
      <c r="AD280" s="94"/>
      <c r="AE280" s="94"/>
      <c r="AF280" s="94"/>
      <c r="AS280" s="94"/>
      <c r="AT280" s="94"/>
      <c r="AU280" s="94"/>
      <c r="AV280" s="94"/>
      <c r="BB280" s="108">
        <f>Schäden_Einband!X280+Schäden_Buchblock!AC280</f>
        <v>0</v>
      </c>
      <c r="BC280" s="95"/>
    </row>
    <row r="281" spans="1:55" ht="21.75" customHeight="1" x14ac:dyDescent="0.25">
      <c r="A281" s="82">
        <v>272</v>
      </c>
      <c r="B281" s="64" t="s">
        <v>675</v>
      </c>
      <c r="C281" s="64">
        <v>1079554416</v>
      </c>
      <c r="D281" s="84" t="str">
        <f t="shared" si="4"/>
        <v>https://portal.dnb.de/opac.htm?method=simpleSearch&amp;cqlMode=true&amp;query=idn%3D1079554416</v>
      </c>
      <c r="E281" s="64" t="s">
        <v>676</v>
      </c>
      <c r="F281" s="82"/>
      <c r="G281" s="85"/>
      <c r="H281" s="82"/>
      <c r="I281" s="85"/>
      <c r="J281" s="85"/>
      <c r="K281" s="82"/>
      <c r="L281" s="82"/>
      <c r="M281" s="82"/>
      <c r="N281" s="82"/>
      <c r="O281" s="82"/>
      <c r="P281" s="85"/>
      <c r="Q281" s="82"/>
      <c r="R281" s="82"/>
      <c r="S281" s="97"/>
      <c r="T281" s="97"/>
      <c r="X281" s="94"/>
      <c r="Y281" s="95"/>
      <c r="Z281" s="95"/>
      <c r="AA281" s="94"/>
      <c r="AB281" s="94"/>
      <c r="AC281" s="94"/>
      <c r="AD281" s="94"/>
      <c r="AE281" s="94"/>
      <c r="AF281" s="94"/>
      <c r="AS281" s="94"/>
      <c r="AT281" s="94"/>
      <c r="AU281" s="94"/>
      <c r="AV281" s="94"/>
      <c r="BB281" s="108">
        <f>Schäden_Einband!X281+Schäden_Buchblock!AC281</f>
        <v>0</v>
      </c>
      <c r="BC281" s="95"/>
    </row>
    <row r="282" spans="1:55" ht="32.25" customHeight="1" x14ac:dyDescent="0.25">
      <c r="A282" s="82">
        <v>273</v>
      </c>
      <c r="B282" s="64" t="s">
        <v>677</v>
      </c>
      <c r="C282" s="64">
        <v>1066971161</v>
      </c>
      <c r="D282" s="84" t="str">
        <f t="shared" si="4"/>
        <v>https://portal.dnb.de/opac.htm?method=simpleSearch&amp;cqlMode=true&amp;query=idn%3D1066971161</v>
      </c>
      <c r="E282" s="64" t="s">
        <v>678</v>
      </c>
      <c r="F282" s="82"/>
      <c r="G282" s="85"/>
      <c r="H282" s="82"/>
      <c r="I282" s="85"/>
      <c r="J282" s="85"/>
      <c r="K282" s="82"/>
      <c r="L282" s="82"/>
      <c r="M282" s="82"/>
      <c r="N282" s="82"/>
      <c r="O282" s="82"/>
      <c r="P282" s="82"/>
      <c r="Q282" s="85"/>
      <c r="R282" s="82"/>
      <c r="S282" s="97"/>
      <c r="T282" s="97"/>
      <c r="X282" s="94"/>
      <c r="Y282" s="95"/>
      <c r="Z282" s="95"/>
      <c r="AA282" s="94"/>
      <c r="AB282" s="94"/>
      <c r="AC282" s="94"/>
      <c r="AD282" s="94"/>
      <c r="AE282" s="94"/>
      <c r="AF282" s="94"/>
      <c r="AS282" s="94"/>
      <c r="AT282" s="94"/>
      <c r="AU282" s="94"/>
      <c r="AV282" s="94"/>
      <c r="BB282" s="108">
        <f>Schäden_Einband!X282+Schäden_Buchblock!AC282</f>
        <v>0</v>
      </c>
      <c r="BC282" s="95"/>
    </row>
    <row r="283" spans="1:55" x14ac:dyDescent="0.25">
      <c r="A283" s="82">
        <v>274</v>
      </c>
      <c r="B283" s="64" t="s">
        <v>679</v>
      </c>
      <c r="C283" s="64">
        <v>1072060000</v>
      </c>
      <c r="D283" s="84" t="str">
        <f t="shared" si="4"/>
        <v>https://portal.dnb.de/opac.htm?method=simpleSearch&amp;cqlMode=true&amp;query=idn%3D1072060000</v>
      </c>
      <c r="E283" s="64" t="s">
        <v>680</v>
      </c>
      <c r="F283" s="82"/>
      <c r="G283" s="85"/>
      <c r="H283" s="82"/>
      <c r="I283" s="85"/>
      <c r="J283" s="85"/>
      <c r="K283" s="82"/>
      <c r="L283" s="82"/>
      <c r="M283" s="82"/>
      <c r="N283" s="82"/>
      <c r="O283" s="82"/>
      <c r="P283" s="82"/>
      <c r="Q283" s="82"/>
      <c r="R283" s="82"/>
      <c r="S283" s="97"/>
      <c r="T283" s="97"/>
      <c r="X283" s="94"/>
      <c r="Y283" s="95"/>
      <c r="Z283" s="95"/>
      <c r="AA283" s="94"/>
      <c r="AB283" s="94"/>
      <c r="AC283" s="94"/>
      <c r="AD283" s="94"/>
      <c r="AE283" s="94"/>
      <c r="AF283" s="94"/>
      <c r="AS283" s="94"/>
      <c r="AT283" s="94"/>
      <c r="AU283" s="94"/>
      <c r="AV283" s="94"/>
      <c r="BB283" s="108">
        <f>Schäden_Einband!X283+Schäden_Buchblock!AC283</f>
        <v>0</v>
      </c>
      <c r="BC283" s="95"/>
    </row>
    <row r="284" spans="1:55" x14ac:dyDescent="0.25">
      <c r="A284" s="82">
        <v>275</v>
      </c>
      <c r="B284" s="64" t="s">
        <v>681</v>
      </c>
      <c r="C284" s="64">
        <v>1079559167</v>
      </c>
      <c r="D284" s="84" t="str">
        <f t="shared" si="4"/>
        <v>https://portal.dnb.de/opac.htm?method=simpleSearch&amp;cqlMode=true&amp;query=idn%3D1079559167</v>
      </c>
      <c r="E284" s="64" t="s">
        <v>682</v>
      </c>
      <c r="F284" s="82"/>
      <c r="G284" s="85"/>
      <c r="H284" s="82"/>
      <c r="I284" s="85"/>
      <c r="J284" s="85"/>
      <c r="K284" s="82"/>
      <c r="L284" s="82"/>
      <c r="M284" s="82"/>
      <c r="N284" s="82"/>
      <c r="O284" s="82"/>
      <c r="P284" s="82"/>
      <c r="Q284" s="82"/>
      <c r="R284" s="82"/>
      <c r="S284" s="97"/>
      <c r="T284" s="97"/>
      <c r="X284" s="94"/>
      <c r="Y284" s="95"/>
      <c r="Z284" s="95"/>
      <c r="AA284" s="94"/>
      <c r="AB284" s="94"/>
      <c r="AC284" s="94"/>
      <c r="AD284" s="94"/>
      <c r="AE284" s="94"/>
      <c r="AF284" s="94"/>
      <c r="AS284" s="94"/>
      <c r="AT284" s="94"/>
      <c r="AU284" s="94"/>
      <c r="AV284" s="94"/>
      <c r="BB284" s="108">
        <f>Schäden_Einband!X284+Schäden_Buchblock!AC284</f>
        <v>0</v>
      </c>
      <c r="BC284" s="95"/>
    </row>
    <row r="285" spans="1:55" ht="23" x14ac:dyDescent="0.25">
      <c r="A285" s="82">
        <v>276</v>
      </c>
      <c r="B285" s="64" t="s">
        <v>683</v>
      </c>
      <c r="C285" s="64">
        <v>1066968454</v>
      </c>
      <c r="D285" s="84" t="str">
        <f t="shared" si="4"/>
        <v>https://portal.dnb.de/opac.htm?method=simpleSearch&amp;cqlMode=true&amp;query=idn%3D1066968454</v>
      </c>
      <c r="E285" s="64" t="s">
        <v>684</v>
      </c>
      <c r="F285" s="82" t="s">
        <v>1633</v>
      </c>
      <c r="G285" s="85" t="s">
        <v>45</v>
      </c>
      <c r="H285" s="82" t="s">
        <v>51</v>
      </c>
      <c r="I285" s="85" t="s">
        <v>90</v>
      </c>
      <c r="J285" s="85" t="s">
        <v>60</v>
      </c>
      <c r="K285" s="82" t="s">
        <v>67</v>
      </c>
      <c r="L285" s="82" t="s">
        <v>35</v>
      </c>
      <c r="M285" s="82" t="s">
        <v>37</v>
      </c>
      <c r="N285" s="82">
        <v>0</v>
      </c>
      <c r="O285" s="82"/>
      <c r="P285" s="82"/>
      <c r="Q285" s="82"/>
      <c r="R285" s="82"/>
      <c r="S285" s="97"/>
      <c r="T285" s="97"/>
      <c r="X285" s="94"/>
      <c r="Y285" s="95"/>
      <c r="Z285" s="95"/>
      <c r="AA285" s="94"/>
      <c r="AB285" s="94"/>
      <c r="AC285" s="94"/>
      <c r="AD285" s="94"/>
      <c r="AE285" s="94"/>
      <c r="AF285" s="94"/>
      <c r="AS285" s="94"/>
      <c r="AT285" s="94"/>
      <c r="AU285" s="94"/>
      <c r="AV285" s="94"/>
      <c r="BB285" s="108">
        <f>Schäden_Einband!X285+Schäden_Buchblock!AC285</f>
        <v>0</v>
      </c>
      <c r="BC285" s="95"/>
    </row>
    <row r="286" spans="1:55" x14ac:dyDescent="0.25">
      <c r="A286" s="82"/>
      <c r="B286" s="64"/>
      <c r="C286" s="64"/>
      <c r="D286" s="84"/>
      <c r="E286" s="64" t="s">
        <v>684</v>
      </c>
      <c r="F286" s="82"/>
      <c r="G286" s="85"/>
      <c r="H286" s="82"/>
      <c r="I286" s="85"/>
      <c r="J286" s="85"/>
      <c r="K286" s="82"/>
      <c r="L286" s="82" t="s">
        <v>35</v>
      </c>
      <c r="M286" s="82" t="s">
        <v>37</v>
      </c>
      <c r="N286" s="82">
        <v>3</v>
      </c>
      <c r="O286" s="82"/>
      <c r="P286" s="82" t="s">
        <v>1644</v>
      </c>
      <c r="Q286" s="82"/>
      <c r="R286" s="82"/>
      <c r="S286" s="97"/>
      <c r="T286" s="97"/>
      <c r="X286" s="94"/>
      <c r="Y286" s="95"/>
      <c r="Z286" s="95"/>
      <c r="AA286" s="94"/>
      <c r="AB286" s="94"/>
      <c r="AC286" s="94"/>
      <c r="AD286" s="94"/>
      <c r="AE286" s="94"/>
      <c r="AF286" s="94"/>
      <c r="AS286" s="94"/>
      <c r="AT286" s="94"/>
      <c r="AU286" s="94"/>
      <c r="AV286" s="94"/>
      <c r="BB286" s="108">
        <f>Schäden_Einband!X286+Schäden_Buchblock!AC286</f>
        <v>0</v>
      </c>
      <c r="BC286" s="95"/>
    </row>
    <row r="287" spans="1:55" x14ac:dyDescent="0.25">
      <c r="A287" s="82">
        <v>277</v>
      </c>
      <c r="B287" s="64" t="s">
        <v>685</v>
      </c>
      <c r="C287" s="64">
        <v>1066966885</v>
      </c>
      <c r="D287" s="84" t="str">
        <f t="shared" si="4"/>
        <v>https://portal.dnb.de/opac.htm?method=simpleSearch&amp;cqlMode=true&amp;query=idn%3D1066966885</v>
      </c>
      <c r="E287" s="64" t="s">
        <v>686</v>
      </c>
      <c r="F287" s="82"/>
      <c r="G287" s="85"/>
      <c r="H287" s="82"/>
      <c r="I287" s="85"/>
      <c r="J287" s="85"/>
      <c r="K287" s="82"/>
      <c r="L287" s="82"/>
      <c r="M287" s="82"/>
      <c r="N287" s="82"/>
      <c r="O287" s="82"/>
      <c r="P287" s="82"/>
      <c r="Q287" s="82"/>
      <c r="R287" s="82"/>
      <c r="S287" s="97"/>
      <c r="T287" s="97"/>
      <c r="X287" s="94"/>
      <c r="Y287" s="95"/>
      <c r="Z287" s="95"/>
      <c r="AA287" s="94"/>
      <c r="AB287" s="94"/>
      <c r="AC287" s="94"/>
      <c r="AD287" s="94"/>
      <c r="AE287" s="94"/>
      <c r="AF287" s="94"/>
      <c r="AS287" s="94"/>
      <c r="AT287" s="94"/>
      <c r="AU287" s="94"/>
      <c r="AV287" s="94"/>
      <c r="BB287" s="108">
        <f>Schäden_Einband!X287+Schäden_Buchblock!AC287</f>
        <v>0</v>
      </c>
      <c r="BC287" s="95"/>
    </row>
    <row r="288" spans="1:55" ht="46" x14ac:dyDescent="0.25">
      <c r="A288" s="82">
        <v>278</v>
      </c>
      <c r="B288" s="64" t="s">
        <v>687</v>
      </c>
      <c r="C288" s="64">
        <v>1048306054</v>
      </c>
      <c r="D288" s="84" t="str">
        <f t="shared" si="4"/>
        <v>https://portal.dnb.de/opac.htm?method=simpleSearch&amp;cqlMode=true&amp;query=idn%3D1048306054</v>
      </c>
      <c r="E288" s="64" t="s">
        <v>1711</v>
      </c>
      <c r="F288" s="82" t="s">
        <v>89</v>
      </c>
      <c r="G288" s="85" t="s">
        <v>1585</v>
      </c>
      <c r="H288" s="82" t="s">
        <v>52</v>
      </c>
      <c r="I288" s="85" t="s">
        <v>90</v>
      </c>
      <c r="J288" s="85" t="s">
        <v>1592</v>
      </c>
      <c r="K288" s="82"/>
      <c r="L288" s="82"/>
      <c r="M288" s="82" t="s">
        <v>101</v>
      </c>
      <c r="N288" s="82">
        <v>3</v>
      </c>
      <c r="O288" s="82"/>
      <c r="P288" s="82"/>
      <c r="Q288" s="82"/>
      <c r="R288" s="82"/>
      <c r="S288" s="97"/>
      <c r="T288" s="97"/>
      <c r="X288" s="94"/>
      <c r="Y288" s="95"/>
      <c r="Z288" s="95"/>
      <c r="AA288" s="94"/>
      <c r="AB288" s="94"/>
      <c r="AC288" s="94"/>
      <c r="AD288" s="94"/>
      <c r="AE288" s="94"/>
      <c r="AF288" s="94"/>
      <c r="AS288" s="94"/>
      <c r="AT288" s="94"/>
      <c r="AU288" s="94"/>
      <c r="AV288" s="94"/>
      <c r="BB288" s="108">
        <f>Schäden_Einband!X288+Schäden_Buchblock!AC288</f>
        <v>0</v>
      </c>
      <c r="BC288" s="95"/>
    </row>
    <row r="289" spans="1:55" ht="46" x14ac:dyDescent="0.25">
      <c r="A289" s="82"/>
      <c r="B289" s="64"/>
      <c r="C289" s="64"/>
      <c r="D289" s="84"/>
      <c r="E289" s="64" t="s">
        <v>1712</v>
      </c>
      <c r="F289" s="82" t="s">
        <v>89</v>
      </c>
      <c r="G289" s="85" t="s">
        <v>1585</v>
      </c>
      <c r="H289" s="82" t="s">
        <v>52</v>
      </c>
      <c r="I289" s="85" t="s">
        <v>90</v>
      </c>
      <c r="J289" s="85" t="s">
        <v>1592</v>
      </c>
      <c r="K289" s="82"/>
      <c r="L289" s="82"/>
      <c r="M289" s="82"/>
      <c r="N289" s="82">
        <v>3</v>
      </c>
      <c r="O289" s="82"/>
      <c r="P289" s="82"/>
      <c r="Q289" s="82"/>
      <c r="R289" s="82"/>
      <c r="S289" s="97"/>
      <c r="T289" s="97"/>
      <c r="X289" s="94"/>
      <c r="Y289" s="95"/>
      <c r="Z289" s="95"/>
      <c r="AA289" s="94"/>
      <c r="AB289" s="94"/>
      <c r="AC289" s="94"/>
      <c r="AD289" s="94"/>
      <c r="AE289" s="94"/>
      <c r="AF289" s="94"/>
      <c r="AS289" s="94"/>
      <c r="AT289" s="94"/>
      <c r="AU289" s="94"/>
      <c r="AV289" s="94"/>
      <c r="BB289" s="108">
        <f>Schäden_Einband!X289+Schäden_Buchblock!AC289</f>
        <v>0</v>
      </c>
      <c r="BC289" s="95"/>
    </row>
    <row r="290" spans="1:55" x14ac:dyDescent="0.25">
      <c r="A290" s="82">
        <v>279</v>
      </c>
      <c r="B290" s="64" t="s">
        <v>688</v>
      </c>
      <c r="C290" s="64">
        <v>1066968411</v>
      </c>
      <c r="D290" s="84" t="str">
        <f t="shared" si="4"/>
        <v>https://portal.dnb.de/opac.htm?method=simpleSearch&amp;cqlMode=true&amp;query=idn%3D1066968411</v>
      </c>
      <c r="E290" s="64" t="s">
        <v>689</v>
      </c>
      <c r="F290" s="82"/>
      <c r="G290" s="85" t="s">
        <v>45</v>
      </c>
      <c r="H290" s="82" t="s">
        <v>51</v>
      </c>
      <c r="I290" s="85" t="s">
        <v>86</v>
      </c>
      <c r="J290" s="85" t="s">
        <v>60</v>
      </c>
      <c r="K290" s="82" t="s">
        <v>67</v>
      </c>
      <c r="L290" s="82" t="s">
        <v>35</v>
      </c>
      <c r="M290" s="82" t="s">
        <v>37</v>
      </c>
      <c r="N290" s="82">
        <v>0</v>
      </c>
      <c r="O290" s="82"/>
      <c r="P290" s="82"/>
      <c r="Q290" s="82"/>
      <c r="R290" s="82"/>
      <c r="S290" s="97"/>
      <c r="T290" s="97"/>
      <c r="X290" s="94"/>
      <c r="Y290" s="95"/>
      <c r="Z290" s="95"/>
      <c r="AA290" s="94"/>
      <c r="AB290" s="94"/>
      <c r="AC290" s="94"/>
      <c r="AD290" s="94"/>
      <c r="AE290" s="94"/>
      <c r="AF290" s="94"/>
      <c r="AS290" s="94"/>
      <c r="AT290" s="94"/>
      <c r="AU290" s="94"/>
      <c r="AV290" s="94"/>
      <c r="BB290" s="108">
        <f>Schäden_Einband!X290+Schäden_Buchblock!AC290</f>
        <v>0</v>
      </c>
      <c r="BC290" s="95"/>
    </row>
    <row r="291" spans="1:55" ht="23" x14ac:dyDescent="0.25">
      <c r="A291" s="82">
        <v>280</v>
      </c>
      <c r="B291" s="64" t="s">
        <v>690</v>
      </c>
      <c r="C291" s="64">
        <v>1066972532</v>
      </c>
      <c r="D291" s="84" t="str">
        <f t="shared" si="4"/>
        <v>https://portal.dnb.de/opac.htm?method=simpleSearch&amp;cqlMode=true&amp;query=idn%3D1066972532</v>
      </c>
      <c r="E291" s="64" t="s">
        <v>691</v>
      </c>
      <c r="F291" s="82"/>
      <c r="G291" s="85" t="s">
        <v>3</v>
      </c>
      <c r="H291" s="82" t="s">
        <v>52</v>
      </c>
      <c r="I291" s="85" t="s">
        <v>90</v>
      </c>
      <c r="J291" s="85" t="s">
        <v>1583</v>
      </c>
      <c r="K291" s="82" t="s">
        <v>67</v>
      </c>
      <c r="L291" s="82"/>
      <c r="M291" s="82" t="s">
        <v>101</v>
      </c>
      <c r="N291" s="82">
        <v>0</v>
      </c>
      <c r="O291" s="82"/>
      <c r="P291" s="82"/>
      <c r="Q291" s="82"/>
      <c r="R291" s="82"/>
      <c r="S291" s="97"/>
      <c r="T291" s="97"/>
      <c r="X291" s="94"/>
      <c r="Y291" s="95"/>
      <c r="Z291" s="95"/>
      <c r="AA291" s="94"/>
      <c r="AB291" s="94"/>
      <c r="AC291" s="94"/>
      <c r="AD291" s="94"/>
      <c r="AE291" s="94"/>
      <c r="AF291" s="94"/>
      <c r="AS291" s="94"/>
      <c r="AT291" s="94"/>
      <c r="AU291" s="94"/>
      <c r="AV291" s="94"/>
      <c r="BB291" s="108">
        <f>Schäden_Einband!X291+Schäden_Buchblock!AC291</f>
        <v>0</v>
      </c>
      <c r="BC291" s="95"/>
    </row>
    <row r="292" spans="1:55" x14ac:dyDescent="0.25">
      <c r="A292" s="82">
        <v>281</v>
      </c>
      <c r="B292" s="64" t="s">
        <v>692</v>
      </c>
      <c r="C292" s="64">
        <v>1067300988</v>
      </c>
      <c r="D292" s="84" t="str">
        <f t="shared" si="4"/>
        <v>https://portal.dnb.de/opac.htm?method=simpleSearch&amp;cqlMode=true&amp;query=idn%3D1067300988</v>
      </c>
      <c r="E292" s="64" t="s">
        <v>693</v>
      </c>
      <c r="F292" s="82"/>
      <c r="G292" s="85"/>
      <c r="H292" s="82"/>
      <c r="I292" s="85"/>
      <c r="J292" s="85"/>
      <c r="K292" s="82"/>
      <c r="L292" s="82"/>
      <c r="M292" s="82"/>
      <c r="N292" s="82"/>
      <c r="O292" s="82"/>
      <c r="P292" s="82"/>
      <c r="Q292" s="82"/>
      <c r="R292" s="82"/>
      <c r="S292" s="97"/>
      <c r="T292" s="97"/>
      <c r="X292" s="94"/>
      <c r="Y292" s="95"/>
      <c r="Z292" s="95"/>
      <c r="AA292" s="94"/>
      <c r="AB292" s="94"/>
      <c r="AC292" s="94"/>
      <c r="AD292" s="94"/>
      <c r="AE292" s="94"/>
      <c r="AF292" s="94"/>
      <c r="AS292" s="94"/>
      <c r="AT292" s="94"/>
      <c r="AU292" s="94"/>
      <c r="AV292" s="94"/>
      <c r="BB292" s="108">
        <f>Schäden_Einband!X292+Schäden_Buchblock!AC292</f>
        <v>0</v>
      </c>
      <c r="BC292" s="95"/>
    </row>
    <row r="293" spans="1:55" ht="46" x14ac:dyDescent="0.25">
      <c r="A293" s="82">
        <v>282</v>
      </c>
      <c r="B293" s="64" t="s">
        <v>694</v>
      </c>
      <c r="C293" s="64">
        <v>1066970491</v>
      </c>
      <c r="D293" s="84" t="str">
        <f t="shared" si="4"/>
        <v>https://portal.dnb.de/opac.htm?method=simpleSearch&amp;cqlMode=true&amp;query=idn%3D1066970491</v>
      </c>
      <c r="E293" s="64" t="s">
        <v>695</v>
      </c>
      <c r="F293" s="82" t="s">
        <v>89</v>
      </c>
      <c r="G293" s="85" t="s">
        <v>1585</v>
      </c>
      <c r="H293" s="82" t="s">
        <v>52</v>
      </c>
      <c r="I293" s="85" t="s">
        <v>90</v>
      </c>
      <c r="J293" s="85" t="s">
        <v>94</v>
      </c>
      <c r="K293" s="82"/>
      <c r="L293" s="82"/>
      <c r="M293" s="82"/>
      <c r="N293" s="82">
        <v>0</v>
      </c>
      <c r="O293" s="82"/>
      <c r="P293" s="82" t="s">
        <v>1640</v>
      </c>
      <c r="Q293" s="82"/>
      <c r="R293" s="82"/>
      <c r="S293" s="97"/>
      <c r="T293" s="97"/>
      <c r="X293" s="94"/>
      <c r="Y293" s="95"/>
      <c r="Z293" s="95"/>
      <c r="AA293" s="94"/>
      <c r="AB293" s="94"/>
      <c r="AC293" s="94"/>
      <c r="AD293" s="94"/>
      <c r="AE293" s="94"/>
      <c r="AF293" s="94"/>
      <c r="AS293" s="94"/>
      <c r="AT293" s="94"/>
      <c r="AU293" s="94"/>
      <c r="AV293" s="94"/>
      <c r="BB293" s="108">
        <f>Schäden_Einband!X293+Schäden_Buchblock!AC293</f>
        <v>0</v>
      </c>
      <c r="BC293" s="95"/>
    </row>
    <row r="294" spans="1:55" ht="46" x14ac:dyDescent="0.25">
      <c r="A294" s="82">
        <v>283</v>
      </c>
      <c r="B294" s="64" t="s">
        <v>696</v>
      </c>
      <c r="C294" s="64" t="s">
        <v>697</v>
      </c>
      <c r="D294" s="84" t="str">
        <f t="shared" si="4"/>
        <v>https://portal.dnb.de/opac.htm?method=simpleSearch&amp;cqlMode=true&amp;query=idn%3D106696646X</v>
      </c>
      <c r="E294" s="64" t="s">
        <v>698</v>
      </c>
      <c r="F294" s="82" t="s">
        <v>89</v>
      </c>
      <c r="G294" s="85" t="s">
        <v>1584</v>
      </c>
      <c r="H294" s="82" t="s">
        <v>52</v>
      </c>
      <c r="I294" s="85" t="s">
        <v>86</v>
      </c>
      <c r="J294" s="85" t="s">
        <v>1583</v>
      </c>
      <c r="K294" s="82" t="s">
        <v>67</v>
      </c>
      <c r="L294" s="82"/>
      <c r="M294" s="82"/>
      <c r="N294" s="82">
        <v>0</v>
      </c>
      <c r="O294" s="82"/>
      <c r="P294" s="82" t="s">
        <v>1638</v>
      </c>
      <c r="Q294" s="82"/>
      <c r="R294" s="82"/>
      <c r="S294" s="97"/>
      <c r="T294" s="97"/>
      <c r="X294" s="94"/>
      <c r="Y294" s="95"/>
      <c r="Z294" s="95"/>
      <c r="AA294" s="94"/>
      <c r="AB294" s="94"/>
      <c r="AC294" s="94"/>
      <c r="AD294" s="94"/>
      <c r="AE294" s="94"/>
      <c r="AF294" s="94"/>
      <c r="AS294" s="94"/>
      <c r="AT294" s="94"/>
      <c r="AU294" s="94"/>
      <c r="AV294" s="94"/>
      <c r="BB294" s="108">
        <f>Schäden_Einband!X294+Schäden_Buchblock!AC294</f>
        <v>0</v>
      </c>
      <c r="BC294" s="95"/>
    </row>
    <row r="295" spans="1:55" ht="46" x14ac:dyDescent="0.25">
      <c r="A295" s="82">
        <v>284</v>
      </c>
      <c r="B295" s="64" t="s">
        <v>699</v>
      </c>
      <c r="C295" s="64">
        <v>1066967873</v>
      </c>
      <c r="D295" s="84" t="str">
        <f t="shared" si="4"/>
        <v>https://portal.dnb.de/opac.htm?method=simpleSearch&amp;cqlMode=true&amp;query=idn%3D1066967873</v>
      </c>
      <c r="E295" s="64" t="s">
        <v>700</v>
      </c>
      <c r="F295" s="82" t="s">
        <v>89</v>
      </c>
      <c r="G295" s="85" t="s">
        <v>1584</v>
      </c>
      <c r="H295" s="82" t="s">
        <v>52</v>
      </c>
      <c r="I295" s="85" t="s">
        <v>90</v>
      </c>
      <c r="J295" s="85" t="s">
        <v>1586</v>
      </c>
      <c r="K295" s="82" t="s">
        <v>67</v>
      </c>
      <c r="L295" s="82"/>
      <c r="M295" s="82" t="s">
        <v>101</v>
      </c>
      <c r="N295" s="82">
        <v>1</v>
      </c>
      <c r="O295" s="82"/>
      <c r="P295" s="82"/>
      <c r="Q295" s="82"/>
      <c r="R295" s="82"/>
      <c r="S295" s="97"/>
      <c r="T295" s="97"/>
      <c r="X295" s="94"/>
      <c r="Y295" s="95"/>
      <c r="Z295" s="95"/>
      <c r="AA295" s="94"/>
      <c r="AB295" s="94"/>
      <c r="AC295" s="94"/>
      <c r="AD295" s="94"/>
      <c r="AE295" s="94"/>
      <c r="AF295" s="94"/>
      <c r="AS295" s="94"/>
      <c r="AT295" s="94"/>
      <c r="AU295" s="94"/>
      <c r="AV295" s="94"/>
      <c r="BB295" s="108">
        <f>Schäden_Einband!X295+Schäden_Buchblock!AC295</f>
        <v>0</v>
      </c>
      <c r="BC295" s="95"/>
    </row>
    <row r="296" spans="1:55" x14ac:dyDescent="0.25">
      <c r="A296" s="82">
        <v>285</v>
      </c>
      <c r="B296" s="64" t="s">
        <v>701</v>
      </c>
      <c r="C296" s="64">
        <v>1066965315</v>
      </c>
      <c r="D296" s="84" t="str">
        <f t="shared" si="4"/>
        <v>https://portal.dnb.de/opac.htm?method=simpleSearch&amp;cqlMode=true&amp;query=idn%3D1066965315</v>
      </c>
      <c r="E296" s="64" t="s">
        <v>702</v>
      </c>
      <c r="F296" s="82"/>
      <c r="G296" s="85"/>
      <c r="H296" s="82"/>
      <c r="I296" s="85"/>
      <c r="J296" s="85"/>
      <c r="K296" s="82"/>
      <c r="L296" s="82"/>
      <c r="M296" s="82"/>
      <c r="N296" s="82"/>
      <c r="O296" s="82"/>
      <c r="P296" s="82"/>
      <c r="Q296" s="82"/>
      <c r="R296" s="82"/>
      <c r="S296" s="97"/>
      <c r="T296" s="97"/>
      <c r="X296" s="94"/>
      <c r="Y296" s="95"/>
      <c r="Z296" s="95"/>
      <c r="AA296" s="94"/>
      <c r="AB296" s="94"/>
      <c r="AC296" s="94"/>
      <c r="AD296" s="94"/>
      <c r="AE296" s="94"/>
      <c r="AF296" s="94"/>
      <c r="AS296" s="94"/>
      <c r="AT296" s="94"/>
      <c r="AU296" s="94"/>
      <c r="AV296" s="94"/>
      <c r="BB296" s="108">
        <f>Schäden_Einband!X296+Schäden_Buchblock!AC296</f>
        <v>0</v>
      </c>
      <c r="BC296" s="95"/>
    </row>
    <row r="297" spans="1:55" ht="46" x14ac:dyDescent="0.25">
      <c r="A297" s="82">
        <v>286</v>
      </c>
      <c r="B297" s="64" t="s">
        <v>703</v>
      </c>
      <c r="C297" s="64">
        <v>1067336133</v>
      </c>
      <c r="D297" s="84" t="str">
        <f t="shared" si="4"/>
        <v>https://portal.dnb.de/opac.htm?method=simpleSearch&amp;cqlMode=true&amp;query=idn%3D1067336133</v>
      </c>
      <c r="E297" s="64" t="s">
        <v>704</v>
      </c>
      <c r="F297" s="82" t="s">
        <v>89</v>
      </c>
      <c r="G297" s="85" t="s">
        <v>1584</v>
      </c>
      <c r="H297" s="82" t="s">
        <v>53</v>
      </c>
      <c r="I297" s="85" t="s">
        <v>55</v>
      </c>
      <c r="J297" s="85" t="s">
        <v>1586</v>
      </c>
      <c r="K297" s="82" t="s">
        <v>67</v>
      </c>
      <c r="L297" s="82"/>
      <c r="M297" s="82" t="s">
        <v>101</v>
      </c>
      <c r="N297" s="82">
        <v>1</v>
      </c>
      <c r="O297" s="82"/>
      <c r="P297" s="82"/>
      <c r="Q297" s="82"/>
      <c r="R297" s="82"/>
      <c r="S297" s="97"/>
      <c r="T297" s="97"/>
      <c r="X297" s="94"/>
      <c r="Y297" s="95"/>
      <c r="Z297" s="95"/>
      <c r="AA297" s="94"/>
      <c r="AB297" s="94"/>
      <c r="AC297" s="94"/>
      <c r="AD297" s="94"/>
      <c r="AE297" s="94"/>
      <c r="AF297" s="94"/>
      <c r="AS297" s="94"/>
      <c r="AT297" s="94"/>
      <c r="AU297" s="94"/>
      <c r="AV297" s="94"/>
      <c r="BB297" s="108">
        <f>Schäden_Einband!X297+Schäden_Buchblock!AC297</f>
        <v>0</v>
      </c>
      <c r="BC297" s="95"/>
    </row>
    <row r="298" spans="1:55" ht="46" x14ac:dyDescent="0.25">
      <c r="A298" s="82">
        <v>287</v>
      </c>
      <c r="B298" s="64" t="s">
        <v>705</v>
      </c>
      <c r="C298" s="64">
        <v>1067336222</v>
      </c>
      <c r="D298" s="84" t="str">
        <f t="shared" si="4"/>
        <v>https://portal.dnb.de/opac.htm?method=simpleSearch&amp;cqlMode=true&amp;query=idn%3D1067336222</v>
      </c>
      <c r="E298" s="64" t="s">
        <v>706</v>
      </c>
      <c r="F298" s="82" t="s">
        <v>89</v>
      </c>
      <c r="G298" s="85" t="s">
        <v>1584</v>
      </c>
      <c r="H298" s="82" t="s">
        <v>53</v>
      </c>
      <c r="I298" s="85" t="s">
        <v>55</v>
      </c>
      <c r="J298" s="85" t="s">
        <v>1586</v>
      </c>
      <c r="K298" s="82"/>
      <c r="L298" s="82"/>
      <c r="M298" s="82" t="s">
        <v>101</v>
      </c>
      <c r="N298" s="82">
        <v>0</v>
      </c>
      <c r="O298" s="82"/>
      <c r="P298" s="82"/>
      <c r="Q298" s="82"/>
      <c r="R298" s="82"/>
      <c r="S298" s="97"/>
      <c r="T298" s="97"/>
      <c r="X298" s="94"/>
      <c r="Y298" s="95"/>
      <c r="Z298" s="95"/>
      <c r="AA298" s="94"/>
      <c r="AB298" s="94"/>
      <c r="AC298" s="94"/>
      <c r="AD298" s="94"/>
      <c r="AE298" s="94"/>
      <c r="AF298" s="94"/>
      <c r="AS298" s="94"/>
      <c r="AT298" s="94"/>
      <c r="AU298" s="94"/>
      <c r="AV298" s="94"/>
      <c r="BB298" s="108">
        <f>Schäden_Einband!X298+Schäden_Buchblock!AC298</f>
        <v>0</v>
      </c>
      <c r="BC298" s="95"/>
    </row>
    <row r="299" spans="1:55" x14ac:dyDescent="0.25">
      <c r="A299" s="82">
        <v>288</v>
      </c>
      <c r="B299" s="64" t="s">
        <v>707</v>
      </c>
      <c r="C299" s="64" t="s">
        <v>708</v>
      </c>
      <c r="D299" s="84" t="str">
        <f t="shared" si="4"/>
        <v>https://portal.dnb.de/opac.htm?method=simpleSearch&amp;cqlMode=true&amp;query=idn%3D106696727X</v>
      </c>
      <c r="E299" s="64" t="s">
        <v>709</v>
      </c>
      <c r="F299" s="82"/>
      <c r="G299" s="85"/>
      <c r="H299" s="82"/>
      <c r="I299" s="85"/>
      <c r="J299" s="85"/>
      <c r="K299" s="82"/>
      <c r="L299" s="82"/>
      <c r="M299" s="82"/>
      <c r="N299" s="82"/>
      <c r="O299" s="82"/>
      <c r="P299" s="82"/>
      <c r="Q299" s="82"/>
      <c r="R299" s="82"/>
      <c r="S299" s="97"/>
      <c r="T299" s="97"/>
      <c r="X299" s="94"/>
      <c r="Y299" s="95"/>
      <c r="Z299" s="95"/>
      <c r="AA299" s="94"/>
      <c r="AB299" s="94"/>
      <c r="AC299" s="94"/>
      <c r="AD299" s="94"/>
      <c r="AE299" s="94"/>
      <c r="AF299" s="94"/>
      <c r="AS299" s="94"/>
      <c r="AT299" s="94"/>
      <c r="AU299" s="94"/>
      <c r="AV299" s="94"/>
      <c r="BB299" s="108">
        <f>Schäden_Einband!X299+Schäden_Buchblock!AC299</f>
        <v>0</v>
      </c>
      <c r="BC299" s="95"/>
    </row>
    <row r="300" spans="1:55" x14ac:dyDescent="0.25">
      <c r="A300" s="82">
        <v>289</v>
      </c>
      <c r="B300" s="64" t="s">
        <v>710</v>
      </c>
      <c r="C300" s="64">
        <v>1079733698</v>
      </c>
      <c r="D300" s="84" t="str">
        <f t="shared" si="4"/>
        <v>https://portal.dnb.de/opac.htm?method=simpleSearch&amp;cqlMode=true&amp;query=idn%3D1079733698</v>
      </c>
      <c r="E300" s="64" t="s">
        <v>711</v>
      </c>
      <c r="F300" s="82"/>
      <c r="G300" s="85"/>
      <c r="H300" s="82"/>
      <c r="I300" s="85"/>
      <c r="J300" s="85"/>
      <c r="K300" s="82"/>
      <c r="L300" s="82"/>
      <c r="M300" s="82"/>
      <c r="N300" s="82"/>
      <c r="O300" s="82"/>
      <c r="P300" s="82"/>
      <c r="Q300" s="82"/>
      <c r="R300" s="82"/>
      <c r="S300" s="97"/>
      <c r="T300" s="97"/>
      <c r="X300" s="94"/>
      <c r="Y300" s="95"/>
      <c r="Z300" s="95"/>
      <c r="AA300" s="94"/>
      <c r="AB300" s="94"/>
      <c r="AC300" s="94"/>
      <c r="AD300" s="94"/>
      <c r="AE300" s="94"/>
      <c r="AF300" s="94"/>
      <c r="AS300" s="94"/>
      <c r="AT300" s="94"/>
      <c r="AU300" s="94"/>
      <c r="AV300" s="94"/>
      <c r="BB300" s="108">
        <f>Schäden_Einband!X300+Schäden_Buchblock!AC300</f>
        <v>0</v>
      </c>
      <c r="BC300" s="95"/>
    </row>
    <row r="301" spans="1:55" ht="46" x14ac:dyDescent="0.25">
      <c r="A301" s="82">
        <v>290</v>
      </c>
      <c r="B301" s="64" t="s">
        <v>712</v>
      </c>
      <c r="C301" s="64">
        <v>1067336257</v>
      </c>
      <c r="D301" s="84" t="str">
        <f t="shared" si="4"/>
        <v>https://portal.dnb.de/opac.htm?method=simpleSearch&amp;cqlMode=true&amp;query=idn%3D1067336257</v>
      </c>
      <c r="E301" s="64" t="s">
        <v>713</v>
      </c>
      <c r="F301" s="82" t="s">
        <v>89</v>
      </c>
      <c r="G301" s="85" t="s">
        <v>1584</v>
      </c>
      <c r="H301" s="82" t="s">
        <v>53</v>
      </c>
      <c r="I301" s="85" t="s">
        <v>86</v>
      </c>
      <c r="J301" s="85" t="s">
        <v>60</v>
      </c>
      <c r="K301" s="82"/>
      <c r="L301" s="82"/>
      <c r="M301" s="82" t="s">
        <v>101</v>
      </c>
      <c r="N301" s="82">
        <v>1</v>
      </c>
      <c r="O301" s="82"/>
      <c r="P301" s="82"/>
      <c r="Q301" s="82"/>
      <c r="R301" s="82"/>
      <c r="S301" s="97"/>
      <c r="T301" s="97"/>
      <c r="X301" s="94"/>
      <c r="Y301" s="95"/>
      <c r="Z301" s="95"/>
      <c r="AA301" s="94"/>
      <c r="AB301" s="94"/>
      <c r="AC301" s="94"/>
      <c r="AD301" s="94"/>
      <c r="AE301" s="94"/>
      <c r="AF301" s="94"/>
      <c r="AS301" s="94"/>
      <c r="AT301" s="94"/>
      <c r="AU301" s="94"/>
      <c r="AV301" s="94"/>
      <c r="BB301" s="108">
        <f>Schäden_Einband!X301+Schäden_Buchblock!AC301</f>
        <v>0</v>
      </c>
      <c r="BC301" s="95"/>
    </row>
    <row r="302" spans="1:55" x14ac:dyDescent="0.25">
      <c r="A302" s="82">
        <v>291</v>
      </c>
      <c r="B302" s="64" t="s">
        <v>714</v>
      </c>
      <c r="C302" s="64">
        <v>1067339086</v>
      </c>
      <c r="D302" s="84" t="str">
        <f t="shared" si="4"/>
        <v>https://portal.dnb.de/opac.htm?method=simpleSearch&amp;cqlMode=true&amp;query=idn%3D1067339086</v>
      </c>
      <c r="E302" s="64" t="s">
        <v>715</v>
      </c>
      <c r="F302" s="82"/>
      <c r="G302" s="85"/>
      <c r="H302" s="82"/>
      <c r="I302" s="85"/>
      <c r="J302" s="85"/>
      <c r="K302" s="82"/>
      <c r="L302" s="82"/>
      <c r="M302" s="82"/>
      <c r="N302" s="82"/>
      <c r="O302" s="82"/>
      <c r="P302" s="82"/>
      <c r="Q302" s="82"/>
      <c r="R302" s="82"/>
      <c r="S302" s="97"/>
      <c r="T302" s="97"/>
      <c r="X302" s="94"/>
      <c r="Y302" s="95"/>
      <c r="Z302" s="95"/>
      <c r="AA302" s="94"/>
      <c r="AB302" s="94"/>
      <c r="AC302" s="94"/>
      <c r="AD302" s="94"/>
      <c r="AE302" s="94"/>
      <c r="AF302" s="94"/>
      <c r="AS302" s="94"/>
      <c r="AT302" s="94"/>
      <c r="AU302" s="94"/>
      <c r="AV302" s="94"/>
      <c r="BB302" s="108">
        <f>Schäden_Einband!X302+Schäden_Buchblock!AC302</f>
        <v>0</v>
      </c>
      <c r="BC302" s="95"/>
    </row>
    <row r="303" spans="1:55" x14ac:dyDescent="0.25">
      <c r="A303" s="82">
        <v>292</v>
      </c>
      <c r="B303" s="64" t="s">
        <v>716</v>
      </c>
      <c r="C303" s="64">
        <v>1067336257</v>
      </c>
      <c r="D303" s="84" t="str">
        <f t="shared" si="4"/>
        <v>https://portal.dnb.de/opac.htm?method=simpleSearch&amp;cqlMode=true&amp;query=idn%3D1067336257</v>
      </c>
      <c r="E303" s="64" t="s">
        <v>717</v>
      </c>
      <c r="F303" s="82"/>
      <c r="G303" s="85"/>
      <c r="H303" s="82"/>
      <c r="I303" s="85"/>
      <c r="J303" s="85"/>
      <c r="K303" s="82"/>
      <c r="L303" s="82"/>
      <c r="M303" s="82"/>
      <c r="N303" s="82"/>
      <c r="O303" s="82"/>
      <c r="P303" s="82"/>
      <c r="Q303" s="82"/>
      <c r="R303" s="82"/>
      <c r="S303" s="97"/>
      <c r="T303" s="97"/>
      <c r="X303" s="94"/>
      <c r="Y303" s="95"/>
      <c r="Z303" s="95"/>
      <c r="AA303" s="94"/>
      <c r="AB303" s="94"/>
      <c r="AC303" s="94"/>
      <c r="AD303" s="94"/>
      <c r="AE303" s="94"/>
      <c r="AF303" s="94"/>
      <c r="AS303" s="94"/>
      <c r="AT303" s="94"/>
      <c r="AU303" s="94"/>
      <c r="AV303" s="94"/>
      <c r="BB303" s="108">
        <f>Schäden_Einband!X303+Schäden_Buchblock!AC303</f>
        <v>0</v>
      </c>
      <c r="BC303" s="95"/>
    </row>
    <row r="304" spans="1:55" ht="46" x14ac:dyDescent="0.25">
      <c r="A304" s="82">
        <v>293</v>
      </c>
      <c r="B304" s="64" t="s">
        <v>718</v>
      </c>
      <c r="C304" s="64">
        <v>1067336281</v>
      </c>
      <c r="D304" s="84" t="str">
        <f t="shared" si="4"/>
        <v>https://portal.dnb.de/opac.htm?method=simpleSearch&amp;cqlMode=true&amp;query=idn%3D1067336281</v>
      </c>
      <c r="E304" s="64" t="s">
        <v>719</v>
      </c>
      <c r="F304" s="82" t="s">
        <v>89</v>
      </c>
      <c r="G304" s="85" t="s">
        <v>1584</v>
      </c>
      <c r="H304" s="82" t="s">
        <v>53</v>
      </c>
      <c r="I304" s="85" t="s">
        <v>90</v>
      </c>
      <c r="J304" s="85" t="s">
        <v>1586</v>
      </c>
      <c r="K304" s="82"/>
      <c r="L304" s="82"/>
      <c r="M304" s="82" t="s">
        <v>101</v>
      </c>
      <c r="N304" s="82">
        <v>0</v>
      </c>
      <c r="O304" s="82"/>
      <c r="P304" s="82"/>
      <c r="Q304" s="82"/>
      <c r="R304" s="82"/>
      <c r="S304" s="97"/>
      <c r="T304" s="97"/>
      <c r="X304" s="94"/>
      <c r="Y304" s="95"/>
      <c r="Z304" s="95"/>
      <c r="AA304" s="94"/>
      <c r="AB304" s="94"/>
      <c r="AC304" s="94"/>
      <c r="AD304" s="94"/>
      <c r="AE304" s="94"/>
      <c r="AF304" s="94"/>
      <c r="AS304" s="94"/>
      <c r="AT304" s="94"/>
      <c r="AU304" s="94"/>
      <c r="AV304" s="94"/>
      <c r="BB304" s="108">
        <f>Schäden_Einband!X304+Schäden_Buchblock!AC304</f>
        <v>0</v>
      </c>
      <c r="BC304" s="95"/>
    </row>
    <row r="305" spans="1:55" ht="46" x14ac:dyDescent="0.25">
      <c r="A305" s="82">
        <v>294</v>
      </c>
      <c r="B305" s="64" t="s">
        <v>720</v>
      </c>
      <c r="C305" s="64">
        <v>1066971544</v>
      </c>
      <c r="D305" s="84" t="str">
        <f t="shared" si="4"/>
        <v>https://portal.dnb.de/opac.htm?method=simpleSearch&amp;cqlMode=true&amp;query=idn%3D1066971544</v>
      </c>
      <c r="E305" s="64" t="s">
        <v>721</v>
      </c>
      <c r="F305" s="82"/>
      <c r="G305" s="85" t="s">
        <v>1585</v>
      </c>
      <c r="H305" s="82" t="s">
        <v>51</v>
      </c>
      <c r="I305" s="85" t="s">
        <v>90</v>
      </c>
      <c r="J305" s="85" t="s">
        <v>60</v>
      </c>
      <c r="K305" s="82" t="s">
        <v>67</v>
      </c>
      <c r="L305" s="82" t="s">
        <v>35</v>
      </c>
      <c r="M305" s="82" t="s">
        <v>37</v>
      </c>
      <c r="N305" s="82"/>
      <c r="O305" s="82"/>
      <c r="P305" s="82"/>
      <c r="Q305" s="82"/>
      <c r="R305" s="82"/>
      <c r="S305" s="97"/>
      <c r="T305" s="97"/>
      <c r="X305" s="94"/>
      <c r="Y305" s="95"/>
      <c r="Z305" s="95"/>
      <c r="AA305" s="94"/>
      <c r="AB305" s="94"/>
      <c r="AC305" s="94"/>
      <c r="AD305" s="94"/>
      <c r="AE305" s="94"/>
      <c r="AF305" s="94"/>
      <c r="AS305" s="94"/>
      <c r="AT305" s="94"/>
      <c r="AU305" s="94"/>
      <c r="AV305" s="94"/>
      <c r="BB305" s="108">
        <f>Schäden_Einband!X305+Schäden_Buchblock!AC305</f>
        <v>0</v>
      </c>
      <c r="BC305" s="95"/>
    </row>
    <row r="306" spans="1:55" x14ac:dyDescent="0.25">
      <c r="A306" s="82">
        <v>295</v>
      </c>
      <c r="B306" s="64" t="s">
        <v>722</v>
      </c>
      <c r="C306" s="64">
        <v>1066967954</v>
      </c>
      <c r="D306" s="84" t="str">
        <f t="shared" si="4"/>
        <v>https://portal.dnb.de/opac.htm?method=simpleSearch&amp;cqlMode=true&amp;query=idn%3D1066967954</v>
      </c>
      <c r="E306" s="64" t="s">
        <v>723</v>
      </c>
      <c r="F306" s="82"/>
      <c r="G306" s="85"/>
      <c r="H306" s="82"/>
      <c r="I306" s="85"/>
      <c r="J306" s="85"/>
      <c r="K306" s="82"/>
      <c r="L306" s="82"/>
      <c r="M306" s="82"/>
      <c r="N306" s="82"/>
      <c r="O306" s="82"/>
      <c r="P306" s="82"/>
      <c r="Q306" s="82"/>
      <c r="R306" s="82"/>
      <c r="S306" s="97"/>
      <c r="T306" s="97"/>
      <c r="X306" s="94"/>
      <c r="Y306" s="95"/>
      <c r="Z306" s="95"/>
      <c r="AA306" s="94"/>
      <c r="AB306" s="94"/>
      <c r="AC306" s="94"/>
      <c r="AD306" s="94"/>
      <c r="AE306" s="94"/>
      <c r="AF306" s="94"/>
      <c r="AS306" s="94"/>
      <c r="AT306" s="94"/>
      <c r="AU306" s="94"/>
      <c r="AV306" s="94"/>
      <c r="BB306" s="108">
        <f>Schäden_Einband!X306+Schäden_Buchblock!AC306</f>
        <v>0</v>
      </c>
      <c r="BC306" s="95"/>
    </row>
    <row r="307" spans="1:55" ht="46" x14ac:dyDescent="0.25">
      <c r="A307" s="82">
        <v>296</v>
      </c>
      <c r="B307" s="64" t="s">
        <v>724</v>
      </c>
      <c r="C307" s="64">
        <v>1066971110</v>
      </c>
      <c r="D307" s="84" t="str">
        <f t="shared" si="4"/>
        <v>https://portal.dnb.de/opac.htm?method=simpleSearch&amp;cqlMode=true&amp;query=idn%3D1066971110</v>
      </c>
      <c r="E307" s="64" t="s">
        <v>1706</v>
      </c>
      <c r="F307" s="82" t="s">
        <v>89</v>
      </c>
      <c r="G307" s="85" t="s">
        <v>1584</v>
      </c>
      <c r="H307" s="82" t="s">
        <v>52</v>
      </c>
      <c r="I307" s="85" t="s">
        <v>90</v>
      </c>
      <c r="J307" s="85" t="s">
        <v>60</v>
      </c>
      <c r="K307" s="82" t="s">
        <v>67</v>
      </c>
      <c r="L307" s="82"/>
      <c r="M307" s="82" t="s">
        <v>101</v>
      </c>
      <c r="N307" s="82">
        <v>0</v>
      </c>
      <c r="O307" s="82"/>
      <c r="P307" s="82"/>
      <c r="Q307" s="82"/>
      <c r="R307" s="82"/>
      <c r="S307" s="97"/>
      <c r="T307" s="97"/>
      <c r="X307" s="94"/>
      <c r="Y307" s="95"/>
      <c r="Z307" s="95"/>
      <c r="AA307" s="94"/>
      <c r="AB307" s="94"/>
      <c r="AC307" s="94"/>
      <c r="AD307" s="94"/>
      <c r="AE307" s="94"/>
      <c r="AF307" s="94"/>
      <c r="AS307" s="94"/>
      <c r="AT307" s="94"/>
      <c r="AU307" s="94"/>
      <c r="AV307" s="94"/>
      <c r="BB307" s="108">
        <f>Schäden_Einband!X307+Schäden_Buchblock!AC307</f>
        <v>0</v>
      </c>
      <c r="BC307" s="95"/>
    </row>
    <row r="308" spans="1:55" ht="46" x14ac:dyDescent="0.25">
      <c r="A308" s="82"/>
      <c r="B308" s="64"/>
      <c r="C308" s="64"/>
      <c r="D308" s="84"/>
      <c r="E308" s="64" t="s">
        <v>1707</v>
      </c>
      <c r="F308" s="82" t="s">
        <v>89</v>
      </c>
      <c r="G308" s="85" t="s">
        <v>1584</v>
      </c>
      <c r="H308" s="82" t="s">
        <v>52</v>
      </c>
      <c r="I308" s="85" t="s">
        <v>90</v>
      </c>
      <c r="J308" s="85" t="s">
        <v>60</v>
      </c>
      <c r="K308" s="82" t="s">
        <v>67</v>
      </c>
      <c r="L308" s="82"/>
      <c r="M308" s="82"/>
      <c r="N308" s="82">
        <v>1</v>
      </c>
      <c r="O308" s="82"/>
      <c r="P308" s="82"/>
      <c r="Q308" s="82"/>
      <c r="R308" s="82"/>
      <c r="S308" s="97"/>
      <c r="T308" s="97"/>
      <c r="X308" s="94"/>
      <c r="Y308" s="95"/>
      <c r="Z308" s="95"/>
      <c r="AA308" s="94"/>
      <c r="AB308" s="94"/>
      <c r="AC308" s="94"/>
      <c r="AD308" s="94"/>
      <c r="AE308" s="94"/>
      <c r="AF308" s="94"/>
      <c r="AS308" s="94"/>
      <c r="AT308" s="94"/>
      <c r="AU308" s="94"/>
      <c r="AV308" s="94"/>
      <c r="BB308" s="108">
        <f>Schäden_Einband!X308+Schäden_Buchblock!AC308</f>
        <v>0</v>
      </c>
      <c r="BC308" s="95"/>
    </row>
    <row r="309" spans="1:55" ht="46" x14ac:dyDescent="0.25">
      <c r="A309" s="82"/>
      <c r="B309" s="64"/>
      <c r="C309" s="64"/>
      <c r="D309" s="84"/>
      <c r="E309" s="64" t="s">
        <v>1708</v>
      </c>
      <c r="F309" s="82" t="s">
        <v>89</v>
      </c>
      <c r="G309" s="85" t="s">
        <v>1584</v>
      </c>
      <c r="H309" s="82" t="s">
        <v>52</v>
      </c>
      <c r="I309" s="85" t="s">
        <v>90</v>
      </c>
      <c r="J309" s="85" t="s">
        <v>60</v>
      </c>
      <c r="K309" s="82" t="s">
        <v>67</v>
      </c>
      <c r="L309" s="82"/>
      <c r="M309" s="82" t="s">
        <v>101</v>
      </c>
      <c r="N309" s="82">
        <v>1</v>
      </c>
      <c r="O309" s="82"/>
      <c r="P309" s="82"/>
      <c r="Q309" s="82"/>
      <c r="R309" s="82"/>
      <c r="S309" s="97"/>
      <c r="T309" s="97"/>
      <c r="X309" s="94"/>
      <c r="Y309" s="95"/>
      <c r="Z309" s="95"/>
      <c r="AA309" s="94"/>
      <c r="AB309" s="94"/>
      <c r="AC309" s="94"/>
      <c r="AD309" s="94"/>
      <c r="AE309" s="94"/>
      <c r="AF309" s="94"/>
      <c r="AS309" s="94"/>
      <c r="AT309" s="94"/>
      <c r="AU309" s="94"/>
      <c r="AV309" s="94"/>
      <c r="BB309" s="108">
        <f>Schäden_Einband!X309+Schäden_Buchblock!AC309</f>
        <v>0</v>
      </c>
      <c r="BC309" s="95"/>
    </row>
    <row r="310" spans="1:55" ht="23" x14ac:dyDescent="0.25">
      <c r="A310" s="82">
        <v>297</v>
      </c>
      <c r="B310" s="64" t="s">
        <v>725</v>
      </c>
      <c r="C310" s="64">
        <v>1066966621</v>
      </c>
      <c r="D310" s="84" t="str">
        <f t="shared" si="4"/>
        <v>https://portal.dnb.de/opac.htm?method=simpleSearch&amp;cqlMode=true&amp;query=idn%3D1066966621</v>
      </c>
      <c r="E310" s="64" t="s">
        <v>1645</v>
      </c>
      <c r="F310" s="82"/>
      <c r="G310" s="85" t="s">
        <v>45</v>
      </c>
      <c r="H310" s="82" t="s">
        <v>50</v>
      </c>
      <c r="I310" s="85" t="s">
        <v>90</v>
      </c>
      <c r="J310" s="85" t="s">
        <v>1641</v>
      </c>
      <c r="K310" s="82" t="s">
        <v>67</v>
      </c>
      <c r="L310" s="82" t="s">
        <v>35</v>
      </c>
      <c r="M310" s="82" t="s">
        <v>1629</v>
      </c>
      <c r="N310" s="82">
        <v>0</v>
      </c>
      <c r="O310" s="82"/>
      <c r="P310" s="82"/>
      <c r="Q310" s="82"/>
      <c r="R310" s="82"/>
      <c r="S310" s="97"/>
      <c r="T310" s="97"/>
      <c r="X310" s="94"/>
      <c r="Y310" s="95"/>
      <c r="Z310" s="95"/>
      <c r="AA310" s="94"/>
      <c r="AB310" s="94"/>
      <c r="AC310" s="94"/>
      <c r="AD310" s="94"/>
      <c r="AE310" s="94"/>
      <c r="AF310" s="94"/>
      <c r="AS310" s="94"/>
      <c r="AT310" s="94"/>
      <c r="AU310" s="94"/>
      <c r="AV310" s="94"/>
      <c r="BB310" s="108">
        <f>Schäden_Einband!X310+Schäden_Buchblock!AC310</f>
        <v>0</v>
      </c>
      <c r="BC310" s="95"/>
    </row>
    <row r="311" spans="1:55" ht="46" x14ac:dyDescent="0.25">
      <c r="A311" s="82">
        <v>298</v>
      </c>
      <c r="B311" s="64" t="s">
        <v>726</v>
      </c>
      <c r="C311" s="64">
        <v>1066967962</v>
      </c>
      <c r="D311" s="84" t="str">
        <f t="shared" si="4"/>
        <v>https://portal.dnb.de/opac.htm?method=simpleSearch&amp;cqlMode=true&amp;query=idn%3D1066967962</v>
      </c>
      <c r="E311" s="64" t="s">
        <v>727</v>
      </c>
      <c r="F311" s="82" t="s">
        <v>1633</v>
      </c>
      <c r="G311" s="85" t="s">
        <v>1585</v>
      </c>
      <c r="H311" s="82" t="s">
        <v>51</v>
      </c>
      <c r="I311" s="85" t="s">
        <v>90</v>
      </c>
      <c r="J311" s="85" t="s">
        <v>60</v>
      </c>
      <c r="K311" s="82" t="s">
        <v>67</v>
      </c>
      <c r="L311" s="82" t="s">
        <v>35</v>
      </c>
      <c r="M311" s="82" t="s">
        <v>37</v>
      </c>
      <c r="N311" s="82">
        <v>0</v>
      </c>
      <c r="O311" s="82"/>
      <c r="P311" s="82" t="s">
        <v>1646</v>
      </c>
      <c r="Q311" s="82"/>
      <c r="R311" s="82"/>
      <c r="S311" s="97"/>
      <c r="T311" s="97"/>
      <c r="X311" s="94"/>
      <c r="Y311" s="95"/>
      <c r="Z311" s="95"/>
      <c r="AA311" s="94"/>
      <c r="AB311" s="94"/>
      <c r="AC311" s="94"/>
      <c r="AD311" s="94"/>
      <c r="AE311" s="94"/>
      <c r="AF311" s="94"/>
      <c r="AS311" s="94"/>
      <c r="AT311" s="94"/>
      <c r="AU311" s="94"/>
      <c r="AV311" s="94"/>
      <c r="BB311" s="108">
        <f>Schäden_Einband!X311+Schäden_Buchblock!AC311</f>
        <v>0</v>
      </c>
      <c r="BC311" s="95"/>
    </row>
    <row r="312" spans="1:55" ht="46" x14ac:dyDescent="0.25">
      <c r="A312" s="82">
        <v>299</v>
      </c>
      <c r="B312" s="64" t="s">
        <v>728</v>
      </c>
      <c r="C312" s="64">
        <v>1066970238</v>
      </c>
      <c r="D312" s="84" t="str">
        <f t="shared" si="4"/>
        <v>https://portal.dnb.de/opac.htm?method=simpleSearch&amp;cqlMode=true&amp;query=idn%3D1066970238</v>
      </c>
      <c r="E312" s="64" t="s">
        <v>729</v>
      </c>
      <c r="F312" s="82" t="s">
        <v>89</v>
      </c>
      <c r="G312" s="85" t="s">
        <v>1584</v>
      </c>
      <c r="H312" s="82" t="s">
        <v>51</v>
      </c>
      <c r="I312" s="85" t="s">
        <v>90</v>
      </c>
      <c r="J312" s="85" t="s">
        <v>60</v>
      </c>
      <c r="K312" s="82" t="s">
        <v>67</v>
      </c>
      <c r="L312" s="82"/>
      <c r="M312" s="82" t="s">
        <v>101</v>
      </c>
      <c r="N312" s="82">
        <v>2</v>
      </c>
      <c r="O312" s="82"/>
      <c r="P312" s="82"/>
      <c r="Q312" s="82"/>
      <c r="R312" s="82"/>
      <c r="S312" s="97"/>
      <c r="T312" s="97"/>
      <c r="X312" s="94"/>
      <c r="Y312" s="95"/>
      <c r="Z312" s="95"/>
      <c r="AA312" s="94"/>
      <c r="AB312" s="94"/>
      <c r="AC312" s="94"/>
      <c r="AD312" s="94"/>
      <c r="AE312" s="94"/>
      <c r="AF312" s="94"/>
      <c r="AS312" s="94"/>
      <c r="AT312" s="94"/>
      <c r="AU312" s="94"/>
      <c r="AV312" s="94"/>
      <c r="BB312" s="108">
        <f>Schäden_Einband!X312+Schäden_Buchblock!AC312</f>
        <v>0</v>
      </c>
      <c r="BC312" s="95"/>
    </row>
    <row r="313" spans="1:55" ht="46" x14ac:dyDescent="0.25">
      <c r="A313" s="82">
        <v>300</v>
      </c>
      <c r="B313" s="64" t="s">
        <v>730</v>
      </c>
      <c r="C313" s="64">
        <v>1066964912</v>
      </c>
      <c r="D313" s="84" t="str">
        <f t="shared" si="4"/>
        <v>https://portal.dnb.de/opac.htm?method=simpleSearch&amp;cqlMode=true&amp;query=idn%3D1066964912</v>
      </c>
      <c r="E313" s="64" t="s">
        <v>731</v>
      </c>
      <c r="F313" s="82" t="s">
        <v>1633</v>
      </c>
      <c r="G313" s="85" t="s">
        <v>1585</v>
      </c>
      <c r="H313" s="82" t="s">
        <v>51</v>
      </c>
      <c r="I313" s="85" t="s">
        <v>90</v>
      </c>
      <c r="J313" s="85" t="s">
        <v>1619</v>
      </c>
      <c r="K313" s="82" t="s">
        <v>67</v>
      </c>
      <c r="L313" s="82" t="s">
        <v>35</v>
      </c>
      <c r="M313" s="82" t="s">
        <v>37</v>
      </c>
      <c r="N313" s="82">
        <v>3</v>
      </c>
      <c r="O313" s="82"/>
      <c r="P313" s="82"/>
      <c r="Q313" s="82"/>
      <c r="R313" s="82"/>
      <c r="S313" s="97"/>
      <c r="T313" s="97"/>
      <c r="X313" s="94"/>
      <c r="Y313" s="95"/>
      <c r="Z313" s="95"/>
      <c r="AA313" s="94"/>
      <c r="AB313" s="94"/>
      <c r="AC313" s="94"/>
      <c r="AD313" s="94"/>
      <c r="AE313" s="94"/>
      <c r="AF313" s="94"/>
      <c r="AS313" s="94"/>
      <c r="AT313" s="94"/>
      <c r="AU313" s="94"/>
      <c r="AV313" s="94"/>
      <c r="BB313" s="108">
        <f>Schäden_Einband!X313+Schäden_Buchblock!AC313</f>
        <v>0</v>
      </c>
      <c r="BC313" s="95"/>
    </row>
    <row r="314" spans="1:55" ht="46" x14ac:dyDescent="0.25">
      <c r="A314" s="82">
        <v>301</v>
      </c>
      <c r="B314" s="64" t="s">
        <v>732</v>
      </c>
      <c r="C314" s="64" t="s">
        <v>733</v>
      </c>
      <c r="D314" s="84" t="str">
        <f t="shared" si="4"/>
        <v>https://portal.dnb.de/opac.htm?method=simpleSearch&amp;cqlMode=true&amp;query=idn%3D106697022X</v>
      </c>
      <c r="E314" s="64" t="s">
        <v>734</v>
      </c>
      <c r="F314" s="82" t="s">
        <v>89</v>
      </c>
      <c r="G314" s="85" t="s">
        <v>1585</v>
      </c>
      <c r="H314" s="82" t="s">
        <v>52</v>
      </c>
      <c r="I314" s="85" t="s">
        <v>90</v>
      </c>
      <c r="J314" s="85"/>
      <c r="K314" s="82"/>
      <c r="L314" s="82"/>
      <c r="M314" s="82" t="s">
        <v>101</v>
      </c>
      <c r="N314" s="82">
        <v>0</v>
      </c>
      <c r="O314" s="82"/>
      <c r="P314" s="82"/>
      <c r="Q314" s="82"/>
      <c r="R314" s="82"/>
      <c r="S314" s="97"/>
      <c r="T314" s="97"/>
      <c r="X314" s="94"/>
      <c r="Y314" s="95"/>
      <c r="Z314" s="95"/>
      <c r="AA314" s="94"/>
      <c r="AB314" s="94"/>
      <c r="AC314" s="94"/>
      <c r="AD314" s="94"/>
      <c r="AE314" s="94"/>
      <c r="AF314" s="94"/>
      <c r="AS314" s="94"/>
      <c r="AT314" s="94"/>
      <c r="AU314" s="94"/>
      <c r="AV314" s="94"/>
      <c r="BB314" s="108">
        <f>Schäden_Einband!X314+Schäden_Buchblock!AC314</f>
        <v>0</v>
      </c>
      <c r="BC314" s="95"/>
    </row>
    <row r="315" spans="1:55" ht="46" x14ac:dyDescent="0.25">
      <c r="A315" s="82">
        <v>302</v>
      </c>
      <c r="B315" s="64" t="s">
        <v>735</v>
      </c>
      <c r="C315" s="64">
        <v>1066970866</v>
      </c>
      <c r="D315" s="84" t="str">
        <f t="shared" si="4"/>
        <v>https://portal.dnb.de/opac.htm?method=simpleSearch&amp;cqlMode=true&amp;query=idn%3D1066970866</v>
      </c>
      <c r="E315" s="64" t="s">
        <v>736</v>
      </c>
      <c r="F315" s="82" t="s">
        <v>89</v>
      </c>
      <c r="G315" s="85" t="s">
        <v>1585</v>
      </c>
      <c r="H315" s="82" t="s">
        <v>52</v>
      </c>
      <c r="I315" s="85" t="s">
        <v>90</v>
      </c>
      <c r="J315" s="85" t="s">
        <v>94</v>
      </c>
      <c r="K315" s="82"/>
      <c r="L315" s="82"/>
      <c r="M315" s="82" t="s">
        <v>101</v>
      </c>
      <c r="N315" s="82">
        <v>1</v>
      </c>
      <c r="O315" s="82"/>
      <c r="P315" s="82"/>
      <c r="Q315" s="82"/>
      <c r="R315" s="82"/>
      <c r="S315" s="97"/>
      <c r="T315" s="97"/>
      <c r="X315" s="94"/>
      <c r="Y315" s="95"/>
      <c r="Z315" s="95"/>
      <c r="AA315" s="94"/>
      <c r="AB315" s="94"/>
      <c r="AC315" s="94"/>
      <c r="AD315" s="94"/>
      <c r="AE315" s="94"/>
      <c r="AF315" s="94"/>
      <c r="AS315" s="94"/>
      <c r="AT315" s="94"/>
      <c r="AU315" s="94"/>
      <c r="AV315" s="94"/>
      <c r="BB315" s="108">
        <f>Schäden_Einband!X315+Schäden_Buchblock!AC315</f>
        <v>0</v>
      </c>
      <c r="BC315" s="95"/>
    </row>
    <row r="316" spans="1:55" ht="46" x14ac:dyDescent="0.25">
      <c r="A316" s="82">
        <v>303</v>
      </c>
      <c r="B316" s="64" t="s">
        <v>737</v>
      </c>
      <c r="C316" s="64">
        <v>1066966028</v>
      </c>
      <c r="D316" s="84" t="str">
        <f t="shared" si="4"/>
        <v>https://portal.dnb.de/opac.htm?method=simpleSearch&amp;cqlMode=true&amp;query=idn%3D1066966028</v>
      </c>
      <c r="E316" s="64" t="s">
        <v>738</v>
      </c>
      <c r="F316" s="82"/>
      <c r="G316" s="85" t="s">
        <v>1585</v>
      </c>
      <c r="H316" s="82" t="s">
        <v>51</v>
      </c>
      <c r="I316" s="85" t="s">
        <v>90</v>
      </c>
      <c r="J316" s="85" t="s">
        <v>1647</v>
      </c>
      <c r="K316" s="82" t="s">
        <v>67</v>
      </c>
      <c r="L316" s="82" t="s">
        <v>35</v>
      </c>
      <c r="M316" s="82" t="s">
        <v>37</v>
      </c>
      <c r="N316" s="82">
        <v>0</v>
      </c>
      <c r="O316" s="82"/>
      <c r="P316" s="82"/>
      <c r="Q316" s="82"/>
      <c r="R316" s="82"/>
      <c r="S316" s="97"/>
      <c r="T316" s="97"/>
      <c r="X316" s="94"/>
      <c r="Y316" s="95"/>
      <c r="Z316" s="95"/>
      <c r="AA316" s="94"/>
      <c r="AB316" s="94"/>
      <c r="AC316" s="94"/>
      <c r="AD316" s="94"/>
      <c r="AE316" s="94"/>
      <c r="AF316" s="94"/>
      <c r="AS316" s="94"/>
      <c r="AT316" s="94"/>
      <c r="AU316" s="94"/>
      <c r="AV316" s="94"/>
      <c r="BB316" s="108">
        <f>Schäden_Einband!X316+Schäden_Buchblock!AC316</f>
        <v>0</v>
      </c>
      <c r="BC316" s="95"/>
    </row>
    <row r="317" spans="1:55" x14ac:dyDescent="0.25">
      <c r="A317" s="82">
        <v>304</v>
      </c>
      <c r="B317" s="64" t="s">
        <v>739</v>
      </c>
      <c r="C317" s="64">
        <v>1066966028</v>
      </c>
      <c r="D317" s="84" t="str">
        <f t="shared" si="4"/>
        <v>https://portal.dnb.de/opac.htm?method=simpleSearch&amp;cqlMode=true&amp;query=idn%3D1066966028</v>
      </c>
      <c r="E317" s="64" t="s">
        <v>740</v>
      </c>
      <c r="F317" s="82"/>
      <c r="G317" s="85"/>
      <c r="H317" s="82"/>
      <c r="I317" s="85"/>
      <c r="J317" s="85"/>
      <c r="K317" s="82"/>
      <c r="L317" s="82"/>
      <c r="M317" s="82"/>
      <c r="N317" s="82"/>
      <c r="O317" s="82"/>
      <c r="P317" s="82"/>
      <c r="Q317" s="82"/>
      <c r="R317" s="82"/>
      <c r="S317" s="97"/>
      <c r="T317" s="97"/>
      <c r="X317" s="94"/>
      <c r="Y317" s="95"/>
      <c r="Z317" s="95"/>
      <c r="AA317" s="94"/>
      <c r="AB317" s="94"/>
      <c r="AC317" s="94"/>
      <c r="AD317" s="94"/>
      <c r="AE317" s="94"/>
      <c r="AF317" s="94"/>
      <c r="AS317" s="94"/>
      <c r="AT317" s="94"/>
      <c r="AU317" s="94"/>
      <c r="AV317" s="94"/>
      <c r="BB317" s="108">
        <f>Schäden_Einband!X317+Schäden_Buchblock!AC317</f>
        <v>0</v>
      </c>
      <c r="BC317" s="95"/>
    </row>
    <row r="318" spans="1:55" x14ac:dyDescent="0.25">
      <c r="A318" s="82">
        <v>305</v>
      </c>
      <c r="B318" s="64" t="s">
        <v>741</v>
      </c>
      <c r="C318" s="64">
        <v>1066973016</v>
      </c>
      <c r="D318" s="84" t="str">
        <f t="shared" si="4"/>
        <v>https://portal.dnb.de/opac.htm?method=simpleSearch&amp;cqlMode=true&amp;query=idn%3D1066973016</v>
      </c>
      <c r="E318" s="64" t="s">
        <v>742</v>
      </c>
      <c r="F318" s="82"/>
      <c r="G318" s="85"/>
      <c r="H318" s="82"/>
      <c r="I318" s="85"/>
      <c r="J318" s="85"/>
      <c r="K318" s="82"/>
      <c r="L318" s="82"/>
      <c r="M318" s="82"/>
      <c r="N318" s="82"/>
      <c r="O318" s="82"/>
      <c r="P318" s="82"/>
      <c r="Q318" s="82"/>
      <c r="R318" s="82"/>
      <c r="S318" s="97"/>
      <c r="T318" s="97"/>
      <c r="X318" s="94"/>
      <c r="Y318" s="95"/>
      <c r="Z318" s="95"/>
      <c r="AA318" s="94"/>
      <c r="AB318" s="94"/>
      <c r="AC318" s="94"/>
      <c r="AD318" s="94"/>
      <c r="AE318" s="94"/>
      <c r="AF318" s="94"/>
      <c r="AS318" s="94"/>
      <c r="AT318" s="94"/>
      <c r="AU318" s="94"/>
      <c r="AV318" s="94"/>
      <c r="BB318" s="108">
        <f>Schäden_Einband!X318+Schäden_Buchblock!AC318</f>
        <v>0</v>
      </c>
      <c r="BC318" s="95"/>
    </row>
    <row r="319" spans="1:55" ht="46" x14ac:dyDescent="0.25">
      <c r="A319" s="82">
        <v>306</v>
      </c>
      <c r="B319" s="64" t="s">
        <v>743</v>
      </c>
      <c r="C319" s="64">
        <v>1066972141</v>
      </c>
      <c r="D319" s="84" t="str">
        <f t="shared" si="4"/>
        <v>https://portal.dnb.de/opac.htm?method=simpleSearch&amp;cqlMode=true&amp;query=idn%3D1066972141</v>
      </c>
      <c r="E319" s="64" t="s">
        <v>744</v>
      </c>
      <c r="F319" s="82" t="s">
        <v>89</v>
      </c>
      <c r="G319" s="85" t="s">
        <v>1585</v>
      </c>
      <c r="H319" s="82" t="s">
        <v>52</v>
      </c>
      <c r="I319" s="85" t="s">
        <v>90</v>
      </c>
      <c r="J319" s="85" t="s">
        <v>1643</v>
      </c>
      <c r="K319" s="82"/>
      <c r="L319" s="82"/>
      <c r="M319" s="82"/>
      <c r="N319" s="82">
        <v>1</v>
      </c>
      <c r="O319" s="82"/>
      <c r="P319" s="82"/>
      <c r="Q319" s="82"/>
      <c r="R319" s="82"/>
      <c r="S319" s="97"/>
      <c r="T319" s="97"/>
      <c r="X319" s="94"/>
      <c r="Y319" s="95"/>
      <c r="Z319" s="95"/>
      <c r="AA319" s="94"/>
      <c r="AB319" s="94"/>
      <c r="AC319" s="94"/>
      <c r="AD319" s="94"/>
      <c r="AE319" s="94"/>
      <c r="AF319" s="94"/>
      <c r="AS319" s="94"/>
      <c r="AT319" s="94"/>
      <c r="AU319" s="94"/>
      <c r="AV319" s="94"/>
      <c r="BB319" s="108">
        <f>Schäden_Einband!X319+Schäden_Buchblock!AC319</f>
        <v>0</v>
      </c>
      <c r="BC319" s="95"/>
    </row>
    <row r="320" spans="1:55" ht="46" x14ac:dyDescent="0.25">
      <c r="A320" s="82">
        <v>307</v>
      </c>
      <c r="B320" s="64" t="s">
        <v>745</v>
      </c>
      <c r="C320" s="64">
        <v>1066969426</v>
      </c>
      <c r="D320" s="84" t="str">
        <f t="shared" si="4"/>
        <v>https://portal.dnb.de/opac.htm?method=simpleSearch&amp;cqlMode=true&amp;query=idn%3D1066969426</v>
      </c>
      <c r="E320" s="64" t="s">
        <v>746</v>
      </c>
      <c r="F320" s="82" t="s">
        <v>1633</v>
      </c>
      <c r="G320" s="85" t="s">
        <v>1585</v>
      </c>
      <c r="H320" s="82" t="s">
        <v>50</v>
      </c>
      <c r="I320" s="85" t="s">
        <v>86</v>
      </c>
      <c r="J320" s="85" t="s">
        <v>1612</v>
      </c>
      <c r="K320" s="82" t="s">
        <v>67</v>
      </c>
      <c r="L320" s="82" t="s">
        <v>35</v>
      </c>
      <c r="M320" s="82" t="s">
        <v>37</v>
      </c>
      <c r="N320" s="82">
        <v>1</v>
      </c>
      <c r="O320" s="82"/>
      <c r="P320" s="82"/>
      <c r="Q320" s="82"/>
      <c r="R320" s="82"/>
      <c r="S320" s="97"/>
      <c r="T320" s="97"/>
      <c r="X320" s="94"/>
      <c r="Y320" s="95"/>
      <c r="Z320" s="95"/>
      <c r="AA320" s="94"/>
      <c r="AB320" s="94"/>
      <c r="AC320" s="94"/>
      <c r="AD320" s="94"/>
      <c r="AE320" s="94"/>
      <c r="AF320" s="94"/>
      <c r="AS320" s="94"/>
      <c r="AT320" s="94"/>
      <c r="AU320" s="94"/>
      <c r="AV320" s="94"/>
      <c r="BB320" s="108">
        <f>Schäden_Einband!X320+Schäden_Buchblock!AC320</f>
        <v>0</v>
      </c>
      <c r="BC320" s="95"/>
    </row>
    <row r="321" spans="1:55" ht="23" x14ac:dyDescent="0.25">
      <c r="A321" s="82">
        <v>308</v>
      </c>
      <c r="B321" s="64" t="s">
        <v>747</v>
      </c>
      <c r="C321" s="64">
        <v>1066971617</v>
      </c>
      <c r="D321" s="84" t="str">
        <f t="shared" si="4"/>
        <v>https://portal.dnb.de/opac.htm?method=simpleSearch&amp;cqlMode=true&amp;query=idn%3D1066971617</v>
      </c>
      <c r="E321" s="64" t="s">
        <v>748</v>
      </c>
      <c r="F321" s="82"/>
      <c r="G321" s="85" t="s">
        <v>4</v>
      </c>
      <c r="H321" s="82" t="s">
        <v>50</v>
      </c>
      <c r="I321" s="85" t="s">
        <v>90</v>
      </c>
      <c r="J321" s="85" t="s">
        <v>60</v>
      </c>
      <c r="K321" s="82" t="s">
        <v>67</v>
      </c>
      <c r="L321" s="82" t="s">
        <v>35</v>
      </c>
      <c r="M321" s="82"/>
      <c r="N321" s="82">
        <v>0</v>
      </c>
      <c r="O321" s="82"/>
      <c r="P321" s="82"/>
      <c r="Q321" s="82"/>
      <c r="R321" s="82"/>
      <c r="S321" s="97"/>
      <c r="T321" s="97"/>
      <c r="X321" s="94"/>
      <c r="Y321" s="95"/>
      <c r="Z321" s="95"/>
      <c r="AA321" s="94"/>
      <c r="AB321" s="94"/>
      <c r="AC321" s="94"/>
      <c r="AD321" s="94"/>
      <c r="AE321" s="94"/>
      <c r="AF321" s="94"/>
      <c r="AS321" s="94"/>
      <c r="AT321" s="94"/>
      <c r="AU321" s="94"/>
      <c r="AV321" s="94"/>
      <c r="BB321" s="108">
        <f>Schäden_Einband!X321+Schäden_Buchblock!AC321</f>
        <v>0</v>
      </c>
      <c r="BC321" s="95"/>
    </row>
    <row r="322" spans="1:55" ht="46" x14ac:dyDescent="0.25">
      <c r="A322" s="82">
        <v>309</v>
      </c>
      <c r="B322" s="64" t="s">
        <v>749</v>
      </c>
      <c r="C322" s="64">
        <v>1066965188</v>
      </c>
      <c r="D322" s="84" t="str">
        <f t="shared" si="4"/>
        <v>https://portal.dnb.de/opac.htm?method=simpleSearch&amp;cqlMode=true&amp;query=idn%3D1066965188</v>
      </c>
      <c r="E322" s="64" t="s">
        <v>750</v>
      </c>
      <c r="F322" s="82"/>
      <c r="G322" s="85" t="s">
        <v>1585</v>
      </c>
      <c r="H322" s="82" t="s">
        <v>51</v>
      </c>
      <c r="I322" s="85" t="s">
        <v>90</v>
      </c>
      <c r="J322" s="85" t="s">
        <v>1604</v>
      </c>
      <c r="K322" s="82"/>
      <c r="L322" s="82" t="s">
        <v>35</v>
      </c>
      <c r="M322" s="82" t="s">
        <v>37</v>
      </c>
      <c r="N322" s="82"/>
      <c r="O322" s="82"/>
      <c r="P322" s="82"/>
      <c r="Q322" s="82"/>
      <c r="R322" s="82"/>
      <c r="S322" s="97"/>
      <c r="T322" s="97"/>
      <c r="X322" s="94"/>
      <c r="Y322" s="95"/>
      <c r="Z322" s="95"/>
      <c r="AA322" s="94"/>
      <c r="AB322" s="94"/>
      <c r="AC322" s="94"/>
      <c r="AD322" s="94"/>
      <c r="AE322" s="94"/>
      <c r="AF322" s="94"/>
      <c r="AS322" s="94"/>
      <c r="AT322" s="94"/>
      <c r="AU322" s="94"/>
      <c r="AV322" s="94"/>
      <c r="BB322" s="108">
        <f>Schäden_Einband!X322+Schäden_Buchblock!AC322</f>
        <v>0</v>
      </c>
      <c r="BC322" s="95"/>
    </row>
    <row r="323" spans="1:55" x14ac:dyDescent="0.25">
      <c r="A323" s="82">
        <v>310</v>
      </c>
      <c r="B323" s="64" t="s">
        <v>751</v>
      </c>
      <c r="C323" s="64">
        <v>1066969612</v>
      </c>
      <c r="D323" s="84" t="str">
        <f t="shared" si="4"/>
        <v>https://portal.dnb.de/opac.htm?method=simpleSearch&amp;cqlMode=true&amp;query=idn%3D1066969612</v>
      </c>
      <c r="E323" s="64" t="s">
        <v>752</v>
      </c>
      <c r="F323" s="82"/>
      <c r="G323" s="85"/>
      <c r="H323" s="82"/>
      <c r="I323" s="85"/>
      <c r="J323" s="85"/>
      <c r="K323" s="82"/>
      <c r="L323" s="82"/>
      <c r="M323" s="82"/>
      <c r="N323" s="82"/>
      <c r="O323" s="82"/>
      <c r="P323" s="82"/>
      <c r="Q323" s="82"/>
      <c r="R323" s="82"/>
      <c r="S323" s="97"/>
      <c r="T323" s="97"/>
      <c r="X323" s="94"/>
      <c r="Y323" s="95"/>
      <c r="Z323" s="95"/>
      <c r="AA323" s="94"/>
      <c r="AB323" s="94"/>
      <c r="AC323" s="94"/>
      <c r="AD323" s="94"/>
      <c r="AE323" s="94"/>
      <c r="AF323" s="94"/>
      <c r="AS323" s="94"/>
      <c r="AT323" s="94"/>
      <c r="AU323" s="94"/>
      <c r="AV323" s="94"/>
      <c r="BB323" s="108">
        <f>Schäden_Einband!X323+Schäden_Buchblock!AC323</f>
        <v>0</v>
      </c>
      <c r="BC323" s="95"/>
    </row>
    <row r="324" spans="1:55" x14ac:dyDescent="0.25">
      <c r="A324" s="82">
        <v>311</v>
      </c>
      <c r="B324" s="64" t="s">
        <v>753</v>
      </c>
      <c r="C324" s="64">
        <v>1060137496</v>
      </c>
      <c r="D324" s="84" t="str">
        <f t="shared" si="4"/>
        <v>https://portal.dnb.de/opac.htm?method=simpleSearch&amp;cqlMode=true&amp;query=idn%3D1060137496</v>
      </c>
      <c r="E324" s="64" t="s">
        <v>754</v>
      </c>
      <c r="F324" s="82"/>
      <c r="G324" s="85"/>
      <c r="H324" s="82"/>
      <c r="I324" s="85"/>
      <c r="J324" s="85"/>
      <c r="K324" s="82"/>
      <c r="L324" s="82"/>
      <c r="M324" s="82"/>
      <c r="N324" s="82"/>
      <c r="O324" s="82"/>
      <c r="P324" s="82"/>
      <c r="Q324" s="82"/>
      <c r="R324" s="82"/>
      <c r="S324" s="97"/>
      <c r="T324" s="97"/>
      <c r="X324" s="94"/>
      <c r="Y324" s="95"/>
      <c r="Z324" s="95"/>
      <c r="AA324" s="94"/>
      <c r="AB324" s="94"/>
      <c r="AC324" s="94"/>
      <c r="AD324" s="94"/>
      <c r="AE324" s="94"/>
      <c r="AF324" s="94"/>
      <c r="AS324" s="94"/>
      <c r="AT324" s="94"/>
      <c r="AU324" s="94"/>
      <c r="AV324" s="94"/>
      <c r="BB324" s="108">
        <f>Schäden_Einband!X324+Schäden_Buchblock!AC324</f>
        <v>0</v>
      </c>
      <c r="BC324" s="95"/>
    </row>
    <row r="325" spans="1:55" x14ac:dyDescent="0.25">
      <c r="A325" s="82">
        <v>312</v>
      </c>
      <c r="B325" s="64" t="s">
        <v>755</v>
      </c>
      <c r="C325" s="64">
        <v>1060136910</v>
      </c>
      <c r="D325" s="84" t="str">
        <f t="shared" si="4"/>
        <v>https://portal.dnb.de/opac.htm?method=simpleSearch&amp;cqlMode=true&amp;query=idn%3D1060136910</v>
      </c>
      <c r="E325" s="64" t="s">
        <v>756</v>
      </c>
      <c r="F325" s="82"/>
      <c r="G325" s="85"/>
      <c r="H325" s="82"/>
      <c r="I325" s="85"/>
      <c r="J325" s="85"/>
      <c r="K325" s="82"/>
      <c r="L325" s="82"/>
      <c r="M325" s="82"/>
      <c r="N325" s="82"/>
      <c r="O325" s="82"/>
      <c r="P325" s="82"/>
      <c r="Q325" s="82"/>
      <c r="R325" s="82"/>
      <c r="S325" s="97"/>
      <c r="T325" s="97"/>
      <c r="X325" s="94"/>
      <c r="Y325" s="95"/>
      <c r="Z325" s="95"/>
      <c r="AA325" s="94"/>
      <c r="AB325" s="94"/>
      <c r="AC325" s="94"/>
      <c r="AD325" s="94"/>
      <c r="AE325" s="94"/>
      <c r="AF325" s="94"/>
      <c r="AS325" s="94"/>
      <c r="AT325" s="94"/>
      <c r="AU325" s="94"/>
      <c r="AV325" s="94"/>
      <c r="BB325" s="108">
        <f>Schäden_Einband!X325+Schäden_Buchblock!AC325</f>
        <v>0</v>
      </c>
      <c r="BC325" s="95"/>
    </row>
    <row r="326" spans="1:55" ht="46" x14ac:dyDescent="0.25">
      <c r="A326" s="82">
        <v>313</v>
      </c>
      <c r="B326" s="64" t="s">
        <v>757</v>
      </c>
      <c r="C326" s="64">
        <v>1066965056</v>
      </c>
      <c r="D326" s="84" t="str">
        <f t="shared" si="4"/>
        <v>https://portal.dnb.de/opac.htm?method=simpleSearch&amp;cqlMode=true&amp;query=idn%3D1066965056</v>
      </c>
      <c r="E326" s="64" t="s">
        <v>758</v>
      </c>
      <c r="F326" s="82" t="s">
        <v>1633</v>
      </c>
      <c r="G326" s="85" t="s">
        <v>1584</v>
      </c>
      <c r="H326" s="82" t="s">
        <v>50</v>
      </c>
      <c r="I326" s="85" t="s">
        <v>90</v>
      </c>
      <c r="J326" s="85" t="s">
        <v>1591</v>
      </c>
      <c r="K326" s="82" t="s">
        <v>67</v>
      </c>
      <c r="L326" s="82" t="s">
        <v>35</v>
      </c>
      <c r="M326" s="82" t="s">
        <v>37</v>
      </c>
      <c r="N326" s="82">
        <v>3</v>
      </c>
      <c r="O326" s="82"/>
      <c r="P326" s="82"/>
      <c r="Q326" s="82"/>
      <c r="R326" s="82"/>
      <c r="S326" s="97"/>
      <c r="T326" s="97"/>
      <c r="X326" s="94"/>
      <c r="Y326" s="95"/>
      <c r="Z326" s="95"/>
      <c r="AA326" s="94"/>
      <c r="AB326" s="94"/>
      <c r="AC326" s="94"/>
      <c r="AD326" s="94"/>
      <c r="AE326" s="94"/>
      <c r="AF326" s="94"/>
      <c r="AS326" s="94"/>
      <c r="AT326" s="94"/>
      <c r="AU326" s="94"/>
      <c r="AV326" s="94"/>
      <c r="BB326" s="108">
        <f>Schäden_Einband!X326+Schäden_Buchblock!AC326</f>
        <v>0</v>
      </c>
      <c r="BC326" s="95"/>
    </row>
    <row r="327" spans="1:55" ht="46" x14ac:dyDescent="0.25">
      <c r="A327" s="82">
        <v>314</v>
      </c>
      <c r="B327" s="64" t="s">
        <v>759</v>
      </c>
      <c r="C327" s="64">
        <v>1066969094</v>
      </c>
      <c r="D327" s="84" t="str">
        <f t="shared" si="4"/>
        <v>https://portal.dnb.de/opac.htm?method=simpleSearch&amp;cqlMode=true&amp;query=idn%3D1066969094</v>
      </c>
      <c r="E327" s="64" t="s">
        <v>760</v>
      </c>
      <c r="F327" s="82" t="s">
        <v>89</v>
      </c>
      <c r="G327" s="85" t="s">
        <v>1584</v>
      </c>
      <c r="H327" s="82" t="s">
        <v>52</v>
      </c>
      <c r="I327" s="85" t="s">
        <v>90</v>
      </c>
      <c r="J327" s="85" t="s">
        <v>81</v>
      </c>
      <c r="K327" s="82"/>
      <c r="L327" s="82"/>
      <c r="M327" s="82" t="s">
        <v>101</v>
      </c>
      <c r="N327" s="82">
        <v>1</v>
      </c>
      <c r="O327" s="82"/>
      <c r="P327" s="82"/>
      <c r="Q327" s="82"/>
      <c r="R327" s="82"/>
      <c r="S327" s="97"/>
      <c r="T327" s="97"/>
      <c r="X327" s="94"/>
      <c r="Y327" s="95"/>
      <c r="Z327" s="95"/>
      <c r="AA327" s="94"/>
      <c r="AB327" s="94"/>
      <c r="AC327" s="94"/>
      <c r="AD327" s="94"/>
      <c r="AE327" s="94"/>
      <c r="AF327" s="94"/>
      <c r="AS327" s="94"/>
      <c r="AT327" s="94"/>
      <c r="AU327" s="94"/>
      <c r="AV327" s="94"/>
      <c r="BB327" s="108">
        <f>Schäden_Einband!X327+Schäden_Buchblock!AC327</f>
        <v>0</v>
      </c>
      <c r="BC327" s="95"/>
    </row>
    <row r="328" spans="1:55" x14ac:dyDescent="0.25">
      <c r="A328" s="82">
        <v>315</v>
      </c>
      <c r="B328" s="64" t="s">
        <v>761</v>
      </c>
      <c r="C328" s="64">
        <v>1066969825</v>
      </c>
      <c r="D328" s="84" t="str">
        <f t="shared" si="4"/>
        <v>https://portal.dnb.de/opac.htm?method=simpleSearch&amp;cqlMode=true&amp;query=idn%3D1066969825</v>
      </c>
      <c r="E328" s="64" t="s">
        <v>762</v>
      </c>
      <c r="F328" s="82"/>
      <c r="G328" s="85"/>
      <c r="H328" s="82"/>
      <c r="I328" s="85"/>
      <c r="J328" s="85"/>
      <c r="K328" s="82"/>
      <c r="L328" s="82"/>
      <c r="M328" s="82"/>
      <c r="N328" s="82"/>
      <c r="O328" s="82"/>
      <c r="P328" s="82"/>
      <c r="Q328" s="82"/>
      <c r="R328" s="82"/>
      <c r="S328" s="97"/>
      <c r="T328" s="97"/>
      <c r="X328" s="94"/>
      <c r="Y328" s="95"/>
      <c r="Z328" s="95"/>
      <c r="AA328" s="94"/>
      <c r="AB328" s="94"/>
      <c r="AC328" s="94"/>
      <c r="AD328" s="94"/>
      <c r="AE328" s="94"/>
      <c r="AF328" s="94"/>
      <c r="AS328" s="94"/>
      <c r="AT328" s="94"/>
      <c r="AU328" s="94"/>
      <c r="AV328" s="94"/>
      <c r="BB328" s="108">
        <f>Schäden_Einband!X328+Schäden_Buchblock!AC328</f>
        <v>0</v>
      </c>
      <c r="BC328" s="95"/>
    </row>
    <row r="329" spans="1:55" ht="23" x14ac:dyDescent="0.25">
      <c r="A329" s="82">
        <v>316</v>
      </c>
      <c r="B329" s="64" t="s">
        <v>763</v>
      </c>
      <c r="C329" s="64">
        <v>1066971897</v>
      </c>
      <c r="D329" s="84" t="str">
        <f>HYPERLINK(CONCATENATE("https://portal.dnb.de/opac.htm?method=simpleSearch&amp;cqlMode=true&amp;query=idn%3D",C329))</f>
        <v>https://portal.dnb.de/opac.htm?method=simpleSearch&amp;cqlMode=true&amp;query=idn%3D1066971897</v>
      </c>
      <c r="E329" s="64" t="s">
        <v>764</v>
      </c>
      <c r="F329" s="82" t="s">
        <v>89</v>
      </c>
      <c r="G329" s="85" t="s">
        <v>45</v>
      </c>
      <c r="H329" s="82" t="s">
        <v>51</v>
      </c>
      <c r="I329" s="85" t="s">
        <v>90</v>
      </c>
      <c r="J329" s="85" t="s">
        <v>1586</v>
      </c>
      <c r="K329" s="82" t="s">
        <v>67</v>
      </c>
      <c r="L329" s="82" t="s">
        <v>35</v>
      </c>
      <c r="M329" s="82" t="s">
        <v>37</v>
      </c>
      <c r="N329" s="82">
        <v>0</v>
      </c>
      <c r="O329" s="82"/>
      <c r="P329" s="82"/>
      <c r="Q329" s="82"/>
      <c r="R329" s="82"/>
      <c r="S329" s="97"/>
      <c r="T329" s="97"/>
      <c r="X329" s="94"/>
      <c r="Y329" s="95"/>
      <c r="Z329" s="95"/>
      <c r="AA329" s="94"/>
      <c r="AB329" s="94"/>
      <c r="AC329" s="94"/>
      <c r="AD329" s="94"/>
      <c r="AE329" s="94"/>
      <c r="AF329" s="94"/>
      <c r="AS329" s="94"/>
      <c r="AT329" s="94"/>
      <c r="AU329" s="94"/>
      <c r="AV329" s="94"/>
      <c r="BB329" s="108">
        <f>Schäden_Einband!X329+Schäden_Buchblock!AC329</f>
        <v>0</v>
      </c>
      <c r="BC329" s="95"/>
    </row>
    <row r="330" spans="1:55" ht="46" x14ac:dyDescent="0.25">
      <c r="A330" s="82">
        <v>317</v>
      </c>
      <c r="B330" s="64" t="s">
        <v>765</v>
      </c>
      <c r="C330" s="64" t="s">
        <v>766</v>
      </c>
      <c r="D330" s="84" t="str">
        <f t="shared" si="4"/>
        <v>https://portal.dnb.de/opac.htm?method=simpleSearch&amp;cqlMode=true&amp;query=idn%3D106697280X</v>
      </c>
      <c r="E330" s="64" t="s">
        <v>767</v>
      </c>
      <c r="F330" s="82"/>
      <c r="G330" s="85" t="s">
        <v>45</v>
      </c>
      <c r="H330" s="82" t="s">
        <v>51</v>
      </c>
      <c r="I330" s="85" t="s">
        <v>90</v>
      </c>
      <c r="J330" s="85" t="s">
        <v>1648</v>
      </c>
      <c r="K330" s="82" t="s">
        <v>67</v>
      </c>
      <c r="L330" s="82" t="s">
        <v>35</v>
      </c>
      <c r="M330" s="82" t="s">
        <v>37</v>
      </c>
      <c r="N330" s="82">
        <v>0</v>
      </c>
      <c r="O330" s="82"/>
      <c r="P330" s="82"/>
      <c r="Q330" s="82"/>
      <c r="R330" s="82"/>
      <c r="S330" s="97"/>
      <c r="T330" s="97"/>
      <c r="X330" s="94"/>
      <c r="Y330" s="95"/>
      <c r="Z330" s="95"/>
      <c r="AA330" s="94"/>
      <c r="AB330" s="94"/>
      <c r="AC330" s="94"/>
      <c r="AD330" s="94"/>
      <c r="AE330" s="94"/>
      <c r="AF330" s="94"/>
      <c r="AS330" s="94"/>
      <c r="AT330" s="94"/>
      <c r="AU330" s="94"/>
      <c r="AV330" s="94"/>
      <c r="BB330" s="108">
        <f>Schäden_Einband!X330+Schäden_Buchblock!AC330</f>
        <v>0</v>
      </c>
      <c r="BC330" s="95"/>
    </row>
    <row r="331" spans="1:55" ht="34.5" x14ac:dyDescent="0.25">
      <c r="A331" s="82">
        <v>318</v>
      </c>
      <c r="B331" s="64" t="s">
        <v>768</v>
      </c>
      <c r="C331" s="64">
        <v>1066971900</v>
      </c>
      <c r="D331" s="84" t="str">
        <f>HYPERLINK(CONCATENATE("https://portal.dnb.de/opac.htm?method=simpleSearch&amp;cqlMode=true&amp;query=idn%3D",C331))</f>
        <v>https://portal.dnb.de/opac.htm?method=simpleSearch&amp;cqlMode=true&amp;query=idn%3D1066971900</v>
      </c>
      <c r="E331" s="64" t="s">
        <v>769</v>
      </c>
      <c r="F331" s="82" t="s">
        <v>89</v>
      </c>
      <c r="G331" s="85" t="s">
        <v>1649</v>
      </c>
      <c r="H331" s="82" t="s">
        <v>50</v>
      </c>
      <c r="I331" s="85" t="s">
        <v>90</v>
      </c>
      <c r="J331" s="85" t="s">
        <v>1587</v>
      </c>
      <c r="K331" s="82" t="s">
        <v>67</v>
      </c>
      <c r="L331" s="82" t="s">
        <v>35</v>
      </c>
      <c r="M331" s="82" t="s">
        <v>37</v>
      </c>
      <c r="N331" s="82">
        <v>0</v>
      </c>
      <c r="O331" s="82"/>
      <c r="P331" s="82"/>
      <c r="Q331" s="82"/>
      <c r="R331" s="82"/>
      <c r="S331" s="97"/>
      <c r="T331" s="97"/>
      <c r="X331" s="94"/>
      <c r="Y331" s="95"/>
      <c r="Z331" s="95"/>
      <c r="AA331" s="94"/>
      <c r="AB331" s="94"/>
      <c r="AC331" s="94"/>
      <c r="AD331" s="94"/>
      <c r="AE331" s="94"/>
      <c r="AF331" s="94"/>
      <c r="AS331" s="94"/>
      <c r="AT331" s="94"/>
      <c r="AU331" s="94"/>
      <c r="AV331" s="94"/>
      <c r="BB331" s="108">
        <f>Schäden_Einband!X331+Schäden_Buchblock!AC331</f>
        <v>0</v>
      </c>
      <c r="BC331" s="95"/>
    </row>
    <row r="332" spans="1:55" ht="46" x14ac:dyDescent="0.25">
      <c r="A332" s="82">
        <v>319</v>
      </c>
      <c r="B332" s="64" t="s">
        <v>770</v>
      </c>
      <c r="C332" s="64">
        <v>1072060566</v>
      </c>
      <c r="D332" s="84" t="str">
        <f t="shared" si="4"/>
        <v>https://portal.dnb.de/opac.htm?method=simpleSearch&amp;cqlMode=true&amp;query=idn%3D1072060566</v>
      </c>
      <c r="E332" s="64" t="s">
        <v>771</v>
      </c>
      <c r="F332" s="82" t="s">
        <v>89</v>
      </c>
      <c r="G332" s="85" t="s">
        <v>1584</v>
      </c>
      <c r="H332" s="82" t="s">
        <v>50</v>
      </c>
      <c r="I332" s="85" t="s">
        <v>55</v>
      </c>
      <c r="J332" s="85" t="s">
        <v>1586</v>
      </c>
      <c r="K332" s="82" t="s">
        <v>67</v>
      </c>
      <c r="L332" s="82" t="s">
        <v>35</v>
      </c>
      <c r="M332" s="82" t="s">
        <v>37</v>
      </c>
      <c r="N332" s="82">
        <v>0</v>
      </c>
      <c r="O332" s="82"/>
      <c r="P332" s="82"/>
      <c r="Q332" s="82"/>
      <c r="R332" s="82"/>
      <c r="S332" s="97"/>
      <c r="T332" s="97"/>
      <c r="X332" s="94"/>
      <c r="Y332" s="95"/>
      <c r="Z332" s="95"/>
      <c r="AA332" s="94"/>
      <c r="AB332" s="94"/>
      <c r="AC332" s="94"/>
      <c r="AD332" s="94"/>
      <c r="AE332" s="94"/>
      <c r="AF332" s="94"/>
      <c r="AS332" s="94"/>
      <c r="AT332" s="94"/>
      <c r="AU332" s="94"/>
      <c r="AV332" s="94"/>
      <c r="BB332" s="108">
        <f>Schäden_Einband!X332+Schäden_Buchblock!AC332</f>
        <v>0</v>
      </c>
      <c r="BC332" s="95"/>
    </row>
    <row r="333" spans="1:55" x14ac:dyDescent="0.25">
      <c r="A333" s="82">
        <v>320</v>
      </c>
      <c r="B333" s="64" t="s">
        <v>772</v>
      </c>
      <c r="C333" s="64">
        <v>1066973105</v>
      </c>
      <c r="D333" s="84" t="str">
        <f t="shared" si="4"/>
        <v>https://portal.dnb.de/opac.htm?method=simpleSearch&amp;cqlMode=true&amp;query=idn%3D1066973105</v>
      </c>
      <c r="E333" s="64" t="s">
        <v>773</v>
      </c>
      <c r="F333" s="82" t="s">
        <v>89</v>
      </c>
      <c r="G333" s="85" t="s">
        <v>3</v>
      </c>
      <c r="H333" s="82" t="s">
        <v>50</v>
      </c>
      <c r="I333" s="85" t="s">
        <v>55</v>
      </c>
      <c r="J333" s="85" t="s">
        <v>94</v>
      </c>
      <c r="K333" s="82"/>
      <c r="L333" s="82" t="s">
        <v>35</v>
      </c>
      <c r="M333" s="82" t="s">
        <v>37</v>
      </c>
      <c r="N333" s="82">
        <v>0</v>
      </c>
      <c r="O333" s="82"/>
      <c r="P333" s="82"/>
      <c r="Q333" s="82"/>
      <c r="R333" s="82"/>
      <c r="S333" s="97"/>
      <c r="T333" s="97"/>
      <c r="X333" s="94"/>
      <c r="Y333" s="95"/>
      <c r="Z333" s="95"/>
      <c r="AA333" s="94"/>
      <c r="AB333" s="94"/>
      <c r="AC333" s="94"/>
      <c r="AD333" s="94"/>
      <c r="AE333" s="94"/>
      <c r="AF333" s="94"/>
      <c r="AS333" s="94"/>
      <c r="AT333" s="94"/>
      <c r="AU333" s="94"/>
      <c r="AV333" s="94"/>
      <c r="BB333" s="108">
        <f>Schäden_Einband!X333+Schäden_Buchblock!AC333</f>
        <v>0</v>
      </c>
      <c r="BC333" s="95"/>
    </row>
    <row r="334" spans="1:55" ht="46" x14ac:dyDescent="0.25">
      <c r="A334" s="82">
        <v>321</v>
      </c>
      <c r="B334" s="64" t="s">
        <v>774</v>
      </c>
      <c r="C334" s="64">
        <v>1066972834</v>
      </c>
      <c r="D334" s="84" t="str">
        <f t="shared" si="4"/>
        <v>https://portal.dnb.de/opac.htm?method=simpleSearch&amp;cqlMode=true&amp;query=idn%3D1066972834</v>
      </c>
      <c r="E334" s="64" t="s">
        <v>775</v>
      </c>
      <c r="F334" s="82" t="s">
        <v>89</v>
      </c>
      <c r="G334" s="85" t="s">
        <v>1584</v>
      </c>
      <c r="H334" s="82" t="s">
        <v>50</v>
      </c>
      <c r="I334" s="85" t="s">
        <v>90</v>
      </c>
      <c r="J334" s="85" t="s">
        <v>1586</v>
      </c>
      <c r="K334" s="82" t="s">
        <v>67</v>
      </c>
      <c r="L334" s="82" t="s">
        <v>35</v>
      </c>
      <c r="M334" s="82" t="s">
        <v>37</v>
      </c>
      <c r="N334" s="82">
        <v>0</v>
      </c>
      <c r="O334" s="82"/>
      <c r="P334" s="82"/>
      <c r="Q334" s="82"/>
      <c r="R334" s="82"/>
      <c r="S334" s="97"/>
      <c r="T334" s="97"/>
      <c r="X334" s="94"/>
      <c r="Y334" s="95"/>
      <c r="Z334" s="95"/>
      <c r="AA334" s="94"/>
      <c r="AB334" s="94"/>
      <c r="AC334" s="94"/>
      <c r="AD334" s="94"/>
      <c r="AE334" s="94"/>
      <c r="AF334" s="94"/>
      <c r="AS334" s="94"/>
      <c r="AT334" s="94"/>
      <c r="AU334" s="94"/>
      <c r="AV334" s="94"/>
      <c r="BB334" s="108">
        <f>Schäden_Einband!X334+Schäden_Buchblock!AC334</f>
        <v>0</v>
      </c>
      <c r="BC334" s="95"/>
    </row>
    <row r="335" spans="1:55" ht="46" x14ac:dyDescent="0.25">
      <c r="A335" s="82">
        <v>322</v>
      </c>
      <c r="B335" s="64" t="s">
        <v>776</v>
      </c>
      <c r="C335" s="64">
        <v>1066973091</v>
      </c>
      <c r="D335" s="84" t="str">
        <f t="shared" ref="D335:D399" si="5">HYPERLINK(CONCATENATE("https://portal.dnb.de/opac.htm?method=simpleSearch&amp;cqlMode=true&amp;query=idn%3D",C335))</f>
        <v>https://portal.dnb.de/opac.htm?method=simpleSearch&amp;cqlMode=true&amp;query=idn%3D1066973091</v>
      </c>
      <c r="E335" s="64" t="s">
        <v>777</v>
      </c>
      <c r="F335" s="82" t="s">
        <v>89</v>
      </c>
      <c r="G335" s="85" t="s">
        <v>1607</v>
      </c>
      <c r="H335" s="82" t="s">
        <v>50</v>
      </c>
      <c r="I335" s="85" t="s">
        <v>55</v>
      </c>
      <c r="J335" s="85" t="s">
        <v>1586</v>
      </c>
      <c r="K335" s="82" t="s">
        <v>67</v>
      </c>
      <c r="L335" s="82" t="s">
        <v>35</v>
      </c>
      <c r="M335" s="82" t="s">
        <v>37</v>
      </c>
      <c r="N335" s="82">
        <v>0</v>
      </c>
      <c r="O335" s="82"/>
      <c r="P335" s="82"/>
      <c r="Q335" s="82"/>
      <c r="R335" s="82"/>
      <c r="S335" s="97"/>
      <c r="T335" s="97"/>
      <c r="X335" s="94"/>
      <c r="Y335" s="95"/>
      <c r="Z335" s="95"/>
      <c r="AA335" s="94"/>
      <c r="AB335" s="94"/>
      <c r="AC335" s="94"/>
      <c r="AD335" s="94"/>
      <c r="AE335" s="94"/>
      <c r="AF335" s="94"/>
      <c r="AS335" s="94"/>
      <c r="AT335" s="94"/>
      <c r="AU335" s="94"/>
      <c r="AV335" s="94"/>
      <c r="BB335" s="108">
        <f>Schäden_Einband!X335+Schäden_Buchblock!AC335</f>
        <v>0</v>
      </c>
      <c r="BC335" s="95"/>
    </row>
    <row r="336" spans="1:55" ht="46" x14ac:dyDescent="0.25">
      <c r="A336" s="82">
        <v>323</v>
      </c>
      <c r="B336" s="64" t="s">
        <v>778</v>
      </c>
      <c r="C336" s="64">
        <v>1066973113</v>
      </c>
      <c r="D336" s="84" t="str">
        <f t="shared" si="5"/>
        <v>https://portal.dnb.de/opac.htm?method=simpleSearch&amp;cqlMode=true&amp;query=idn%3D1066973113</v>
      </c>
      <c r="E336" s="64" t="s">
        <v>779</v>
      </c>
      <c r="F336" s="82" t="s">
        <v>89</v>
      </c>
      <c r="G336" s="85" t="s">
        <v>1584</v>
      </c>
      <c r="H336" s="82" t="s">
        <v>50</v>
      </c>
      <c r="I336" s="85" t="s">
        <v>90</v>
      </c>
      <c r="J336" s="85" t="s">
        <v>1587</v>
      </c>
      <c r="K336" s="82" t="s">
        <v>67</v>
      </c>
      <c r="L336" s="82" t="s">
        <v>35</v>
      </c>
      <c r="M336" s="82" t="s">
        <v>37</v>
      </c>
      <c r="N336" s="82">
        <v>0</v>
      </c>
      <c r="O336" s="82"/>
      <c r="P336" s="82"/>
      <c r="Q336" s="82"/>
      <c r="R336" s="82"/>
      <c r="S336" s="97"/>
      <c r="T336" s="97"/>
      <c r="X336" s="94"/>
      <c r="Y336" s="95"/>
      <c r="Z336" s="95"/>
      <c r="AA336" s="94"/>
      <c r="AB336" s="94"/>
      <c r="AC336" s="94"/>
      <c r="AD336" s="94"/>
      <c r="AE336" s="94"/>
      <c r="AF336" s="94"/>
      <c r="AS336" s="94"/>
      <c r="AT336" s="94"/>
      <c r="AU336" s="94"/>
      <c r="AV336" s="94"/>
      <c r="BB336" s="108">
        <f>Schäden_Einband!X336+Schäden_Buchblock!AC336</f>
        <v>0</v>
      </c>
      <c r="BC336" s="95"/>
    </row>
    <row r="337" spans="1:55" ht="23" x14ac:dyDescent="0.25">
      <c r="A337" s="82">
        <v>324</v>
      </c>
      <c r="B337" s="64" t="s">
        <v>780</v>
      </c>
      <c r="C337" s="64">
        <v>1066970874</v>
      </c>
      <c r="D337" s="84" t="str">
        <f t="shared" si="5"/>
        <v>https://portal.dnb.de/opac.htm?method=simpleSearch&amp;cqlMode=true&amp;query=idn%3D1066970874</v>
      </c>
      <c r="E337" s="64" t="s">
        <v>781</v>
      </c>
      <c r="F337" s="82" t="s">
        <v>89</v>
      </c>
      <c r="G337" s="85" t="s">
        <v>4</v>
      </c>
      <c r="H337" s="82" t="s">
        <v>50</v>
      </c>
      <c r="I337" s="85" t="s">
        <v>90</v>
      </c>
      <c r="J337" s="85" t="s">
        <v>1587</v>
      </c>
      <c r="K337" s="82" t="s">
        <v>67</v>
      </c>
      <c r="L337" s="82" t="s">
        <v>35</v>
      </c>
      <c r="M337" s="82" t="s">
        <v>37</v>
      </c>
      <c r="N337" s="82">
        <v>0</v>
      </c>
      <c r="O337" s="82"/>
      <c r="P337" s="82"/>
      <c r="Q337" s="82"/>
      <c r="R337" s="82"/>
      <c r="S337" s="97"/>
      <c r="T337" s="97"/>
      <c r="X337" s="94"/>
      <c r="Y337" s="95"/>
      <c r="Z337" s="95"/>
      <c r="AA337" s="94"/>
      <c r="AB337" s="94"/>
      <c r="AC337" s="94"/>
      <c r="AD337" s="94"/>
      <c r="AE337" s="94"/>
      <c r="AF337" s="94"/>
      <c r="AS337" s="94"/>
      <c r="AT337" s="94"/>
      <c r="AU337" s="94"/>
      <c r="AV337" s="94"/>
      <c r="BB337" s="108">
        <f>Schäden_Einband!X337+Schäden_Buchblock!AC337</f>
        <v>0</v>
      </c>
      <c r="BC337" s="95"/>
    </row>
    <row r="338" spans="1:55" ht="23" x14ac:dyDescent="0.25">
      <c r="A338" s="82">
        <v>325</v>
      </c>
      <c r="B338" s="64" t="s">
        <v>782</v>
      </c>
      <c r="C338" s="64">
        <v>1066967784</v>
      </c>
      <c r="D338" s="84" t="str">
        <f t="shared" si="5"/>
        <v>https://portal.dnb.de/opac.htm?method=simpleSearch&amp;cqlMode=true&amp;query=idn%3D1066967784</v>
      </c>
      <c r="E338" s="64" t="s">
        <v>783</v>
      </c>
      <c r="F338" s="82" t="s">
        <v>89</v>
      </c>
      <c r="G338" s="85" t="s">
        <v>4</v>
      </c>
      <c r="H338" s="82" t="s">
        <v>50</v>
      </c>
      <c r="I338" s="85" t="s">
        <v>90</v>
      </c>
      <c r="J338" s="85" t="s">
        <v>1587</v>
      </c>
      <c r="K338" s="82" t="s">
        <v>67</v>
      </c>
      <c r="L338" s="82" t="s">
        <v>35</v>
      </c>
      <c r="M338" s="82" t="s">
        <v>37</v>
      </c>
      <c r="N338" s="82">
        <v>0</v>
      </c>
      <c r="O338" s="82"/>
      <c r="P338" s="82"/>
      <c r="Q338" s="82"/>
      <c r="R338" s="82"/>
      <c r="S338" s="97"/>
      <c r="T338" s="97"/>
      <c r="X338" s="94"/>
      <c r="Y338" s="95"/>
      <c r="Z338" s="95"/>
      <c r="AA338" s="94"/>
      <c r="AB338" s="94"/>
      <c r="AC338" s="94"/>
      <c r="AD338" s="94"/>
      <c r="AE338" s="94"/>
      <c r="AF338" s="94"/>
      <c r="AS338" s="94"/>
      <c r="AT338" s="94"/>
      <c r="AU338" s="94"/>
      <c r="AV338" s="94"/>
      <c r="BB338" s="108">
        <f>Schäden_Einband!X338+Schäden_Buchblock!AC338</f>
        <v>0</v>
      </c>
      <c r="BC338" s="95"/>
    </row>
    <row r="339" spans="1:55" ht="34.5" x14ac:dyDescent="0.25">
      <c r="A339" s="82">
        <v>326</v>
      </c>
      <c r="B339" s="64" t="s">
        <v>784</v>
      </c>
      <c r="C339" s="64">
        <v>1066973024</v>
      </c>
      <c r="D339" s="84" t="str">
        <f t="shared" si="5"/>
        <v>https://portal.dnb.de/opac.htm?method=simpleSearch&amp;cqlMode=true&amp;query=idn%3D1066973024</v>
      </c>
      <c r="E339" s="64" t="s">
        <v>785</v>
      </c>
      <c r="F339" s="82" t="s">
        <v>89</v>
      </c>
      <c r="G339" s="85" t="s">
        <v>4</v>
      </c>
      <c r="H339" s="82" t="s">
        <v>50</v>
      </c>
      <c r="I339" s="85" t="s">
        <v>55</v>
      </c>
      <c r="J339" s="85" t="s">
        <v>1631</v>
      </c>
      <c r="K339" s="82" t="s">
        <v>67</v>
      </c>
      <c r="L339" s="82" t="s">
        <v>35</v>
      </c>
      <c r="M339" s="82" t="s">
        <v>37</v>
      </c>
      <c r="N339" s="82">
        <v>2</v>
      </c>
      <c r="O339" s="82"/>
      <c r="P339" s="82"/>
      <c r="Q339" s="82"/>
      <c r="R339" s="82"/>
      <c r="S339" s="97"/>
      <c r="T339" s="97"/>
      <c r="X339" s="94"/>
      <c r="Y339" s="95"/>
      <c r="Z339" s="95"/>
      <c r="AA339" s="94"/>
      <c r="AB339" s="94"/>
      <c r="AC339" s="94"/>
      <c r="AD339" s="94"/>
      <c r="AE339" s="94"/>
      <c r="AF339" s="94"/>
      <c r="AS339" s="94"/>
      <c r="AT339" s="94"/>
      <c r="AU339" s="94"/>
      <c r="AV339" s="94"/>
      <c r="BB339" s="108">
        <f>Schäden_Einband!X339+Schäden_Buchblock!AC339</f>
        <v>0</v>
      </c>
      <c r="BC339" s="95"/>
    </row>
    <row r="340" spans="1:55" ht="46" x14ac:dyDescent="0.25">
      <c r="A340" s="82">
        <v>327</v>
      </c>
      <c r="B340" s="64" t="s">
        <v>786</v>
      </c>
      <c r="C340" s="64">
        <v>1048166694</v>
      </c>
      <c r="D340" s="84" t="str">
        <f t="shared" si="5"/>
        <v>https://portal.dnb.de/opac.htm?method=simpleSearch&amp;cqlMode=true&amp;query=idn%3D1048166694</v>
      </c>
      <c r="E340" s="64" t="s">
        <v>787</v>
      </c>
      <c r="F340" s="82" t="s">
        <v>89</v>
      </c>
      <c r="G340" s="85" t="s">
        <v>1585</v>
      </c>
      <c r="H340" s="82" t="s">
        <v>50</v>
      </c>
      <c r="I340" s="85" t="s">
        <v>90</v>
      </c>
      <c r="J340" s="85" t="s">
        <v>1631</v>
      </c>
      <c r="K340" s="82" t="s">
        <v>67</v>
      </c>
      <c r="L340" s="82" t="s">
        <v>35</v>
      </c>
      <c r="M340" s="82" t="s">
        <v>37</v>
      </c>
      <c r="N340" s="82">
        <v>1</v>
      </c>
      <c r="O340" s="82"/>
      <c r="P340" s="82"/>
      <c r="Q340" s="82"/>
      <c r="R340" s="82"/>
      <c r="S340" s="97"/>
      <c r="T340" s="97"/>
      <c r="X340" s="94"/>
      <c r="Y340" s="95"/>
      <c r="Z340" s="95"/>
      <c r="AA340" s="94"/>
      <c r="AB340" s="94"/>
      <c r="AC340" s="94"/>
      <c r="AD340" s="94"/>
      <c r="AE340" s="94"/>
      <c r="AF340" s="94"/>
      <c r="AS340" s="94"/>
      <c r="AT340" s="94"/>
      <c r="AU340" s="94"/>
      <c r="AV340" s="94"/>
      <c r="BB340" s="108">
        <f>Schäden_Einband!X340+Schäden_Buchblock!AC340</f>
        <v>0</v>
      </c>
      <c r="BC340" s="95"/>
    </row>
    <row r="341" spans="1:55" ht="23" x14ac:dyDescent="0.25">
      <c r="A341" s="82">
        <v>328</v>
      </c>
      <c r="B341" s="64" t="s">
        <v>788</v>
      </c>
      <c r="C341" s="64">
        <v>1066970289</v>
      </c>
      <c r="D341" s="84" t="str">
        <f>HYPERLINK(CONCATENATE("https://portal.dnb.de/opac.htm?method=simpleSearch&amp;cqlMode=true&amp;query=idn%3D",C341))</f>
        <v>https://portal.dnb.de/opac.htm?method=simpleSearch&amp;cqlMode=true&amp;query=idn%3D1066970289</v>
      </c>
      <c r="E341" s="64" t="s">
        <v>789</v>
      </c>
      <c r="F341" s="82" t="s">
        <v>89</v>
      </c>
      <c r="G341" s="85" t="s">
        <v>3</v>
      </c>
      <c r="H341" s="82" t="s">
        <v>50</v>
      </c>
      <c r="I341" s="85" t="s">
        <v>90</v>
      </c>
      <c r="J341" s="85" t="s">
        <v>1587</v>
      </c>
      <c r="K341" s="82" t="s">
        <v>67</v>
      </c>
      <c r="L341" s="82" t="s">
        <v>35</v>
      </c>
      <c r="M341" s="82" t="s">
        <v>37</v>
      </c>
      <c r="N341" s="82">
        <v>2</v>
      </c>
      <c r="O341" s="82"/>
      <c r="P341" s="82"/>
      <c r="Q341" s="82"/>
      <c r="R341" s="82"/>
      <c r="S341" s="97"/>
      <c r="T341" s="97"/>
      <c r="X341" s="94"/>
      <c r="Y341" s="95"/>
      <c r="Z341" s="95"/>
      <c r="AA341" s="94"/>
      <c r="AB341" s="94"/>
      <c r="AC341" s="94"/>
      <c r="AD341" s="94"/>
      <c r="AE341" s="94"/>
      <c r="AF341" s="94"/>
      <c r="AS341" s="94"/>
      <c r="AT341" s="94"/>
      <c r="AU341" s="94"/>
      <c r="AV341" s="94"/>
      <c r="BB341" s="108">
        <f>Schäden_Einband!X341+Schäden_Buchblock!AC341</f>
        <v>0</v>
      </c>
      <c r="BC341" s="95"/>
    </row>
    <row r="342" spans="1:55" ht="46" x14ac:dyDescent="0.25">
      <c r="A342" s="82">
        <v>329</v>
      </c>
      <c r="B342" s="64" t="s">
        <v>790</v>
      </c>
      <c r="C342" s="64">
        <v>1072060930</v>
      </c>
      <c r="D342" s="84" t="str">
        <f t="shared" si="5"/>
        <v>https://portal.dnb.de/opac.htm?method=simpleSearch&amp;cqlMode=true&amp;query=idn%3D1072060930</v>
      </c>
      <c r="E342" s="64" t="s">
        <v>791</v>
      </c>
      <c r="F342" s="82" t="s">
        <v>89</v>
      </c>
      <c r="G342" s="85" t="s">
        <v>1585</v>
      </c>
      <c r="H342" s="82" t="s">
        <v>52</v>
      </c>
      <c r="I342" s="85" t="s">
        <v>86</v>
      </c>
      <c r="J342" s="85" t="s">
        <v>1583</v>
      </c>
      <c r="K342" s="82" t="s">
        <v>67</v>
      </c>
      <c r="L342" s="82"/>
      <c r="M342" s="82" t="s">
        <v>101</v>
      </c>
      <c r="N342" s="82">
        <v>2</v>
      </c>
      <c r="O342" s="82"/>
      <c r="P342" s="82" t="s">
        <v>1638</v>
      </c>
      <c r="Q342" s="82"/>
      <c r="R342" s="82"/>
      <c r="S342" s="97"/>
      <c r="T342" s="97"/>
      <c r="X342" s="94"/>
      <c r="Y342" s="95"/>
      <c r="Z342" s="95"/>
      <c r="AA342" s="94"/>
      <c r="AB342" s="94"/>
      <c r="AC342" s="94"/>
      <c r="AD342" s="94"/>
      <c r="AE342" s="94"/>
      <c r="AF342" s="94"/>
      <c r="AS342" s="94"/>
      <c r="AT342" s="94"/>
      <c r="AU342" s="94"/>
      <c r="AV342" s="94"/>
      <c r="BB342" s="108">
        <f>Schäden_Einband!X342+Schäden_Buchblock!AC342</f>
        <v>0</v>
      </c>
      <c r="BC342" s="95"/>
    </row>
    <row r="343" spans="1:55" x14ac:dyDescent="0.25">
      <c r="A343" s="82">
        <v>330</v>
      </c>
      <c r="B343" s="64" t="s">
        <v>792</v>
      </c>
      <c r="C343" s="64">
        <v>1067439137</v>
      </c>
      <c r="D343" s="84" t="str">
        <f t="shared" si="5"/>
        <v>https://portal.dnb.de/opac.htm?method=simpleSearch&amp;cqlMode=true&amp;query=idn%3D1067439137</v>
      </c>
      <c r="E343" s="64" t="s">
        <v>793</v>
      </c>
      <c r="F343" s="82"/>
      <c r="G343" s="85"/>
      <c r="H343" s="82"/>
      <c r="I343" s="85"/>
      <c r="J343" s="85"/>
      <c r="K343" s="82"/>
      <c r="L343" s="82"/>
      <c r="M343" s="82"/>
      <c r="N343" s="82"/>
      <c r="O343" s="82"/>
      <c r="P343" s="82"/>
      <c r="Q343" s="82"/>
      <c r="R343" s="82"/>
      <c r="S343" s="97"/>
      <c r="T343" s="97"/>
      <c r="X343" s="94"/>
      <c r="Y343" s="95"/>
      <c r="Z343" s="95"/>
      <c r="AA343" s="94"/>
      <c r="AB343" s="94"/>
      <c r="AC343" s="94"/>
      <c r="AD343" s="94"/>
      <c r="AE343" s="94"/>
      <c r="AF343" s="94"/>
      <c r="AS343" s="94"/>
      <c r="AT343" s="94"/>
      <c r="AU343" s="94"/>
      <c r="AV343" s="94"/>
      <c r="BB343" s="108">
        <f>Schäden_Einband!X343+Schäden_Buchblock!AC343</f>
        <v>0</v>
      </c>
      <c r="BC343" s="95"/>
    </row>
    <row r="344" spans="1:55" x14ac:dyDescent="0.25">
      <c r="A344" s="82">
        <v>331</v>
      </c>
      <c r="B344" s="64" t="s">
        <v>794</v>
      </c>
      <c r="C344" s="64">
        <v>1067439188</v>
      </c>
      <c r="D344" s="84" t="str">
        <f t="shared" si="5"/>
        <v>https://portal.dnb.de/opac.htm?method=simpleSearch&amp;cqlMode=true&amp;query=idn%3D1067439188</v>
      </c>
      <c r="E344" s="64" t="s">
        <v>795</v>
      </c>
      <c r="F344" s="82"/>
      <c r="G344" s="85"/>
      <c r="H344" s="82"/>
      <c r="I344" s="85"/>
      <c r="J344" s="85"/>
      <c r="K344" s="82"/>
      <c r="L344" s="82"/>
      <c r="M344" s="82"/>
      <c r="N344" s="82"/>
      <c r="O344" s="82"/>
      <c r="P344" s="82"/>
      <c r="Q344" s="82"/>
      <c r="R344" s="82"/>
      <c r="S344" s="97"/>
      <c r="T344" s="97"/>
      <c r="X344" s="94"/>
      <c r="Y344" s="95"/>
      <c r="Z344" s="95"/>
      <c r="AA344" s="94"/>
      <c r="AB344" s="94"/>
      <c r="AC344" s="94"/>
      <c r="AD344" s="94"/>
      <c r="AE344" s="94"/>
      <c r="AF344" s="94"/>
      <c r="AS344" s="94"/>
      <c r="AT344" s="94"/>
      <c r="AU344" s="94"/>
      <c r="AV344" s="94"/>
      <c r="BB344" s="108">
        <f>Schäden_Einband!X344+Schäden_Buchblock!AC344</f>
        <v>0</v>
      </c>
      <c r="BC344" s="95"/>
    </row>
    <row r="345" spans="1:55" ht="46" x14ac:dyDescent="0.25">
      <c r="A345" s="82">
        <v>332</v>
      </c>
      <c r="B345" s="64" t="s">
        <v>796</v>
      </c>
      <c r="C345" s="64" t="s">
        <v>797</v>
      </c>
      <c r="D345" s="84" t="str">
        <f t="shared" si="5"/>
        <v>https://portal.dnb.de/opac.htm?method=simpleSearch&amp;cqlMode=true&amp;query=idn%3D106696890X</v>
      </c>
      <c r="E345" s="64" t="s">
        <v>798</v>
      </c>
      <c r="F345" s="82" t="s">
        <v>89</v>
      </c>
      <c r="G345" s="85" t="s">
        <v>1585</v>
      </c>
      <c r="H345" s="82" t="s">
        <v>51</v>
      </c>
      <c r="I345" s="85" t="s">
        <v>90</v>
      </c>
      <c r="J345" s="85" t="s">
        <v>1612</v>
      </c>
      <c r="K345" s="82" t="s">
        <v>67</v>
      </c>
      <c r="L345" s="82" t="s">
        <v>35</v>
      </c>
      <c r="M345" s="82" t="s">
        <v>37</v>
      </c>
      <c r="N345" s="82">
        <v>0</v>
      </c>
      <c r="O345" s="82"/>
      <c r="P345" s="82"/>
      <c r="Q345" s="82"/>
      <c r="R345" s="82"/>
      <c r="S345" s="97"/>
      <c r="T345" s="97"/>
      <c r="X345" s="94"/>
      <c r="Y345" s="95"/>
      <c r="Z345" s="95"/>
      <c r="AA345" s="94"/>
      <c r="AB345" s="94"/>
      <c r="AC345" s="94"/>
      <c r="AD345" s="94"/>
      <c r="AE345" s="94"/>
      <c r="AF345" s="94"/>
      <c r="AS345" s="94"/>
      <c r="AT345" s="94"/>
      <c r="AU345" s="94"/>
      <c r="AV345" s="94"/>
      <c r="BB345" s="108">
        <f>Schäden_Einband!X345+Schäden_Buchblock!AC345</f>
        <v>0</v>
      </c>
      <c r="BC345" s="95"/>
    </row>
    <row r="346" spans="1:55" ht="23" x14ac:dyDescent="0.25">
      <c r="A346" s="82">
        <v>333</v>
      </c>
      <c r="B346" s="64" t="s">
        <v>799</v>
      </c>
      <c r="C346" s="64" t="s">
        <v>800</v>
      </c>
      <c r="D346" s="84" t="str">
        <f t="shared" si="5"/>
        <v>https://portal.dnb.de/opac.htm?method=simpleSearch&amp;cqlMode=true&amp;query=idn%3D106696484X</v>
      </c>
      <c r="E346" s="64" t="s">
        <v>801</v>
      </c>
      <c r="F346" s="82" t="s">
        <v>89</v>
      </c>
      <c r="G346" s="85" t="s">
        <v>3</v>
      </c>
      <c r="H346" s="82" t="s">
        <v>50</v>
      </c>
      <c r="I346" s="85" t="s">
        <v>55</v>
      </c>
      <c r="J346" s="85" t="s">
        <v>1650</v>
      </c>
      <c r="K346" s="82"/>
      <c r="L346" s="82" t="s">
        <v>35</v>
      </c>
      <c r="M346" s="82" t="s">
        <v>37</v>
      </c>
      <c r="N346" s="82">
        <v>0</v>
      </c>
      <c r="O346" s="82"/>
      <c r="P346" s="82"/>
      <c r="Q346" s="82"/>
      <c r="R346" s="82"/>
      <c r="S346" s="97"/>
      <c r="T346" s="97"/>
      <c r="X346" s="94"/>
      <c r="Y346" s="95"/>
      <c r="Z346" s="95"/>
      <c r="AA346" s="94"/>
      <c r="AB346" s="94"/>
      <c r="AC346" s="94"/>
      <c r="AD346" s="94"/>
      <c r="AE346" s="94"/>
      <c r="AF346" s="94"/>
      <c r="AS346" s="94"/>
      <c r="AT346" s="94"/>
      <c r="AU346" s="94"/>
      <c r="AV346" s="94"/>
      <c r="BB346" s="108">
        <f>Schäden_Einband!X346+Schäden_Buchblock!AC346</f>
        <v>0</v>
      </c>
      <c r="BC346" s="95"/>
    </row>
    <row r="347" spans="1:55" ht="46" x14ac:dyDescent="0.25">
      <c r="A347" s="82">
        <v>334</v>
      </c>
      <c r="B347" s="64" t="s">
        <v>802</v>
      </c>
      <c r="C347" s="64">
        <v>1066969205</v>
      </c>
      <c r="D347" s="84" t="str">
        <f t="shared" si="5"/>
        <v>https://portal.dnb.de/opac.htm?method=simpleSearch&amp;cqlMode=true&amp;query=idn%3D1066969205</v>
      </c>
      <c r="E347" s="64" t="s">
        <v>803</v>
      </c>
      <c r="F347" s="82" t="s">
        <v>89</v>
      </c>
      <c r="G347" s="85" t="s">
        <v>1584</v>
      </c>
      <c r="H347" s="82" t="s">
        <v>50</v>
      </c>
      <c r="I347" s="85" t="s">
        <v>90</v>
      </c>
      <c r="J347" s="85" t="s">
        <v>81</v>
      </c>
      <c r="K347" s="82"/>
      <c r="L347" s="82" t="s">
        <v>35</v>
      </c>
      <c r="M347" s="82" t="s">
        <v>37</v>
      </c>
      <c r="N347" s="82">
        <v>1</v>
      </c>
      <c r="O347" s="82"/>
      <c r="P347" s="82"/>
      <c r="Q347" s="82"/>
      <c r="R347" s="82"/>
      <c r="S347" s="97"/>
      <c r="T347" s="97"/>
      <c r="X347" s="94"/>
      <c r="Y347" s="95"/>
      <c r="Z347" s="95"/>
      <c r="AA347" s="94"/>
      <c r="AB347" s="94"/>
      <c r="AC347" s="94"/>
      <c r="AD347" s="94"/>
      <c r="AE347" s="94"/>
      <c r="AF347" s="94"/>
      <c r="AS347" s="94"/>
      <c r="AT347" s="94"/>
      <c r="AU347" s="94"/>
      <c r="AV347" s="94"/>
      <c r="BB347" s="108">
        <f>Schäden_Einband!X347+Schäden_Buchblock!AC347</f>
        <v>0</v>
      </c>
      <c r="BC347" s="95"/>
    </row>
    <row r="348" spans="1:55" ht="46" x14ac:dyDescent="0.25">
      <c r="A348" s="82">
        <v>335</v>
      </c>
      <c r="B348" s="64" t="s">
        <v>804</v>
      </c>
      <c r="C348" s="64">
        <v>1066967377</v>
      </c>
      <c r="D348" s="84" t="str">
        <f t="shared" si="5"/>
        <v>https://portal.dnb.de/opac.htm?method=simpleSearch&amp;cqlMode=true&amp;query=idn%3D1066967377</v>
      </c>
      <c r="E348" s="64" t="s">
        <v>805</v>
      </c>
      <c r="F348" s="82" t="s">
        <v>89</v>
      </c>
      <c r="G348" s="85" t="s">
        <v>1585</v>
      </c>
      <c r="H348" s="82" t="s">
        <v>50</v>
      </c>
      <c r="I348" s="85" t="s">
        <v>90</v>
      </c>
      <c r="J348" s="85" t="s">
        <v>1586</v>
      </c>
      <c r="K348" s="82" t="s">
        <v>67</v>
      </c>
      <c r="L348" s="82" t="s">
        <v>35</v>
      </c>
      <c r="M348" s="82" t="s">
        <v>37</v>
      </c>
      <c r="N348" s="82">
        <v>1</v>
      </c>
      <c r="O348" s="82"/>
      <c r="P348" s="82"/>
      <c r="Q348" s="82"/>
      <c r="R348" s="82"/>
      <c r="S348" s="97"/>
      <c r="T348" s="97"/>
      <c r="X348" s="94"/>
      <c r="Y348" s="95"/>
      <c r="Z348" s="95"/>
      <c r="AA348" s="94"/>
      <c r="AB348" s="94"/>
      <c r="AC348" s="94"/>
      <c r="AD348" s="94"/>
      <c r="AE348" s="94"/>
      <c r="AF348" s="94"/>
      <c r="AS348" s="94"/>
      <c r="AT348" s="94"/>
      <c r="AU348" s="94"/>
      <c r="AV348" s="94"/>
      <c r="BB348" s="108">
        <f>Schäden_Einband!X348+Schäden_Buchblock!AC348</f>
        <v>0</v>
      </c>
      <c r="BC348" s="95"/>
    </row>
    <row r="349" spans="1:55" ht="46" x14ac:dyDescent="0.25">
      <c r="A349" s="82">
        <v>336</v>
      </c>
      <c r="B349" s="64" t="s">
        <v>806</v>
      </c>
      <c r="C349" s="64">
        <v>1066968128</v>
      </c>
      <c r="D349" s="84" t="str">
        <f t="shared" si="5"/>
        <v>https://portal.dnb.de/opac.htm?method=simpleSearch&amp;cqlMode=true&amp;query=idn%3D1066968128</v>
      </c>
      <c r="E349" s="64" t="s">
        <v>807</v>
      </c>
      <c r="F349" s="82" t="s">
        <v>89</v>
      </c>
      <c r="G349" s="85" t="s">
        <v>1584</v>
      </c>
      <c r="H349" s="82" t="s">
        <v>50</v>
      </c>
      <c r="I349" s="85" t="s">
        <v>55</v>
      </c>
      <c r="J349" s="85" t="s">
        <v>1586</v>
      </c>
      <c r="K349" s="82" t="s">
        <v>67</v>
      </c>
      <c r="L349" s="82" t="s">
        <v>35</v>
      </c>
      <c r="M349" s="82" t="s">
        <v>37</v>
      </c>
      <c r="N349" s="82">
        <v>0</v>
      </c>
      <c r="O349" s="82"/>
      <c r="P349" s="82"/>
      <c r="Q349" s="82"/>
      <c r="R349" s="82"/>
      <c r="S349" s="97"/>
      <c r="T349" s="97"/>
      <c r="X349" s="94"/>
      <c r="Y349" s="95"/>
      <c r="Z349" s="95"/>
      <c r="AA349" s="94"/>
      <c r="AB349" s="94"/>
      <c r="AC349" s="94"/>
      <c r="AD349" s="94"/>
      <c r="AE349" s="94"/>
      <c r="AF349" s="94"/>
      <c r="AS349" s="94"/>
      <c r="AT349" s="94"/>
      <c r="AU349" s="94"/>
      <c r="AV349" s="94"/>
      <c r="BB349" s="108">
        <f>Schäden_Einband!X349+Schäden_Buchblock!AC349</f>
        <v>0</v>
      </c>
      <c r="BC349" s="95"/>
    </row>
    <row r="350" spans="1:55" ht="46" x14ac:dyDescent="0.25">
      <c r="A350" s="82">
        <v>337</v>
      </c>
      <c r="B350" s="64" t="s">
        <v>808</v>
      </c>
      <c r="C350" s="64">
        <v>1072320673</v>
      </c>
      <c r="D350" s="84" t="str">
        <f t="shared" si="5"/>
        <v>https://portal.dnb.de/opac.htm?method=simpleSearch&amp;cqlMode=true&amp;query=idn%3D1072320673</v>
      </c>
      <c r="E350" s="64" t="s">
        <v>809</v>
      </c>
      <c r="F350" s="82" t="s">
        <v>89</v>
      </c>
      <c r="G350" s="85" t="s">
        <v>1584</v>
      </c>
      <c r="H350" s="82" t="s">
        <v>50</v>
      </c>
      <c r="I350" s="85" t="s">
        <v>55</v>
      </c>
      <c r="J350" s="85" t="s">
        <v>1628</v>
      </c>
      <c r="K350" s="82" t="s">
        <v>67</v>
      </c>
      <c r="L350" s="82" t="s">
        <v>35</v>
      </c>
      <c r="M350" s="82" t="s">
        <v>37</v>
      </c>
      <c r="N350" s="82">
        <v>2</v>
      </c>
      <c r="O350" s="82"/>
      <c r="P350" s="82" t="s">
        <v>1651</v>
      </c>
      <c r="Q350" s="82"/>
      <c r="R350" s="82"/>
      <c r="S350" s="97"/>
      <c r="T350" s="97"/>
      <c r="X350" s="94"/>
      <c r="Y350" s="95"/>
      <c r="Z350" s="95"/>
      <c r="AA350" s="94"/>
      <c r="AB350" s="94"/>
      <c r="AC350" s="94"/>
      <c r="AD350" s="94"/>
      <c r="AE350" s="94"/>
      <c r="AF350" s="94"/>
      <c r="AS350" s="94"/>
      <c r="AT350" s="94"/>
      <c r="AU350" s="94"/>
      <c r="AV350" s="94"/>
      <c r="BB350" s="108">
        <f>Schäden_Einband!X350+Schäden_Buchblock!AC350</f>
        <v>0</v>
      </c>
      <c r="BC350" s="95"/>
    </row>
    <row r="351" spans="1:55" ht="46" x14ac:dyDescent="0.25">
      <c r="A351" s="82">
        <v>338</v>
      </c>
      <c r="B351" s="64" t="s">
        <v>810</v>
      </c>
      <c r="C351" s="64">
        <v>1079531114</v>
      </c>
      <c r="D351" s="84" t="str">
        <f t="shared" si="5"/>
        <v>https://portal.dnb.de/opac.htm?method=simpleSearch&amp;cqlMode=true&amp;query=idn%3D1079531114</v>
      </c>
      <c r="E351" s="64" t="s">
        <v>811</v>
      </c>
      <c r="F351" s="82" t="s">
        <v>89</v>
      </c>
      <c r="G351" s="85" t="s">
        <v>1601</v>
      </c>
      <c r="H351" s="82" t="s">
        <v>52</v>
      </c>
      <c r="I351" s="85" t="s">
        <v>90</v>
      </c>
      <c r="J351" s="85" t="s">
        <v>1586</v>
      </c>
      <c r="K351" s="82" t="s">
        <v>67</v>
      </c>
      <c r="L351" s="82"/>
      <c r="M351" s="82" t="s">
        <v>101</v>
      </c>
      <c r="N351" s="82">
        <v>2</v>
      </c>
      <c r="O351" s="82"/>
      <c r="P351" s="82"/>
      <c r="Q351" s="82"/>
      <c r="R351" s="82"/>
      <c r="S351" s="97"/>
      <c r="T351" s="97"/>
      <c r="X351" s="94"/>
      <c r="Y351" s="95"/>
      <c r="Z351" s="95"/>
      <c r="AA351" s="94"/>
      <c r="AB351" s="94"/>
      <c r="AC351" s="94"/>
      <c r="AD351" s="94"/>
      <c r="AE351" s="94"/>
      <c r="AF351" s="94"/>
      <c r="AS351" s="94"/>
      <c r="AT351" s="94"/>
      <c r="AU351" s="94"/>
      <c r="AV351" s="94"/>
      <c r="BB351" s="108">
        <f>Schäden_Einband!X351+Schäden_Buchblock!AC351</f>
        <v>0</v>
      </c>
      <c r="BC351" s="95"/>
    </row>
    <row r="352" spans="1:55" ht="46" x14ac:dyDescent="0.25">
      <c r="A352" s="82">
        <v>339</v>
      </c>
      <c r="B352" s="64" t="s">
        <v>812</v>
      </c>
      <c r="C352" s="64" t="s">
        <v>813</v>
      </c>
      <c r="D352" s="84" t="str">
        <f t="shared" si="5"/>
        <v>https://portal.dnb.de/opac.htm?method=simpleSearch&amp;cqlMode=true&amp;query=idn%3D106696775X</v>
      </c>
      <c r="E352" s="64" t="s">
        <v>814</v>
      </c>
      <c r="F352" s="82" t="s">
        <v>89</v>
      </c>
      <c r="G352" s="85" t="s">
        <v>1584</v>
      </c>
      <c r="H352" s="82" t="s">
        <v>51</v>
      </c>
      <c r="I352" s="85" t="s">
        <v>55</v>
      </c>
      <c r="J352" s="85" t="s">
        <v>81</v>
      </c>
      <c r="K352" s="82"/>
      <c r="L352" s="82" t="s">
        <v>35</v>
      </c>
      <c r="M352" s="82" t="s">
        <v>37</v>
      </c>
      <c r="N352" s="82">
        <v>0</v>
      </c>
      <c r="O352" s="82"/>
      <c r="P352" s="82" t="s">
        <v>1701</v>
      </c>
      <c r="Q352" s="82"/>
      <c r="R352" s="82"/>
      <c r="S352" s="97"/>
      <c r="T352" s="97"/>
      <c r="X352" s="94"/>
      <c r="Y352" s="95"/>
      <c r="Z352" s="95"/>
      <c r="AA352" s="94"/>
      <c r="AB352" s="94"/>
      <c r="AC352" s="94"/>
      <c r="AD352" s="94"/>
      <c r="AE352" s="94"/>
      <c r="AF352" s="94"/>
      <c r="AS352" s="94"/>
      <c r="AT352" s="94"/>
      <c r="AU352" s="94"/>
      <c r="AV352" s="94"/>
      <c r="BB352" s="108">
        <f>Schäden_Einband!X352+Schäden_Buchblock!AC352</f>
        <v>0</v>
      </c>
      <c r="BC352" s="95"/>
    </row>
    <row r="353" spans="1:55" ht="46" x14ac:dyDescent="0.25">
      <c r="A353" s="82">
        <v>340</v>
      </c>
      <c r="B353" s="64" t="s">
        <v>815</v>
      </c>
      <c r="C353" s="64">
        <v>1066972753</v>
      </c>
      <c r="D353" s="84" t="str">
        <f t="shared" si="5"/>
        <v>https://portal.dnb.de/opac.htm?method=simpleSearch&amp;cqlMode=true&amp;query=idn%3D1066972753</v>
      </c>
      <c r="E353" s="64" t="s">
        <v>816</v>
      </c>
      <c r="F353" s="82" t="s">
        <v>89</v>
      </c>
      <c r="G353" s="85" t="s">
        <v>1585</v>
      </c>
      <c r="H353" s="82" t="s">
        <v>51</v>
      </c>
      <c r="I353" s="85" t="s">
        <v>90</v>
      </c>
      <c r="J353" s="85" t="s">
        <v>1587</v>
      </c>
      <c r="K353" s="82" t="s">
        <v>67</v>
      </c>
      <c r="L353" s="82" t="s">
        <v>35</v>
      </c>
      <c r="M353" s="82" t="s">
        <v>37</v>
      </c>
      <c r="N353" s="82">
        <v>1</v>
      </c>
      <c r="O353" s="82"/>
      <c r="P353" s="82"/>
      <c r="Q353" s="82"/>
      <c r="R353" s="82"/>
      <c r="S353" s="97"/>
      <c r="T353" s="97"/>
      <c r="X353" s="94"/>
      <c r="Y353" s="95"/>
      <c r="Z353" s="95"/>
      <c r="AA353" s="94"/>
      <c r="AB353" s="94"/>
      <c r="AC353" s="94"/>
      <c r="AD353" s="94"/>
      <c r="AE353" s="94"/>
      <c r="AF353" s="94"/>
      <c r="AS353" s="94"/>
      <c r="AT353" s="94"/>
      <c r="AU353" s="94"/>
      <c r="AV353" s="94"/>
      <c r="BB353" s="108">
        <f>Schäden_Einband!X353+Schäden_Buchblock!AC353</f>
        <v>0</v>
      </c>
      <c r="BC353" s="95"/>
    </row>
    <row r="354" spans="1:55" ht="46" x14ac:dyDescent="0.25">
      <c r="A354" s="82">
        <v>341</v>
      </c>
      <c r="B354" s="64" t="s">
        <v>817</v>
      </c>
      <c r="C354" s="64">
        <v>1066965129</v>
      </c>
      <c r="D354" s="84" t="str">
        <f t="shared" si="5"/>
        <v>https://portal.dnb.de/opac.htm?method=simpleSearch&amp;cqlMode=true&amp;query=idn%3D1066965129</v>
      </c>
      <c r="E354" s="64" t="s">
        <v>818</v>
      </c>
      <c r="F354" s="82" t="s">
        <v>89</v>
      </c>
      <c r="G354" s="85" t="s">
        <v>1584</v>
      </c>
      <c r="H354" s="82" t="s">
        <v>51</v>
      </c>
      <c r="I354" s="85" t="s">
        <v>90</v>
      </c>
      <c r="J354" s="85" t="s">
        <v>1587</v>
      </c>
      <c r="K354" s="82" t="s">
        <v>67</v>
      </c>
      <c r="L354" s="82" t="s">
        <v>35</v>
      </c>
      <c r="M354" s="82" t="s">
        <v>37</v>
      </c>
      <c r="N354" s="82">
        <v>1</v>
      </c>
      <c r="O354" s="82"/>
      <c r="P354" s="82"/>
      <c r="Q354" s="82"/>
      <c r="R354" s="82"/>
      <c r="S354" s="97"/>
      <c r="T354" s="97"/>
      <c r="X354" s="94"/>
      <c r="Y354" s="95"/>
      <c r="Z354" s="95"/>
      <c r="AA354" s="94"/>
      <c r="AB354" s="94"/>
      <c r="AC354" s="94"/>
      <c r="AD354" s="94"/>
      <c r="AE354" s="94"/>
      <c r="AF354" s="94"/>
      <c r="AS354" s="94"/>
      <c r="AT354" s="94"/>
      <c r="AU354" s="94"/>
      <c r="AV354" s="94"/>
      <c r="BB354" s="108">
        <f>Schäden_Einband!X354+Schäden_Buchblock!AC354</f>
        <v>0</v>
      </c>
      <c r="BC354" s="95"/>
    </row>
    <row r="355" spans="1:55" ht="46" x14ac:dyDescent="0.25">
      <c r="A355" s="82">
        <v>342</v>
      </c>
      <c r="B355" s="64" t="s">
        <v>819</v>
      </c>
      <c r="C355" s="64">
        <v>1072061481</v>
      </c>
      <c r="D355" s="84" t="str">
        <f t="shared" si="5"/>
        <v>https://portal.dnb.de/opac.htm?method=simpleSearch&amp;cqlMode=true&amp;query=idn%3D1072061481</v>
      </c>
      <c r="E355" s="64" t="s">
        <v>820</v>
      </c>
      <c r="F355" s="82" t="s">
        <v>89</v>
      </c>
      <c r="G355" s="85" t="s">
        <v>1607</v>
      </c>
      <c r="H355" s="82" t="s">
        <v>51</v>
      </c>
      <c r="I355" s="85" t="s">
        <v>55</v>
      </c>
      <c r="J355" s="85" t="s">
        <v>81</v>
      </c>
      <c r="K355" s="82"/>
      <c r="L355" s="82" t="s">
        <v>35</v>
      </c>
      <c r="M355" s="82" t="s">
        <v>37</v>
      </c>
      <c r="N355" s="82">
        <v>1</v>
      </c>
      <c r="O355" s="82"/>
      <c r="P355" s="82"/>
      <c r="Q355" s="82"/>
      <c r="R355" s="82"/>
      <c r="S355" s="97"/>
      <c r="T355" s="97"/>
      <c r="X355" s="94"/>
      <c r="Y355" s="95"/>
      <c r="Z355" s="95"/>
      <c r="AA355" s="94"/>
      <c r="AB355" s="94"/>
      <c r="AC355" s="94"/>
      <c r="AD355" s="94"/>
      <c r="AE355" s="94"/>
      <c r="AF355" s="94"/>
      <c r="AS355" s="94"/>
      <c r="AT355" s="94"/>
      <c r="AU355" s="94"/>
      <c r="AV355" s="94"/>
      <c r="BB355" s="108">
        <f>Schäden_Einband!X355+Schäden_Buchblock!AC355</f>
        <v>0</v>
      </c>
      <c r="BC355" s="95"/>
    </row>
    <row r="356" spans="1:55" ht="46" x14ac:dyDescent="0.25">
      <c r="A356" s="82">
        <v>343</v>
      </c>
      <c r="B356" s="64" t="s">
        <v>821</v>
      </c>
      <c r="C356" s="64">
        <v>1066968918</v>
      </c>
      <c r="D356" s="84" t="str">
        <f t="shared" si="5"/>
        <v>https://portal.dnb.de/opac.htm?method=simpleSearch&amp;cqlMode=true&amp;query=idn%3D1066968918</v>
      </c>
      <c r="E356" s="64" t="s">
        <v>822</v>
      </c>
      <c r="F356" s="82" t="s">
        <v>89</v>
      </c>
      <c r="G356" s="85" t="s">
        <v>1585</v>
      </c>
      <c r="H356" s="82" t="s">
        <v>51</v>
      </c>
      <c r="I356" s="85" t="s">
        <v>90</v>
      </c>
      <c r="J356" s="85" t="s">
        <v>1612</v>
      </c>
      <c r="K356" s="82" t="s">
        <v>67</v>
      </c>
      <c r="L356" s="82" t="s">
        <v>35</v>
      </c>
      <c r="M356" s="82" t="s">
        <v>37</v>
      </c>
      <c r="N356" s="82">
        <v>0</v>
      </c>
      <c r="O356" s="82"/>
      <c r="P356" s="82"/>
      <c r="Q356" s="82"/>
      <c r="R356" s="82"/>
      <c r="S356" s="97"/>
      <c r="T356" s="97"/>
      <c r="X356" s="94"/>
      <c r="Y356" s="95"/>
      <c r="Z356" s="95"/>
      <c r="AA356" s="94"/>
      <c r="AB356" s="94"/>
      <c r="AC356" s="94"/>
      <c r="AD356" s="94"/>
      <c r="AE356" s="94"/>
      <c r="AF356" s="94"/>
      <c r="AS356" s="94"/>
      <c r="AT356" s="94"/>
      <c r="AU356" s="94"/>
      <c r="AV356" s="94"/>
      <c r="BB356" s="108">
        <f>Schäden_Einband!X356+Schäden_Buchblock!AC356</f>
        <v>0</v>
      </c>
      <c r="BC356" s="95"/>
    </row>
    <row r="357" spans="1:55" ht="46" x14ac:dyDescent="0.25">
      <c r="A357" s="82">
        <v>344</v>
      </c>
      <c r="B357" s="64" t="s">
        <v>823</v>
      </c>
      <c r="C357" s="64">
        <v>1066967555</v>
      </c>
      <c r="D357" s="84" t="str">
        <f t="shared" si="5"/>
        <v>https://portal.dnb.de/opac.htm?method=simpleSearch&amp;cqlMode=true&amp;query=idn%3D1066967555</v>
      </c>
      <c r="E357" s="64" t="s">
        <v>824</v>
      </c>
      <c r="F357" s="82" t="s">
        <v>89</v>
      </c>
      <c r="G357" s="85" t="s">
        <v>1585</v>
      </c>
      <c r="H357" s="82" t="s">
        <v>51</v>
      </c>
      <c r="I357" s="85" t="s">
        <v>90</v>
      </c>
      <c r="J357" s="85" t="s">
        <v>1587</v>
      </c>
      <c r="K357" s="82" t="s">
        <v>67</v>
      </c>
      <c r="L357" s="82" t="s">
        <v>35</v>
      </c>
      <c r="M357" s="82" t="s">
        <v>37</v>
      </c>
      <c r="N357" s="82">
        <v>0</v>
      </c>
      <c r="O357" s="82"/>
      <c r="P357" s="82"/>
      <c r="Q357" s="82"/>
      <c r="R357" s="82"/>
      <c r="S357" s="97"/>
      <c r="T357" s="97"/>
      <c r="X357" s="94"/>
      <c r="Y357" s="95"/>
      <c r="Z357" s="95"/>
      <c r="AA357" s="94"/>
      <c r="AB357" s="94"/>
      <c r="AC357" s="94"/>
      <c r="AD357" s="94"/>
      <c r="AE357" s="94"/>
      <c r="AF357" s="94"/>
      <c r="AS357" s="94"/>
      <c r="AT357" s="94"/>
      <c r="AU357" s="94"/>
      <c r="AV357" s="94"/>
      <c r="BB357" s="108">
        <f>Schäden_Einband!X357+Schäden_Buchblock!AC357</f>
        <v>0</v>
      </c>
      <c r="BC357" s="95"/>
    </row>
    <row r="358" spans="1:55" x14ac:dyDescent="0.25">
      <c r="A358" s="82">
        <v>345</v>
      </c>
      <c r="B358" s="64" t="s">
        <v>825</v>
      </c>
      <c r="C358" s="64">
        <v>1066972265</v>
      </c>
      <c r="D358" s="84" t="str">
        <f t="shared" si="5"/>
        <v>https://portal.dnb.de/opac.htm?method=simpleSearch&amp;cqlMode=true&amp;query=idn%3D1066972265</v>
      </c>
      <c r="E358" s="64" t="s">
        <v>826</v>
      </c>
      <c r="F358" s="82"/>
      <c r="G358" s="85"/>
      <c r="H358" s="82"/>
      <c r="I358" s="85"/>
      <c r="J358" s="85"/>
      <c r="K358" s="82"/>
      <c r="L358" s="82"/>
      <c r="M358" s="82"/>
      <c r="N358" s="82"/>
      <c r="O358" s="82"/>
      <c r="P358" s="82"/>
      <c r="Q358" s="82"/>
      <c r="R358" s="82"/>
      <c r="S358" s="97"/>
      <c r="T358" s="97"/>
      <c r="X358" s="94"/>
      <c r="Y358" s="95"/>
      <c r="Z358" s="95"/>
      <c r="AA358" s="94"/>
      <c r="AB358" s="94"/>
      <c r="AC358" s="94"/>
      <c r="AD358" s="94"/>
      <c r="AE358" s="94"/>
      <c r="AF358" s="94"/>
      <c r="AS358" s="94"/>
      <c r="AT358" s="94"/>
      <c r="AU358" s="94"/>
      <c r="AV358" s="94"/>
      <c r="BB358" s="108">
        <f>Schäden_Einband!X358+Schäden_Buchblock!AC358</f>
        <v>0</v>
      </c>
      <c r="BC358" s="95"/>
    </row>
    <row r="359" spans="1:55" x14ac:dyDescent="0.25">
      <c r="A359" s="82">
        <v>346</v>
      </c>
      <c r="B359" s="64" t="s">
        <v>827</v>
      </c>
      <c r="C359" s="64" t="s">
        <v>828</v>
      </c>
      <c r="D359" s="84" t="str">
        <f t="shared" si="5"/>
        <v>https://portal.dnb.de/opac.htm?method=simpleSearch&amp;cqlMode=true&amp;query=idn%3D106697103X</v>
      </c>
      <c r="E359" s="64" t="s">
        <v>829</v>
      </c>
      <c r="F359" s="82"/>
      <c r="G359" s="85"/>
      <c r="H359" s="82"/>
      <c r="I359" s="85"/>
      <c r="J359" s="85"/>
      <c r="K359" s="82"/>
      <c r="L359" s="82"/>
      <c r="M359" s="82"/>
      <c r="N359" s="82"/>
      <c r="O359" s="82"/>
      <c r="P359" s="82"/>
      <c r="Q359" s="82"/>
      <c r="R359" s="82"/>
      <c r="S359" s="97"/>
      <c r="T359" s="97"/>
      <c r="X359" s="94"/>
      <c r="Y359" s="95"/>
      <c r="Z359" s="95"/>
      <c r="AA359" s="94"/>
      <c r="AB359" s="94"/>
      <c r="AC359" s="94"/>
      <c r="AD359" s="94"/>
      <c r="AE359" s="94"/>
      <c r="AF359" s="94"/>
      <c r="AS359" s="94"/>
      <c r="AT359" s="94"/>
      <c r="AU359" s="94"/>
      <c r="AV359" s="94"/>
      <c r="BB359" s="108">
        <f>Schäden_Einband!X359+Schäden_Buchblock!AC359</f>
        <v>0</v>
      </c>
      <c r="BC359" s="95"/>
    </row>
    <row r="360" spans="1:55" x14ac:dyDescent="0.25">
      <c r="A360" s="82">
        <v>347</v>
      </c>
      <c r="B360" s="64" t="s">
        <v>830</v>
      </c>
      <c r="C360" s="64">
        <v>1066966737</v>
      </c>
      <c r="D360" s="84" t="str">
        <f t="shared" si="5"/>
        <v>https://portal.dnb.de/opac.htm?method=simpleSearch&amp;cqlMode=true&amp;query=idn%3D1066966737</v>
      </c>
      <c r="E360" s="64" t="s">
        <v>831</v>
      </c>
      <c r="F360" s="82"/>
      <c r="G360" s="85"/>
      <c r="H360" s="82"/>
      <c r="I360" s="85"/>
      <c r="J360" s="85"/>
      <c r="K360" s="82"/>
      <c r="L360" s="82"/>
      <c r="M360" s="82"/>
      <c r="N360" s="82"/>
      <c r="O360" s="82"/>
      <c r="P360" s="82"/>
      <c r="Q360" s="82"/>
      <c r="R360" s="82"/>
      <c r="S360" s="97"/>
      <c r="T360" s="97"/>
      <c r="X360" s="94"/>
      <c r="Y360" s="95"/>
      <c r="Z360" s="95"/>
      <c r="AA360" s="94"/>
      <c r="AB360" s="94"/>
      <c r="AC360" s="94"/>
      <c r="AD360" s="94"/>
      <c r="AE360" s="94"/>
      <c r="AF360" s="94"/>
      <c r="AS360" s="94"/>
      <c r="AT360" s="94"/>
      <c r="AU360" s="94"/>
      <c r="AV360" s="94"/>
      <c r="BB360" s="108">
        <f>Schäden_Einband!X360+Schäden_Buchblock!AC360</f>
        <v>0</v>
      </c>
      <c r="BC360" s="95"/>
    </row>
    <row r="361" spans="1:55" ht="46" x14ac:dyDescent="0.25">
      <c r="A361" s="82">
        <v>348</v>
      </c>
      <c r="B361" s="64" t="s">
        <v>832</v>
      </c>
      <c r="C361" s="64" t="s">
        <v>833</v>
      </c>
      <c r="D361" s="84" t="str">
        <f>HYPERLINK(CONCATENATE("https://portal.dnb.de/opac.htm?method=simpleSearch&amp;cqlMode=true&amp;query=idn%3D",C361))</f>
        <v>https://portal.dnb.de/opac.htm?method=simpleSearch&amp;cqlMode=true&amp;query=idn%3D106696761X</v>
      </c>
      <c r="E361" s="64" t="s">
        <v>834</v>
      </c>
      <c r="F361" s="82" t="s">
        <v>89</v>
      </c>
      <c r="G361" s="85" t="s">
        <v>1585</v>
      </c>
      <c r="H361" s="82" t="s">
        <v>52</v>
      </c>
      <c r="I361" s="85" t="s">
        <v>86</v>
      </c>
      <c r="J361" s="85" t="s">
        <v>60</v>
      </c>
      <c r="K361" s="82" t="s">
        <v>67</v>
      </c>
      <c r="L361" s="82"/>
      <c r="M361" s="82" t="s">
        <v>101</v>
      </c>
      <c r="N361" s="82">
        <v>0</v>
      </c>
      <c r="O361" s="82"/>
      <c r="P361" s="82"/>
      <c r="Q361" s="82"/>
      <c r="R361" s="82"/>
      <c r="S361" s="97"/>
      <c r="T361" s="97"/>
      <c r="X361" s="94"/>
      <c r="Y361" s="95"/>
      <c r="Z361" s="95"/>
      <c r="AA361" s="94"/>
      <c r="AB361" s="94"/>
      <c r="AC361" s="94"/>
      <c r="AD361" s="94"/>
      <c r="AE361" s="94"/>
      <c r="AF361" s="94"/>
      <c r="AS361" s="94"/>
      <c r="AT361" s="94"/>
      <c r="AU361" s="94"/>
      <c r="AV361" s="94"/>
      <c r="BB361" s="108">
        <f>Schäden_Einband!X361+Schäden_Buchblock!AC361</f>
        <v>0</v>
      </c>
      <c r="BC361" s="95"/>
    </row>
    <row r="362" spans="1:55" x14ac:dyDescent="0.25">
      <c r="A362" s="82">
        <v>349</v>
      </c>
      <c r="B362" s="64" t="s">
        <v>835</v>
      </c>
      <c r="C362" s="64">
        <v>1066971250</v>
      </c>
      <c r="D362" s="84" t="str">
        <f t="shared" si="5"/>
        <v>https://portal.dnb.de/opac.htm?method=simpleSearch&amp;cqlMode=true&amp;query=idn%3D1066971250</v>
      </c>
      <c r="E362" s="64" t="s">
        <v>836</v>
      </c>
      <c r="F362" s="82"/>
      <c r="G362" s="85"/>
      <c r="H362" s="82"/>
      <c r="I362" s="85"/>
      <c r="J362" s="85"/>
      <c r="K362" s="82"/>
      <c r="L362" s="82"/>
      <c r="M362" s="82"/>
      <c r="N362" s="82"/>
      <c r="O362" s="82"/>
      <c r="P362" s="82"/>
      <c r="Q362" s="82"/>
      <c r="R362" s="82"/>
      <c r="S362" s="97"/>
      <c r="T362" s="97"/>
      <c r="X362" s="94"/>
      <c r="Y362" s="95"/>
      <c r="Z362" s="95"/>
      <c r="AA362" s="94"/>
      <c r="AB362" s="94"/>
      <c r="AC362" s="94"/>
      <c r="AD362" s="94"/>
      <c r="AE362" s="94"/>
      <c r="AF362" s="94"/>
      <c r="AS362" s="94"/>
      <c r="AT362" s="94"/>
      <c r="AU362" s="94"/>
      <c r="AV362" s="94"/>
      <c r="BB362" s="108">
        <f>Schäden_Einband!X362+Schäden_Buchblock!AC362</f>
        <v>0</v>
      </c>
      <c r="BC362" s="95"/>
    </row>
    <row r="363" spans="1:55" ht="46" x14ac:dyDescent="0.25">
      <c r="A363" s="82">
        <v>350</v>
      </c>
      <c r="B363" s="64" t="s">
        <v>837</v>
      </c>
      <c r="C363" s="64">
        <v>1066972222</v>
      </c>
      <c r="D363" s="84" t="str">
        <f t="shared" si="5"/>
        <v>https://portal.dnb.de/opac.htm?method=simpleSearch&amp;cqlMode=true&amp;query=idn%3D1066972222</v>
      </c>
      <c r="E363" s="64" t="s">
        <v>838</v>
      </c>
      <c r="F363" s="82" t="s">
        <v>1633</v>
      </c>
      <c r="G363" s="85" t="s">
        <v>1585</v>
      </c>
      <c r="H363" s="82" t="s">
        <v>51</v>
      </c>
      <c r="I363" s="85" t="s">
        <v>90</v>
      </c>
      <c r="J363" s="85" t="s">
        <v>1671</v>
      </c>
      <c r="K363" s="82" t="s">
        <v>67</v>
      </c>
      <c r="L363" s="82" t="s">
        <v>35</v>
      </c>
      <c r="M363" s="82" t="s">
        <v>37</v>
      </c>
      <c r="N363" s="82">
        <v>0</v>
      </c>
      <c r="O363" s="82"/>
      <c r="P363" s="82"/>
      <c r="Q363" s="82"/>
      <c r="R363" s="82"/>
      <c r="S363" s="97"/>
      <c r="T363" s="97"/>
      <c r="X363" s="94"/>
      <c r="Y363" s="95"/>
      <c r="Z363" s="95"/>
      <c r="AA363" s="94"/>
      <c r="AB363" s="94"/>
      <c r="AC363" s="94"/>
      <c r="AD363" s="94"/>
      <c r="AE363" s="94"/>
      <c r="AF363" s="94"/>
      <c r="AS363" s="94"/>
      <c r="AT363" s="94"/>
      <c r="AU363" s="94"/>
      <c r="AV363" s="94"/>
      <c r="BB363" s="108">
        <f>Schäden_Einband!X363+Schäden_Buchblock!AC363</f>
        <v>0</v>
      </c>
      <c r="BC363" s="95"/>
    </row>
    <row r="364" spans="1:55" x14ac:dyDescent="0.25">
      <c r="A364" s="82">
        <v>351</v>
      </c>
      <c r="B364" s="64" t="s">
        <v>839</v>
      </c>
      <c r="C364" s="64">
        <v>1066973172</v>
      </c>
      <c r="D364" s="84" t="str">
        <f t="shared" si="5"/>
        <v>https://portal.dnb.de/opac.htm?method=simpleSearch&amp;cqlMode=true&amp;query=idn%3D1066973172</v>
      </c>
      <c r="E364" s="64" t="s">
        <v>840</v>
      </c>
      <c r="F364" s="82"/>
      <c r="G364" s="85"/>
      <c r="H364" s="82"/>
      <c r="I364" s="85"/>
      <c r="J364" s="85"/>
      <c r="K364" s="82"/>
      <c r="L364" s="82"/>
      <c r="M364" s="82"/>
      <c r="N364" s="82"/>
      <c r="O364" s="82"/>
      <c r="P364" s="82"/>
      <c r="Q364" s="82"/>
      <c r="R364" s="82"/>
      <c r="S364" s="97"/>
      <c r="T364" s="97"/>
      <c r="X364" s="94"/>
      <c r="Y364" s="95"/>
      <c r="Z364" s="95"/>
      <c r="AA364" s="94"/>
      <c r="AB364" s="94"/>
      <c r="AC364" s="94"/>
      <c r="AD364" s="94"/>
      <c r="AE364" s="94"/>
      <c r="AF364" s="94"/>
      <c r="AS364" s="94"/>
      <c r="AT364" s="94"/>
      <c r="AU364" s="94"/>
      <c r="AV364" s="94"/>
      <c r="BB364" s="108">
        <f>Schäden_Einband!X364+Schäden_Buchblock!AC364</f>
        <v>0</v>
      </c>
      <c r="BC364" s="95"/>
    </row>
    <row r="365" spans="1:55" ht="34.5" x14ac:dyDescent="0.25">
      <c r="A365" s="82">
        <v>352</v>
      </c>
      <c r="B365" s="64" t="s">
        <v>841</v>
      </c>
      <c r="C365" s="64">
        <v>1066973350</v>
      </c>
      <c r="D365" s="84" t="str">
        <f t="shared" si="5"/>
        <v>https://portal.dnb.de/opac.htm?method=simpleSearch&amp;cqlMode=true&amp;query=idn%3D1066973350</v>
      </c>
      <c r="E365" s="64" t="s">
        <v>842</v>
      </c>
      <c r="F365" s="82" t="s">
        <v>1633</v>
      </c>
      <c r="G365" s="85" t="s">
        <v>3</v>
      </c>
      <c r="H365" s="82" t="s">
        <v>51</v>
      </c>
      <c r="I365" s="85" t="s">
        <v>86</v>
      </c>
      <c r="J365" s="85" t="s">
        <v>1658</v>
      </c>
      <c r="K365" s="82" t="s">
        <v>67</v>
      </c>
      <c r="L365" s="82" t="s">
        <v>35</v>
      </c>
      <c r="M365" s="82" t="s">
        <v>37</v>
      </c>
      <c r="N365" s="82">
        <v>0</v>
      </c>
      <c r="O365" s="82"/>
      <c r="P365" s="82"/>
      <c r="Q365" s="82"/>
      <c r="R365" s="82"/>
      <c r="S365" s="97"/>
      <c r="T365" s="97"/>
      <c r="X365" s="94"/>
      <c r="Y365" s="95"/>
      <c r="Z365" s="95"/>
      <c r="AA365" s="94"/>
      <c r="AB365" s="94"/>
      <c r="AC365" s="94"/>
      <c r="AD365" s="94"/>
      <c r="AE365" s="94"/>
      <c r="AF365" s="94"/>
      <c r="AS365" s="94"/>
      <c r="AT365" s="94"/>
      <c r="AU365" s="94"/>
      <c r="AV365" s="94"/>
      <c r="BB365" s="108">
        <f>Schäden_Einband!X365+Schäden_Buchblock!AC365</f>
        <v>0</v>
      </c>
      <c r="BC365" s="95"/>
    </row>
    <row r="366" spans="1:55" x14ac:dyDescent="0.25">
      <c r="A366" s="82">
        <v>353</v>
      </c>
      <c r="B366" s="64" t="s">
        <v>843</v>
      </c>
      <c r="C366" s="64">
        <v>1066964696</v>
      </c>
      <c r="D366" s="84" t="str">
        <f t="shared" si="5"/>
        <v>https://portal.dnb.de/opac.htm?method=simpleSearch&amp;cqlMode=true&amp;query=idn%3D1066964696</v>
      </c>
      <c r="E366" s="64" t="s">
        <v>844</v>
      </c>
      <c r="F366" s="82"/>
      <c r="G366" s="85"/>
      <c r="H366" s="82"/>
      <c r="I366" s="85"/>
      <c r="J366" s="85"/>
      <c r="K366" s="82"/>
      <c r="L366" s="82"/>
      <c r="M366" s="82"/>
      <c r="N366" s="82"/>
      <c r="O366" s="82"/>
      <c r="P366" s="82"/>
      <c r="Q366" s="82"/>
      <c r="R366" s="82"/>
      <c r="S366" s="97"/>
      <c r="T366" s="97"/>
      <c r="X366" s="94"/>
      <c r="Y366" s="95"/>
      <c r="Z366" s="95"/>
      <c r="AA366" s="94"/>
      <c r="AB366" s="94"/>
      <c r="AC366" s="94"/>
      <c r="AD366" s="94"/>
      <c r="AE366" s="94"/>
      <c r="AF366" s="94"/>
      <c r="AS366" s="94"/>
      <c r="AT366" s="94"/>
      <c r="AU366" s="94"/>
      <c r="AV366" s="94"/>
      <c r="BB366" s="108">
        <f>Schäden_Einband!X366+Schäden_Buchblock!AC366</f>
        <v>0</v>
      </c>
      <c r="BC366" s="95"/>
    </row>
    <row r="367" spans="1:55" ht="46" x14ac:dyDescent="0.25">
      <c r="A367" s="82">
        <v>354</v>
      </c>
      <c r="B367" s="64" t="s">
        <v>845</v>
      </c>
      <c r="C367" s="64">
        <v>1066969809</v>
      </c>
      <c r="D367" s="84" t="str">
        <f t="shared" si="5"/>
        <v>https://portal.dnb.de/opac.htm?method=simpleSearch&amp;cqlMode=true&amp;query=idn%3D1066969809</v>
      </c>
      <c r="E367" s="64" t="s">
        <v>846</v>
      </c>
      <c r="F367" s="82" t="s">
        <v>1633</v>
      </c>
      <c r="G367" s="85" t="s">
        <v>1585</v>
      </c>
      <c r="H367" s="82" t="s">
        <v>51</v>
      </c>
      <c r="I367" s="85" t="s">
        <v>90</v>
      </c>
      <c r="J367" s="85" t="s">
        <v>1591</v>
      </c>
      <c r="K367" s="82" t="s">
        <v>67</v>
      </c>
      <c r="L367" s="82" t="s">
        <v>35</v>
      </c>
      <c r="M367" s="82" t="s">
        <v>37</v>
      </c>
      <c r="N367" s="82">
        <v>0</v>
      </c>
      <c r="O367" s="82"/>
      <c r="P367" s="82"/>
      <c r="Q367" s="82"/>
      <c r="R367" s="82"/>
      <c r="S367" s="97"/>
      <c r="T367" s="97"/>
      <c r="X367" s="94"/>
      <c r="Y367" s="95"/>
      <c r="Z367" s="95"/>
      <c r="AA367" s="94"/>
      <c r="AB367" s="94"/>
      <c r="AC367" s="94"/>
      <c r="AD367" s="94"/>
      <c r="AE367" s="94"/>
      <c r="AF367" s="94"/>
      <c r="AS367" s="94"/>
      <c r="AT367" s="94"/>
      <c r="AU367" s="94"/>
      <c r="AV367" s="94"/>
      <c r="BB367" s="108">
        <f>Schäden_Einband!X367+Schäden_Buchblock!AC367</f>
        <v>0</v>
      </c>
      <c r="BC367" s="95"/>
    </row>
    <row r="368" spans="1:55" ht="46" x14ac:dyDescent="0.25">
      <c r="A368" s="82">
        <v>355</v>
      </c>
      <c r="B368" s="64" t="s">
        <v>847</v>
      </c>
      <c r="C368" s="64">
        <v>1066965404</v>
      </c>
      <c r="D368" s="84" t="str">
        <f t="shared" si="5"/>
        <v>https://portal.dnb.de/opac.htm?method=simpleSearch&amp;cqlMode=true&amp;query=idn%3D1066965404</v>
      </c>
      <c r="E368" s="64" t="s">
        <v>848</v>
      </c>
      <c r="F368" s="82" t="s">
        <v>89</v>
      </c>
      <c r="G368" s="85" t="s">
        <v>1585</v>
      </c>
      <c r="H368" s="82" t="s">
        <v>52</v>
      </c>
      <c r="I368" s="85" t="s">
        <v>90</v>
      </c>
      <c r="J368" s="85" t="s">
        <v>60</v>
      </c>
      <c r="K368" s="82" t="s">
        <v>67</v>
      </c>
      <c r="L368" s="82"/>
      <c r="M368" s="82" t="s">
        <v>101</v>
      </c>
      <c r="N368" s="82">
        <v>0</v>
      </c>
      <c r="O368" s="82"/>
      <c r="P368" s="82"/>
      <c r="Q368" s="82"/>
      <c r="R368" s="82"/>
      <c r="S368" s="97"/>
      <c r="T368" s="97"/>
      <c r="X368" s="94"/>
      <c r="Y368" s="95"/>
      <c r="Z368" s="95"/>
      <c r="AA368" s="94"/>
      <c r="AB368" s="94"/>
      <c r="AC368" s="94"/>
      <c r="AD368" s="94"/>
      <c r="AE368" s="94"/>
      <c r="AF368" s="94"/>
      <c r="AS368" s="94"/>
      <c r="AT368" s="94"/>
      <c r="AU368" s="94"/>
      <c r="AV368" s="94"/>
      <c r="BB368" s="108">
        <f>Schäden_Einband!X368+Schäden_Buchblock!AC368</f>
        <v>0</v>
      </c>
      <c r="BC368" s="95"/>
    </row>
    <row r="369" spans="1:55" x14ac:dyDescent="0.25">
      <c r="A369" s="82">
        <v>356</v>
      </c>
      <c r="B369" s="64" t="s">
        <v>849</v>
      </c>
      <c r="C369" s="64">
        <v>1066972044</v>
      </c>
      <c r="D369" s="84" t="str">
        <f t="shared" si="5"/>
        <v>https://portal.dnb.de/opac.htm?method=simpleSearch&amp;cqlMode=true&amp;query=idn%3D1066972044</v>
      </c>
      <c r="E369" s="64" t="s">
        <v>850</v>
      </c>
      <c r="F369" s="82"/>
      <c r="G369" s="85"/>
      <c r="H369" s="82"/>
      <c r="I369" s="85"/>
      <c r="J369" s="85"/>
      <c r="K369" s="82"/>
      <c r="L369" s="82"/>
      <c r="M369" s="82"/>
      <c r="N369" s="82"/>
      <c r="O369" s="82"/>
      <c r="P369" s="82"/>
      <c r="Q369" s="82"/>
      <c r="R369" s="82"/>
      <c r="S369" s="97"/>
      <c r="T369" s="97"/>
      <c r="X369" s="94"/>
      <c r="Y369" s="95"/>
      <c r="Z369" s="95"/>
      <c r="AA369" s="94"/>
      <c r="AB369" s="94"/>
      <c r="AC369" s="94"/>
      <c r="AD369" s="94"/>
      <c r="AE369" s="94"/>
      <c r="AF369" s="94"/>
      <c r="AS369" s="94"/>
      <c r="AT369" s="94"/>
      <c r="AU369" s="94"/>
      <c r="AV369" s="94"/>
      <c r="BB369" s="108">
        <f>Schäden_Einband!X369+Schäden_Buchblock!AC369</f>
        <v>0</v>
      </c>
      <c r="BC369" s="95"/>
    </row>
    <row r="370" spans="1:55" ht="46" x14ac:dyDescent="0.25">
      <c r="A370" s="82">
        <v>357</v>
      </c>
      <c r="B370" s="64" t="s">
        <v>851</v>
      </c>
      <c r="C370" s="64">
        <v>1066970602</v>
      </c>
      <c r="D370" s="84" t="str">
        <f t="shared" si="5"/>
        <v>https://portal.dnb.de/opac.htm?method=simpleSearch&amp;cqlMode=true&amp;query=idn%3D1066970602</v>
      </c>
      <c r="E370" s="64" t="s">
        <v>852</v>
      </c>
      <c r="F370" s="82" t="s">
        <v>89</v>
      </c>
      <c r="G370" s="85" t="s">
        <v>1584</v>
      </c>
      <c r="H370" s="82" t="s">
        <v>52</v>
      </c>
      <c r="I370" s="85" t="s">
        <v>90</v>
      </c>
      <c r="J370" s="85" t="s">
        <v>1586</v>
      </c>
      <c r="K370" s="82" t="s">
        <v>67</v>
      </c>
      <c r="L370" s="82"/>
      <c r="M370" s="82" t="s">
        <v>101</v>
      </c>
      <c r="N370" s="82">
        <v>0</v>
      </c>
      <c r="O370" s="82"/>
      <c r="P370" s="82" t="s">
        <v>1638</v>
      </c>
      <c r="Q370" s="82"/>
      <c r="R370" s="82"/>
      <c r="S370" s="97"/>
      <c r="T370" s="97"/>
      <c r="X370" s="94"/>
      <c r="Y370" s="95"/>
      <c r="Z370" s="95"/>
      <c r="AA370" s="94"/>
      <c r="AB370" s="94"/>
      <c r="AC370" s="94"/>
      <c r="AD370" s="94"/>
      <c r="AE370" s="94"/>
      <c r="AF370" s="94"/>
      <c r="AS370" s="94"/>
      <c r="AT370" s="94"/>
      <c r="AU370" s="94"/>
      <c r="AV370" s="94"/>
      <c r="BB370" s="108">
        <f>Schäden_Einband!X370+Schäden_Buchblock!AC370</f>
        <v>0</v>
      </c>
      <c r="BC370" s="95"/>
    </row>
    <row r="371" spans="1:55" ht="46" x14ac:dyDescent="0.25">
      <c r="A371" s="82">
        <v>358</v>
      </c>
      <c r="B371" s="64" t="s">
        <v>853</v>
      </c>
      <c r="C371" s="64">
        <v>1066971447</v>
      </c>
      <c r="D371" s="84" t="str">
        <f t="shared" si="5"/>
        <v>https://portal.dnb.de/opac.htm?method=simpleSearch&amp;cqlMode=true&amp;query=idn%3D1066971447</v>
      </c>
      <c r="E371" s="64" t="s">
        <v>854</v>
      </c>
      <c r="F371" s="82" t="s">
        <v>89</v>
      </c>
      <c r="G371" s="85" t="s">
        <v>1584</v>
      </c>
      <c r="H371" s="82" t="s">
        <v>52</v>
      </c>
      <c r="I371" s="85" t="s">
        <v>90</v>
      </c>
      <c r="J371" s="85" t="s">
        <v>60</v>
      </c>
      <c r="K371" s="82" t="s">
        <v>67</v>
      </c>
      <c r="L371" s="82"/>
      <c r="M371" s="82" t="s">
        <v>101</v>
      </c>
      <c r="N371" s="82">
        <v>0</v>
      </c>
      <c r="O371" s="82"/>
      <c r="P371" s="82" t="s">
        <v>1638</v>
      </c>
      <c r="Q371" s="82"/>
      <c r="R371" s="82"/>
      <c r="S371" s="97"/>
      <c r="T371" s="97"/>
      <c r="X371" s="94"/>
      <c r="Y371" s="95"/>
      <c r="Z371" s="95"/>
      <c r="AA371" s="94"/>
      <c r="AB371" s="94"/>
      <c r="AC371" s="94"/>
      <c r="AD371" s="94"/>
      <c r="AE371" s="94"/>
      <c r="AF371" s="94"/>
      <c r="AS371" s="94"/>
      <c r="AT371" s="94"/>
      <c r="AU371" s="94"/>
      <c r="AV371" s="94"/>
      <c r="BB371" s="108">
        <f>Schäden_Einband!X371+Schäden_Buchblock!AC371</f>
        <v>0</v>
      </c>
      <c r="BC371" s="95"/>
    </row>
    <row r="372" spans="1:55" x14ac:dyDescent="0.25">
      <c r="A372" s="82">
        <v>359</v>
      </c>
      <c r="B372" s="64" t="s">
        <v>855</v>
      </c>
      <c r="C372" s="64">
        <v>1066971447</v>
      </c>
      <c r="D372" s="84" t="str">
        <f t="shared" si="5"/>
        <v>https://portal.dnb.de/opac.htm?method=simpleSearch&amp;cqlMode=true&amp;query=idn%3D1066971447</v>
      </c>
      <c r="E372" s="64" t="s">
        <v>856</v>
      </c>
      <c r="F372" s="82"/>
      <c r="G372" s="85"/>
      <c r="H372" s="82"/>
      <c r="I372" s="85"/>
      <c r="J372" s="85"/>
      <c r="K372" s="82"/>
      <c r="L372" s="82"/>
      <c r="M372" s="82"/>
      <c r="N372" s="82"/>
      <c r="O372" s="82"/>
      <c r="P372" s="82"/>
      <c r="Q372" s="82"/>
      <c r="R372" s="82"/>
      <c r="S372" s="97"/>
      <c r="T372" s="97"/>
      <c r="X372" s="94"/>
      <c r="Y372" s="95"/>
      <c r="Z372" s="95"/>
      <c r="AA372" s="94"/>
      <c r="AB372" s="94"/>
      <c r="AC372" s="94"/>
      <c r="AD372" s="94"/>
      <c r="AE372" s="94"/>
      <c r="AF372" s="94"/>
      <c r="AS372" s="94"/>
      <c r="AT372" s="94"/>
      <c r="AU372" s="94"/>
      <c r="AV372" s="94"/>
      <c r="BB372" s="108">
        <f>Schäden_Einband!X372+Schäden_Buchblock!AC372</f>
        <v>0</v>
      </c>
      <c r="BC372" s="95"/>
    </row>
    <row r="373" spans="1:55" x14ac:dyDescent="0.25">
      <c r="A373" s="82">
        <v>360</v>
      </c>
      <c r="B373" s="64" t="s">
        <v>857</v>
      </c>
      <c r="C373" s="64">
        <v>1066966508</v>
      </c>
      <c r="D373" s="84" t="str">
        <f t="shared" si="5"/>
        <v>https://portal.dnb.de/opac.htm?method=simpleSearch&amp;cqlMode=true&amp;query=idn%3D1066966508</v>
      </c>
      <c r="E373" s="64" t="s">
        <v>858</v>
      </c>
      <c r="F373" s="82"/>
      <c r="G373" s="85"/>
      <c r="H373" s="82"/>
      <c r="I373" s="85"/>
      <c r="J373" s="85"/>
      <c r="K373" s="82"/>
      <c r="L373" s="82"/>
      <c r="M373" s="82"/>
      <c r="N373" s="82"/>
      <c r="O373" s="82"/>
      <c r="P373" s="82"/>
      <c r="Q373" s="82"/>
      <c r="R373" s="82"/>
      <c r="S373" s="97"/>
      <c r="T373" s="97"/>
      <c r="X373" s="94"/>
      <c r="Y373" s="95"/>
      <c r="Z373" s="95"/>
      <c r="AA373" s="94"/>
      <c r="AB373" s="94"/>
      <c r="AC373" s="94"/>
      <c r="AD373" s="94"/>
      <c r="AE373" s="94"/>
      <c r="AF373" s="94"/>
      <c r="AS373" s="94"/>
      <c r="AT373" s="94"/>
      <c r="AU373" s="94"/>
      <c r="AV373" s="94"/>
      <c r="BB373" s="108">
        <f>Schäden_Einband!X373+Schäden_Buchblock!AC373</f>
        <v>0</v>
      </c>
      <c r="BC373" s="95"/>
    </row>
    <row r="374" spans="1:55" ht="57.5" x14ac:dyDescent="0.25">
      <c r="A374" s="82">
        <v>361</v>
      </c>
      <c r="B374" s="64" t="s">
        <v>859</v>
      </c>
      <c r="C374" s="64">
        <v>1066964645</v>
      </c>
      <c r="D374" s="84" t="str">
        <f t="shared" si="5"/>
        <v>https://portal.dnb.de/opac.htm?method=simpleSearch&amp;cqlMode=true&amp;query=idn%3D1066964645</v>
      </c>
      <c r="E374" s="64" t="s">
        <v>860</v>
      </c>
      <c r="F374" s="82" t="s">
        <v>1633</v>
      </c>
      <c r="G374" s="85" t="s">
        <v>1585</v>
      </c>
      <c r="H374" s="82" t="s">
        <v>50</v>
      </c>
      <c r="I374" s="85" t="s">
        <v>86</v>
      </c>
      <c r="J374" s="85" t="s">
        <v>1672</v>
      </c>
      <c r="K374" s="82" t="s">
        <v>67</v>
      </c>
      <c r="L374" s="82" t="s">
        <v>35</v>
      </c>
      <c r="M374" s="82" t="s">
        <v>37</v>
      </c>
      <c r="N374" s="82">
        <v>3</v>
      </c>
      <c r="O374" s="82"/>
      <c r="P374" s="82"/>
      <c r="Q374" s="82"/>
      <c r="R374" s="82"/>
      <c r="S374" s="97"/>
      <c r="T374" s="97"/>
      <c r="X374" s="94"/>
      <c r="Y374" s="95"/>
      <c r="Z374" s="95"/>
      <c r="AA374" s="94"/>
      <c r="AB374" s="94"/>
      <c r="AC374" s="94"/>
      <c r="AD374" s="94"/>
      <c r="AE374" s="94"/>
      <c r="AF374" s="94"/>
      <c r="AS374" s="94"/>
      <c r="AT374" s="94"/>
      <c r="AU374" s="94"/>
      <c r="AV374" s="94"/>
      <c r="BB374" s="108">
        <f>Schäden_Einband!X374+Schäden_Buchblock!AC374</f>
        <v>0</v>
      </c>
      <c r="BC374" s="95"/>
    </row>
    <row r="375" spans="1:55" ht="46" x14ac:dyDescent="0.25">
      <c r="A375" s="82">
        <v>362</v>
      </c>
      <c r="B375" s="64" t="s">
        <v>861</v>
      </c>
      <c r="C375" s="64">
        <v>1066967938</v>
      </c>
      <c r="D375" s="84" t="str">
        <f t="shared" si="5"/>
        <v>https://portal.dnb.de/opac.htm?method=simpleSearch&amp;cqlMode=true&amp;query=idn%3D1066967938</v>
      </c>
      <c r="E375" s="64" t="s">
        <v>862</v>
      </c>
      <c r="F375" s="82" t="s">
        <v>1633</v>
      </c>
      <c r="G375" s="85" t="s">
        <v>1585</v>
      </c>
      <c r="H375" s="82" t="s">
        <v>51</v>
      </c>
      <c r="I375" s="85" t="s">
        <v>86</v>
      </c>
      <c r="J375" s="85" t="s">
        <v>1615</v>
      </c>
      <c r="K375" s="82" t="s">
        <v>67</v>
      </c>
      <c r="L375" s="82" t="s">
        <v>34</v>
      </c>
      <c r="M375" s="82" t="s">
        <v>37</v>
      </c>
      <c r="N375" s="82">
        <v>3</v>
      </c>
      <c r="O375" s="82"/>
      <c r="P375" s="82"/>
      <c r="Q375" s="82"/>
      <c r="R375" s="82"/>
      <c r="S375" s="97"/>
      <c r="T375" s="97"/>
      <c r="X375" s="94"/>
      <c r="Y375" s="95"/>
      <c r="Z375" s="95"/>
      <c r="AA375" s="94"/>
      <c r="AB375" s="94"/>
      <c r="AC375" s="94"/>
      <c r="AD375" s="94"/>
      <c r="AE375" s="94"/>
      <c r="AF375" s="94"/>
      <c r="AS375" s="94"/>
      <c r="AT375" s="94"/>
      <c r="AU375" s="94"/>
      <c r="AV375" s="94"/>
      <c r="BB375" s="108">
        <f>Schäden_Einband!X375+Schäden_Buchblock!AC375</f>
        <v>0</v>
      </c>
      <c r="BC375" s="95"/>
    </row>
    <row r="376" spans="1:55" ht="46" x14ac:dyDescent="0.25">
      <c r="A376" s="82">
        <v>363</v>
      </c>
      <c r="B376" s="64" t="s">
        <v>863</v>
      </c>
      <c r="C376" s="64">
        <v>1066969418</v>
      </c>
      <c r="D376" s="84" t="str">
        <f t="shared" si="5"/>
        <v>https://portal.dnb.de/opac.htm?method=simpleSearch&amp;cqlMode=true&amp;query=idn%3D1066969418</v>
      </c>
      <c r="E376" s="64" t="s">
        <v>864</v>
      </c>
      <c r="F376" s="82" t="s">
        <v>1633</v>
      </c>
      <c r="G376" s="85" t="s">
        <v>1584</v>
      </c>
      <c r="H376" s="82" t="s">
        <v>51</v>
      </c>
      <c r="I376" s="85" t="s">
        <v>90</v>
      </c>
      <c r="J376" s="85" t="s">
        <v>1673</v>
      </c>
      <c r="K376" s="82" t="s">
        <v>67</v>
      </c>
      <c r="L376" s="82" t="s">
        <v>35</v>
      </c>
      <c r="M376" s="82" t="s">
        <v>37</v>
      </c>
      <c r="N376" s="82">
        <v>2</v>
      </c>
      <c r="O376" s="82"/>
      <c r="P376" s="82"/>
      <c r="Q376" s="82"/>
      <c r="R376" s="82"/>
      <c r="S376" s="97"/>
      <c r="T376" s="97"/>
      <c r="X376" s="94"/>
      <c r="Y376" s="95"/>
      <c r="Z376" s="95"/>
      <c r="AA376" s="94"/>
      <c r="AB376" s="94"/>
      <c r="AC376" s="94"/>
      <c r="AD376" s="94"/>
      <c r="AE376" s="94"/>
      <c r="AF376" s="94"/>
      <c r="AS376" s="94"/>
      <c r="AT376" s="94"/>
      <c r="AU376" s="94"/>
      <c r="AV376" s="94"/>
      <c r="BB376" s="108">
        <f>Schäden_Einband!X376+Schäden_Buchblock!AC376</f>
        <v>0</v>
      </c>
      <c r="BC376" s="95"/>
    </row>
    <row r="377" spans="1:55" x14ac:dyDescent="0.25">
      <c r="A377" s="82">
        <v>364</v>
      </c>
      <c r="B377" s="64" t="s">
        <v>865</v>
      </c>
      <c r="C377" s="64">
        <v>1066967857</v>
      </c>
      <c r="D377" s="84" t="str">
        <f t="shared" si="5"/>
        <v>https://portal.dnb.de/opac.htm?method=simpleSearch&amp;cqlMode=true&amp;query=idn%3D1066967857</v>
      </c>
      <c r="E377" s="64" t="s">
        <v>866</v>
      </c>
      <c r="F377" s="82"/>
      <c r="G377" s="85"/>
      <c r="H377" s="82"/>
      <c r="I377" s="85"/>
      <c r="J377" s="85"/>
      <c r="K377" s="82"/>
      <c r="L377" s="82"/>
      <c r="M377" s="82"/>
      <c r="N377" s="82"/>
      <c r="O377" s="82"/>
      <c r="P377" s="82"/>
      <c r="Q377" s="82"/>
      <c r="R377" s="82"/>
      <c r="S377" s="97"/>
      <c r="T377" s="97"/>
      <c r="X377" s="94"/>
      <c r="Y377" s="95"/>
      <c r="Z377" s="95"/>
      <c r="AA377" s="94"/>
      <c r="AB377" s="94"/>
      <c r="AC377" s="94"/>
      <c r="AD377" s="94"/>
      <c r="AE377" s="94"/>
      <c r="AF377" s="94"/>
      <c r="AS377" s="94"/>
      <c r="AT377" s="94"/>
      <c r="AU377" s="94"/>
      <c r="AV377" s="94"/>
      <c r="BB377" s="108">
        <f>Schäden_Einband!X377+Schäden_Buchblock!AC377</f>
        <v>0</v>
      </c>
      <c r="BC377" s="95"/>
    </row>
    <row r="378" spans="1:55" x14ac:dyDescent="0.25">
      <c r="A378" s="82">
        <v>365</v>
      </c>
      <c r="B378" s="64" t="s">
        <v>867</v>
      </c>
      <c r="C378" s="64">
        <v>1066970513</v>
      </c>
      <c r="D378" s="84" t="str">
        <f t="shared" si="5"/>
        <v>https://portal.dnb.de/opac.htm?method=simpleSearch&amp;cqlMode=true&amp;query=idn%3D1066970513</v>
      </c>
      <c r="E378" s="64" t="s">
        <v>868</v>
      </c>
      <c r="F378" s="82"/>
      <c r="G378" s="85"/>
      <c r="H378" s="82"/>
      <c r="I378" s="85"/>
      <c r="J378" s="85"/>
      <c r="K378" s="82"/>
      <c r="L378" s="82"/>
      <c r="M378" s="82"/>
      <c r="N378" s="82"/>
      <c r="O378" s="82"/>
      <c r="P378" s="82"/>
      <c r="Q378" s="82"/>
      <c r="R378" s="82"/>
      <c r="S378" s="97"/>
      <c r="T378" s="97"/>
      <c r="X378" s="94"/>
      <c r="Y378" s="95"/>
      <c r="Z378" s="95"/>
      <c r="AA378" s="94"/>
      <c r="AB378" s="94"/>
      <c r="AC378" s="94"/>
      <c r="AD378" s="94"/>
      <c r="AE378" s="94"/>
      <c r="AF378" s="94"/>
      <c r="AS378" s="94"/>
      <c r="AT378" s="94"/>
      <c r="AU378" s="94"/>
      <c r="AV378" s="94"/>
      <c r="BB378" s="108">
        <f>Schäden_Einband!X378+Schäden_Buchblock!AC378</f>
        <v>0</v>
      </c>
      <c r="BC378" s="95"/>
    </row>
    <row r="379" spans="1:55" ht="23" x14ac:dyDescent="0.25">
      <c r="A379" s="82">
        <v>366</v>
      </c>
      <c r="B379" s="64" t="s">
        <v>869</v>
      </c>
      <c r="C379" s="64">
        <v>1066973156</v>
      </c>
      <c r="D379" s="84" t="str">
        <f t="shared" si="5"/>
        <v>https://portal.dnb.de/opac.htm?method=simpleSearch&amp;cqlMode=true&amp;query=idn%3D1066973156</v>
      </c>
      <c r="E379" s="64" t="s">
        <v>870</v>
      </c>
      <c r="F379" s="82" t="s">
        <v>1633</v>
      </c>
      <c r="G379" s="85" t="s">
        <v>5</v>
      </c>
      <c r="H379" s="82" t="s">
        <v>50</v>
      </c>
      <c r="I379" s="85" t="s">
        <v>90</v>
      </c>
      <c r="J379" s="85" t="s">
        <v>81</v>
      </c>
      <c r="K379" s="82"/>
      <c r="L379" s="82" t="s">
        <v>35</v>
      </c>
      <c r="M379" s="82" t="s">
        <v>37</v>
      </c>
      <c r="N379" s="82"/>
      <c r="O379" s="82"/>
      <c r="P379" s="82"/>
      <c r="Q379" s="82"/>
      <c r="R379" s="82"/>
      <c r="S379" s="97"/>
      <c r="T379" s="97"/>
      <c r="X379" s="94"/>
      <c r="Y379" s="95"/>
      <c r="Z379" s="95"/>
      <c r="AA379" s="94"/>
      <c r="AB379" s="94"/>
      <c r="AC379" s="94"/>
      <c r="AD379" s="94"/>
      <c r="AE379" s="94"/>
      <c r="AF379" s="94"/>
      <c r="AS379" s="94"/>
      <c r="AT379" s="94"/>
      <c r="AU379" s="94"/>
      <c r="AV379" s="94"/>
      <c r="BB379" s="108">
        <f>Schäden_Einband!X379+Schäden_Buchblock!AC379</f>
        <v>0</v>
      </c>
      <c r="BC379" s="95"/>
    </row>
    <row r="380" spans="1:55" x14ac:dyDescent="0.25">
      <c r="A380" s="82">
        <v>367</v>
      </c>
      <c r="B380" s="64" t="s">
        <v>871</v>
      </c>
      <c r="C380" s="64">
        <v>1072320762</v>
      </c>
      <c r="D380" s="84" t="str">
        <f t="shared" si="5"/>
        <v>https://portal.dnb.de/opac.htm?method=simpleSearch&amp;cqlMode=true&amp;query=idn%3D1072320762</v>
      </c>
      <c r="E380" s="64" t="s">
        <v>872</v>
      </c>
      <c r="F380" s="82"/>
      <c r="G380" s="85"/>
      <c r="H380" s="82"/>
      <c r="I380" s="85"/>
      <c r="J380" s="85"/>
      <c r="K380" s="82"/>
      <c r="L380" s="82"/>
      <c r="M380" s="82"/>
      <c r="N380" s="82"/>
      <c r="O380" s="82"/>
      <c r="P380" s="82"/>
      <c r="Q380" s="82"/>
      <c r="R380" s="82"/>
      <c r="S380" s="97"/>
      <c r="T380" s="97"/>
      <c r="X380" s="94"/>
      <c r="Y380" s="95"/>
      <c r="Z380" s="95"/>
      <c r="AA380" s="94"/>
      <c r="AB380" s="94"/>
      <c r="AC380" s="94"/>
      <c r="AD380" s="94"/>
      <c r="AE380" s="94"/>
      <c r="AF380" s="94"/>
      <c r="AS380" s="94"/>
      <c r="AT380" s="94"/>
      <c r="AU380" s="94"/>
      <c r="AV380" s="94"/>
      <c r="BB380" s="108">
        <f>Schäden_Einband!X380+Schäden_Buchblock!AC380</f>
        <v>0</v>
      </c>
      <c r="BC380" s="95"/>
    </row>
    <row r="381" spans="1:55" ht="23" x14ac:dyDescent="0.25">
      <c r="A381" s="82">
        <v>368</v>
      </c>
      <c r="B381" s="64" t="s">
        <v>873</v>
      </c>
      <c r="C381" s="64">
        <v>1066965595</v>
      </c>
      <c r="D381" s="84" t="str">
        <f t="shared" si="5"/>
        <v>https://portal.dnb.de/opac.htm?method=simpleSearch&amp;cqlMode=true&amp;query=idn%3D1066965595</v>
      </c>
      <c r="E381" s="64" t="s">
        <v>874</v>
      </c>
      <c r="F381" s="82" t="s">
        <v>89</v>
      </c>
      <c r="G381" s="85" t="s">
        <v>3</v>
      </c>
      <c r="H381" s="82" t="s">
        <v>52</v>
      </c>
      <c r="I381" s="85" t="s">
        <v>90</v>
      </c>
      <c r="J381" s="85" t="s">
        <v>1587</v>
      </c>
      <c r="K381" s="82" t="s">
        <v>67</v>
      </c>
      <c r="L381" s="82"/>
      <c r="M381" s="82" t="s">
        <v>101</v>
      </c>
      <c r="N381" s="82">
        <v>0</v>
      </c>
      <c r="O381" s="82"/>
      <c r="P381" s="82" t="s">
        <v>1638</v>
      </c>
      <c r="Q381" s="82"/>
      <c r="R381" s="82"/>
      <c r="S381" s="97"/>
      <c r="T381" s="97"/>
      <c r="X381" s="94"/>
      <c r="Y381" s="95"/>
      <c r="Z381" s="95"/>
      <c r="AA381" s="94"/>
      <c r="AB381" s="94"/>
      <c r="AC381" s="94"/>
      <c r="AD381" s="94"/>
      <c r="AE381" s="94"/>
      <c r="AF381" s="94"/>
      <c r="AS381" s="94"/>
      <c r="AT381" s="94"/>
      <c r="AU381" s="94"/>
      <c r="AV381" s="94"/>
      <c r="BB381" s="108">
        <f>Schäden_Einband!X381+Schäden_Buchblock!AC381</f>
        <v>0</v>
      </c>
      <c r="BC381" s="95"/>
    </row>
    <row r="382" spans="1:55" ht="23" x14ac:dyDescent="0.25">
      <c r="A382" s="82">
        <v>369</v>
      </c>
      <c r="B382" s="64" t="s">
        <v>875</v>
      </c>
      <c r="C382" s="64">
        <v>1066973040</v>
      </c>
      <c r="D382" s="84" t="str">
        <f t="shared" si="5"/>
        <v>https://portal.dnb.de/opac.htm?method=simpleSearch&amp;cqlMode=true&amp;query=idn%3D1066973040</v>
      </c>
      <c r="E382" s="64" t="s">
        <v>1703</v>
      </c>
      <c r="F382" s="82" t="s">
        <v>1633</v>
      </c>
      <c r="G382" s="85" t="s">
        <v>3</v>
      </c>
      <c r="H382" s="82" t="s">
        <v>52</v>
      </c>
      <c r="I382" s="85" t="s">
        <v>90</v>
      </c>
      <c r="J382" s="85" t="s">
        <v>1586</v>
      </c>
      <c r="K382" s="82" t="s">
        <v>67</v>
      </c>
      <c r="L382" s="82"/>
      <c r="M382" s="82"/>
      <c r="N382" s="82">
        <v>1</v>
      </c>
      <c r="O382" s="82"/>
      <c r="P382" s="82"/>
      <c r="Q382" s="82"/>
      <c r="R382" s="82"/>
      <c r="S382" s="97"/>
      <c r="T382" s="97"/>
      <c r="X382" s="94"/>
      <c r="Y382" s="95"/>
      <c r="Z382" s="95"/>
      <c r="AA382" s="94"/>
      <c r="AB382" s="94"/>
      <c r="AC382" s="94"/>
      <c r="AD382" s="94"/>
      <c r="AE382" s="94"/>
      <c r="AF382" s="94"/>
      <c r="AS382" s="94"/>
      <c r="AT382" s="94"/>
      <c r="AU382" s="94"/>
      <c r="AV382" s="94"/>
      <c r="BB382" s="108">
        <f>Schäden_Einband!X382+Schäden_Buchblock!AC382</f>
        <v>0</v>
      </c>
      <c r="BC382" s="95"/>
    </row>
    <row r="383" spans="1:55" ht="23" x14ac:dyDescent="0.25">
      <c r="A383" s="82"/>
      <c r="B383" s="64"/>
      <c r="C383" s="64"/>
      <c r="D383" s="84"/>
      <c r="E383" s="64" t="s">
        <v>1704</v>
      </c>
      <c r="F383" s="82" t="s">
        <v>89</v>
      </c>
      <c r="G383" s="85" t="s">
        <v>3</v>
      </c>
      <c r="H383" s="82" t="s">
        <v>52</v>
      </c>
      <c r="I383" s="85" t="s">
        <v>90</v>
      </c>
      <c r="J383" s="85" t="s">
        <v>1705</v>
      </c>
      <c r="K383" s="82" t="s">
        <v>67</v>
      </c>
      <c r="L383" s="82"/>
      <c r="M383" s="82"/>
      <c r="N383" s="82">
        <v>1</v>
      </c>
      <c r="O383" s="82"/>
      <c r="P383" s="82"/>
      <c r="Q383" s="82"/>
      <c r="R383" s="82"/>
      <c r="S383" s="97"/>
      <c r="T383" s="97"/>
      <c r="X383" s="94"/>
      <c r="Y383" s="95"/>
      <c r="Z383" s="95"/>
      <c r="AA383" s="94"/>
      <c r="AB383" s="94"/>
      <c r="AC383" s="94"/>
      <c r="AD383" s="94"/>
      <c r="AE383" s="94"/>
      <c r="AF383" s="94"/>
      <c r="AS383" s="94"/>
      <c r="AT383" s="94"/>
      <c r="AU383" s="94"/>
      <c r="AV383" s="94"/>
      <c r="BB383" s="108">
        <f>Schäden_Einband!X383+Schäden_Buchblock!AC383</f>
        <v>0</v>
      </c>
      <c r="BC383" s="95"/>
    </row>
    <row r="384" spans="1:55" x14ac:dyDescent="0.25">
      <c r="A384" s="82">
        <v>370</v>
      </c>
      <c r="B384" s="64" t="s">
        <v>876</v>
      </c>
      <c r="C384" s="64" t="s">
        <v>877</v>
      </c>
      <c r="D384" s="84" t="str">
        <f t="shared" si="5"/>
        <v>https://portal.dnb.de/opac.htm?method=simpleSearch&amp;cqlMode=true&amp;query=idn%3D106697196X</v>
      </c>
      <c r="E384" s="64" t="s">
        <v>878</v>
      </c>
      <c r="F384" s="82"/>
      <c r="G384" s="85"/>
      <c r="H384" s="82"/>
      <c r="I384" s="85"/>
      <c r="J384" s="85"/>
      <c r="K384" s="82"/>
      <c r="L384" s="82"/>
      <c r="M384" s="82"/>
      <c r="N384" s="82"/>
      <c r="O384" s="82"/>
      <c r="P384" s="82"/>
      <c r="Q384" s="82"/>
      <c r="R384" s="82"/>
      <c r="S384" s="97"/>
      <c r="T384" s="97"/>
      <c r="X384" s="94"/>
      <c r="Y384" s="95"/>
      <c r="Z384" s="95"/>
      <c r="AA384" s="94"/>
      <c r="AB384" s="94"/>
      <c r="AC384" s="94"/>
      <c r="AD384" s="94"/>
      <c r="AE384" s="94"/>
      <c r="AF384" s="94"/>
      <c r="AS384" s="94"/>
      <c r="AT384" s="94"/>
      <c r="AU384" s="94"/>
      <c r="AV384" s="94"/>
      <c r="BB384" s="108">
        <f>Schäden_Einband!X384+Schäden_Buchblock!AC384</f>
        <v>0</v>
      </c>
      <c r="BC384" s="95"/>
    </row>
    <row r="385" spans="1:55" ht="23" x14ac:dyDescent="0.25">
      <c r="A385" s="82">
        <v>371</v>
      </c>
      <c r="B385" s="64" t="s">
        <v>879</v>
      </c>
      <c r="C385" s="64">
        <v>1072063859</v>
      </c>
      <c r="D385" s="84" t="str">
        <f t="shared" si="5"/>
        <v>https://portal.dnb.de/opac.htm?method=simpleSearch&amp;cqlMode=true&amp;query=idn%3D1072063859</v>
      </c>
      <c r="E385" s="64" t="s">
        <v>880</v>
      </c>
      <c r="F385" s="82" t="s">
        <v>89</v>
      </c>
      <c r="G385" s="85" t="s">
        <v>3</v>
      </c>
      <c r="H385" s="82" t="s">
        <v>52</v>
      </c>
      <c r="I385" s="85" t="s">
        <v>90</v>
      </c>
      <c r="J385" s="85" t="s">
        <v>1586</v>
      </c>
      <c r="K385" s="82" t="s">
        <v>67</v>
      </c>
      <c r="L385" s="82"/>
      <c r="M385" s="82" t="s">
        <v>101</v>
      </c>
      <c r="N385" s="82">
        <v>1</v>
      </c>
      <c r="O385" s="82"/>
      <c r="P385" s="82"/>
      <c r="Q385" s="82"/>
      <c r="R385" s="82"/>
      <c r="S385" s="97"/>
      <c r="T385" s="97"/>
      <c r="X385" s="94"/>
      <c r="Y385" s="95"/>
      <c r="Z385" s="95"/>
      <c r="AA385" s="94"/>
      <c r="AB385" s="94"/>
      <c r="AC385" s="94"/>
      <c r="AD385" s="94"/>
      <c r="AE385" s="94"/>
      <c r="AF385" s="94"/>
      <c r="AS385" s="94"/>
      <c r="AT385" s="94"/>
      <c r="AU385" s="94"/>
      <c r="AV385" s="94"/>
      <c r="BB385" s="108">
        <f>Schäden_Einband!X385+Schäden_Buchblock!AC385</f>
        <v>0</v>
      </c>
      <c r="BC385" s="95"/>
    </row>
    <row r="386" spans="1:55" ht="46" x14ac:dyDescent="0.25">
      <c r="A386" s="82">
        <v>372</v>
      </c>
      <c r="B386" s="64" t="s">
        <v>881</v>
      </c>
      <c r="C386" s="64">
        <v>1066964920</v>
      </c>
      <c r="D386" s="84" t="str">
        <f t="shared" si="5"/>
        <v>https://portal.dnb.de/opac.htm?method=simpleSearch&amp;cqlMode=true&amp;query=idn%3D1066964920</v>
      </c>
      <c r="E386" s="64" t="s">
        <v>882</v>
      </c>
      <c r="F386" s="82"/>
      <c r="G386" s="85" t="s">
        <v>1585</v>
      </c>
      <c r="H386" s="82" t="s">
        <v>52</v>
      </c>
      <c r="I386" s="85" t="s">
        <v>90</v>
      </c>
      <c r="J386" s="85" t="s">
        <v>1698</v>
      </c>
      <c r="K386" s="82" t="s">
        <v>67</v>
      </c>
      <c r="L386" s="82"/>
      <c r="M386" s="82" t="s">
        <v>101</v>
      </c>
      <c r="N386" s="82">
        <v>1</v>
      </c>
      <c r="O386" s="82"/>
      <c r="P386" s="82" t="s">
        <v>1699</v>
      </c>
      <c r="Q386" s="82"/>
      <c r="R386" s="82"/>
      <c r="S386" s="97"/>
      <c r="T386" s="97"/>
      <c r="X386" s="94"/>
      <c r="Y386" s="95"/>
      <c r="Z386" s="95"/>
      <c r="AA386" s="94"/>
      <c r="AB386" s="94"/>
      <c r="AC386" s="94"/>
      <c r="AD386" s="94"/>
      <c r="AE386" s="94"/>
      <c r="AF386" s="94"/>
      <c r="AS386" s="94"/>
      <c r="AT386" s="94"/>
      <c r="AU386" s="94"/>
      <c r="AV386" s="94"/>
      <c r="BB386" s="108">
        <f>Schäden_Einband!X386+Schäden_Buchblock!AC386</f>
        <v>0</v>
      </c>
      <c r="BC386" s="95"/>
    </row>
    <row r="387" spans="1:55" ht="34.5" x14ac:dyDescent="0.25">
      <c r="A387" s="82">
        <v>373</v>
      </c>
      <c r="B387" s="64" t="s">
        <v>883</v>
      </c>
      <c r="C387" s="64">
        <v>1066965633</v>
      </c>
      <c r="D387" s="84" t="str">
        <f t="shared" si="5"/>
        <v>https://portal.dnb.de/opac.htm?method=simpleSearch&amp;cqlMode=true&amp;query=idn%3D1066965633</v>
      </c>
      <c r="E387" s="64" t="s">
        <v>884</v>
      </c>
      <c r="F387" s="82" t="s">
        <v>1633</v>
      </c>
      <c r="G387" s="85" t="s">
        <v>3</v>
      </c>
      <c r="H387" s="82" t="s">
        <v>51</v>
      </c>
      <c r="I387" s="85" t="s">
        <v>90</v>
      </c>
      <c r="J387" s="85" t="s">
        <v>1674</v>
      </c>
      <c r="K387" s="82" t="s">
        <v>67</v>
      </c>
      <c r="L387" s="82" t="s">
        <v>35</v>
      </c>
      <c r="M387" s="82" t="s">
        <v>37</v>
      </c>
      <c r="N387" s="82">
        <v>3</v>
      </c>
      <c r="O387" s="82"/>
      <c r="P387" s="82"/>
      <c r="Q387" s="82"/>
      <c r="R387" s="82"/>
      <c r="S387" s="97"/>
      <c r="T387" s="97"/>
      <c r="X387" s="94"/>
      <c r="Y387" s="95"/>
      <c r="Z387" s="95"/>
      <c r="AA387" s="94"/>
      <c r="AB387" s="94"/>
      <c r="AC387" s="94"/>
      <c r="AD387" s="94"/>
      <c r="AE387" s="94"/>
      <c r="AF387" s="94"/>
      <c r="AS387" s="94"/>
      <c r="AT387" s="94"/>
      <c r="AU387" s="94"/>
      <c r="AV387" s="94"/>
      <c r="BB387" s="108">
        <f>Schäden_Einband!X387+Schäden_Buchblock!AC387</f>
        <v>0</v>
      </c>
      <c r="BC387" s="95"/>
    </row>
    <row r="388" spans="1:55" ht="23" x14ac:dyDescent="0.25">
      <c r="A388" s="82">
        <v>374</v>
      </c>
      <c r="B388" s="64" t="s">
        <v>885</v>
      </c>
      <c r="C388" s="64">
        <v>1066965641</v>
      </c>
      <c r="D388" s="84" t="str">
        <f t="shared" si="5"/>
        <v>https://portal.dnb.de/opac.htm?method=simpleSearch&amp;cqlMode=true&amp;query=idn%3D1066965641</v>
      </c>
      <c r="E388" s="64" t="s">
        <v>886</v>
      </c>
      <c r="F388" s="82" t="s">
        <v>1633</v>
      </c>
      <c r="G388" s="85" t="s">
        <v>4</v>
      </c>
      <c r="H388" s="82" t="s">
        <v>50</v>
      </c>
      <c r="I388" s="85" t="s">
        <v>90</v>
      </c>
      <c r="J388" s="85" t="s">
        <v>1586</v>
      </c>
      <c r="K388" s="82" t="s">
        <v>67</v>
      </c>
      <c r="L388" s="82" t="s">
        <v>35</v>
      </c>
      <c r="M388" s="82" t="s">
        <v>37</v>
      </c>
      <c r="N388" s="82"/>
      <c r="O388" s="82"/>
      <c r="P388" s="82"/>
      <c r="Q388" s="82"/>
      <c r="R388" s="82"/>
      <c r="S388" s="97"/>
      <c r="T388" s="97"/>
      <c r="X388" s="94"/>
      <c r="Y388" s="95"/>
      <c r="Z388" s="95"/>
      <c r="AA388" s="94"/>
      <c r="AB388" s="94"/>
      <c r="AC388" s="94"/>
      <c r="AD388" s="94"/>
      <c r="AE388" s="94"/>
      <c r="AF388" s="94"/>
      <c r="AS388" s="94"/>
      <c r="AT388" s="94"/>
      <c r="AU388" s="94"/>
      <c r="AV388" s="94"/>
      <c r="BB388" s="108">
        <f>Schäden_Einband!X388+Schäden_Buchblock!AC388</f>
        <v>0</v>
      </c>
      <c r="BC388" s="95"/>
    </row>
    <row r="389" spans="1:55" ht="46" x14ac:dyDescent="0.25">
      <c r="A389" s="82">
        <v>375</v>
      </c>
      <c r="B389" s="64" t="s">
        <v>887</v>
      </c>
      <c r="C389" s="64" t="s">
        <v>888</v>
      </c>
      <c r="D389" s="84" t="str">
        <f t="shared" si="5"/>
        <v>https://portal.dnb.de/opac.htm?method=simpleSearch&amp;cqlMode=true&amp;query=idn%3D106696582X</v>
      </c>
      <c r="E389" s="64" t="s">
        <v>889</v>
      </c>
      <c r="F389" s="82" t="s">
        <v>89</v>
      </c>
      <c r="G389" s="85" t="s">
        <v>1584</v>
      </c>
      <c r="H389" s="82" t="s">
        <v>52</v>
      </c>
      <c r="I389" s="85" t="s">
        <v>90</v>
      </c>
      <c r="J389" s="85" t="s">
        <v>1641</v>
      </c>
      <c r="K389" s="82" t="s">
        <v>67</v>
      </c>
      <c r="L389" s="82"/>
      <c r="M389" s="82" t="s">
        <v>101</v>
      </c>
      <c r="N389" s="82">
        <v>0</v>
      </c>
      <c r="O389" s="82"/>
      <c r="P389" s="82"/>
      <c r="Q389" s="82"/>
      <c r="R389" s="82"/>
      <c r="S389" s="97"/>
      <c r="T389" s="97"/>
      <c r="X389" s="94"/>
      <c r="Y389" s="95"/>
      <c r="Z389" s="95"/>
      <c r="AA389" s="94"/>
      <c r="AB389" s="94"/>
      <c r="AC389" s="94"/>
      <c r="AD389" s="94"/>
      <c r="AE389" s="94"/>
      <c r="AF389" s="94"/>
      <c r="AS389" s="94"/>
      <c r="AT389" s="94"/>
      <c r="AU389" s="94"/>
      <c r="AV389" s="94"/>
      <c r="BB389" s="108">
        <f>Schäden_Einband!X389+Schäden_Buchblock!AC389</f>
        <v>0</v>
      </c>
      <c r="BC389" s="95"/>
    </row>
    <row r="390" spans="1:55" ht="46" x14ac:dyDescent="0.25">
      <c r="A390" s="82">
        <v>376</v>
      </c>
      <c r="B390" s="64" t="s">
        <v>890</v>
      </c>
      <c r="C390" s="64">
        <v>1066967601</v>
      </c>
      <c r="D390" s="84" t="str">
        <f t="shared" si="5"/>
        <v>https://portal.dnb.de/opac.htm?method=simpleSearch&amp;cqlMode=true&amp;query=idn%3D1066967601</v>
      </c>
      <c r="E390" s="64" t="s">
        <v>891</v>
      </c>
      <c r="F390" s="82"/>
      <c r="G390" s="85" t="s">
        <v>1585</v>
      </c>
      <c r="H390" s="82" t="s">
        <v>52</v>
      </c>
      <c r="I390" s="85" t="s">
        <v>90</v>
      </c>
      <c r="J390" s="85" t="s">
        <v>1583</v>
      </c>
      <c r="K390" s="82" t="s">
        <v>67</v>
      </c>
      <c r="L390" s="82"/>
      <c r="M390" s="82" t="s">
        <v>101</v>
      </c>
      <c r="N390" s="82">
        <v>2</v>
      </c>
      <c r="O390" s="82"/>
      <c r="P390" s="82" t="s">
        <v>1638</v>
      </c>
      <c r="Q390" s="82"/>
      <c r="R390" s="82"/>
      <c r="S390" s="97"/>
      <c r="T390" s="97"/>
      <c r="X390" s="94"/>
      <c r="Y390" s="95"/>
      <c r="Z390" s="95"/>
      <c r="AA390" s="94"/>
      <c r="AB390" s="94"/>
      <c r="AC390" s="94"/>
      <c r="AD390" s="94"/>
      <c r="AE390" s="94"/>
      <c r="AF390" s="94"/>
      <c r="AS390" s="94"/>
      <c r="AT390" s="94"/>
      <c r="AU390" s="94"/>
      <c r="AV390" s="94"/>
      <c r="BB390" s="108">
        <f>Schäden_Einband!X390+Schäden_Buchblock!AC390</f>
        <v>0</v>
      </c>
      <c r="BC390" s="95"/>
    </row>
    <row r="391" spans="1:55" ht="46" x14ac:dyDescent="0.25">
      <c r="A391" s="82">
        <v>377</v>
      </c>
      <c r="B391" s="64" t="s">
        <v>892</v>
      </c>
      <c r="C391" s="64">
        <v>1066968845</v>
      </c>
      <c r="D391" s="84" t="str">
        <f t="shared" si="5"/>
        <v>https://portal.dnb.de/opac.htm?method=simpleSearch&amp;cqlMode=true&amp;query=idn%3D1066968845</v>
      </c>
      <c r="E391" s="64" t="s">
        <v>893</v>
      </c>
      <c r="F391" s="82" t="s">
        <v>89</v>
      </c>
      <c r="G391" s="85" t="s">
        <v>1584</v>
      </c>
      <c r="H391" s="82" t="s">
        <v>53</v>
      </c>
      <c r="I391" s="85" t="s">
        <v>90</v>
      </c>
      <c r="J391" s="85" t="s">
        <v>1652</v>
      </c>
      <c r="K391" s="82" t="s">
        <v>67</v>
      </c>
      <c r="L391" s="82"/>
      <c r="M391" s="82" t="s">
        <v>101</v>
      </c>
      <c r="N391" s="82">
        <v>1</v>
      </c>
      <c r="O391" s="82"/>
      <c r="P391" s="82" t="s">
        <v>1638</v>
      </c>
      <c r="Q391" s="82"/>
      <c r="R391" s="82"/>
      <c r="S391" s="97"/>
      <c r="T391" s="97"/>
      <c r="X391" s="94"/>
      <c r="Y391" s="95"/>
      <c r="Z391" s="95"/>
      <c r="AA391" s="94"/>
      <c r="AB391" s="94"/>
      <c r="AC391" s="94"/>
      <c r="AD391" s="94"/>
      <c r="AE391" s="94"/>
      <c r="AF391" s="94"/>
      <c r="AS391" s="94"/>
      <c r="AT391" s="94"/>
      <c r="AU391" s="94"/>
      <c r="AV391" s="94"/>
      <c r="BB391" s="108">
        <f>Schäden_Einband!X391+Schäden_Buchblock!AC391</f>
        <v>0</v>
      </c>
      <c r="BC391" s="95"/>
    </row>
    <row r="392" spans="1:55" ht="34.5" x14ac:dyDescent="0.25">
      <c r="A392" s="82">
        <v>378</v>
      </c>
      <c r="B392" s="64" t="s">
        <v>894</v>
      </c>
      <c r="C392" s="64">
        <v>1066969159</v>
      </c>
      <c r="D392" s="84" t="str">
        <f t="shared" si="5"/>
        <v>https://portal.dnb.de/opac.htm?method=simpleSearch&amp;cqlMode=true&amp;query=idn%3D1066969159</v>
      </c>
      <c r="E392" s="64" t="s">
        <v>895</v>
      </c>
      <c r="F392" s="82"/>
      <c r="G392" s="85" t="s">
        <v>3</v>
      </c>
      <c r="H392" s="82" t="s">
        <v>52</v>
      </c>
      <c r="I392" s="85" t="s">
        <v>90</v>
      </c>
      <c r="J392" s="85" t="s">
        <v>1653</v>
      </c>
      <c r="K392" s="82" t="s">
        <v>67</v>
      </c>
      <c r="L392" s="82"/>
      <c r="M392" s="82" t="s">
        <v>101</v>
      </c>
      <c r="N392" s="82">
        <v>1</v>
      </c>
      <c r="O392" s="82"/>
      <c r="P392" s="82"/>
      <c r="Q392" s="82"/>
      <c r="R392" s="82"/>
      <c r="S392" s="97"/>
      <c r="T392" s="97"/>
      <c r="X392" s="94"/>
      <c r="Y392" s="95"/>
      <c r="Z392" s="95"/>
      <c r="AA392" s="94"/>
      <c r="AB392" s="94"/>
      <c r="AC392" s="94"/>
      <c r="AD392" s="94"/>
      <c r="AE392" s="94"/>
      <c r="AF392" s="94"/>
      <c r="AS392" s="94"/>
      <c r="AT392" s="94"/>
      <c r="AU392" s="94"/>
      <c r="AV392" s="94"/>
      <c r="BB392" s="108">
        <f>Schäden_Einband!X392+Schäden_Buchblock!AC392</f>
        <v>0</v>
      </c>
      <c r="BC392" s="95"/>
    </row>
    <row r="393" spans="1:55" ht="23" x14ac:dyDescent="0.25">
      <c r="A393" s="82">
        <v>379</v>
      </c>
      <c r="B393" s="64" t="s">
        <v>896</v>
      </c>
      <c r="C393" s="64">
        <v>1048169669</v>
      </c>
      <c r="D393" s="84" t="str">
        <f t="shared" si="5"/>
        <v>https://portal.dnb.de/opac.htm?method=simpleSearch&amp;cqlMode=true&amp;query=idn%3D1048169669</v>
      </c>
      <c r="E393" s="64" t="s">
        <v>897</v>
      </c>
      <c r="F393" s="82" t="s">
        <v>89</v>
      </c>
      <c r="G393" s="85" t="s">
        <v>3</v>
      </c>
      <c r="H393" s="82" t="s">
        <v>52</v>
      </c>
      <c r="I393" s="85" t="s">
        <v>90</v>
      </c>
      <c r="J393" s="85" t="s">
        <v>1654</v>
      </c>
      <c r="K393" s="82" t="s">
        <v>67</v>
      </c>
      <c r="L393" s="82"/>
      <c r="M393" s="82"/>
      <c r="N393" s="82">
        <v>0</v>
      </c>
      <c r="O393" s="82"/>
      <c r="P393" s="82"/>
      <c r="Q393" s="82"/>
      <c r="R393" s="82"/>
      <c r="S393" s="97"/>
      <c r="T393" s="97"/>
      <c r="X393" s="94"/>
      <c r="Y393" s="95"/>
      <c r="Z393" s="95"/>
      <c r="AA393" s="94"/>
      <c r="AB393" s="94"/>
      <c r="AC393" s="94"/>
      <c r="AD393" s="94"/>
      <c r="AE393" s="94"/>
      <c r="AF393" s="94"/>
      <c r="AS393" s="94"/>
      <c r="AT393" s="94"/>
      <c r="AU393" s="94"/>
      <c r="AV393" s="94"/>
      <c r="BB393" s="108">
        <f>Schäden_Einband!X393+Schäden_Buchblock!AC393</f>
        <v>0</v>
      </c>
      <c r="BC393" s="95"/>
    </row>
    <row r="394" spans="1:55" ht="46" x14ac:dyDescent="0.25">
      <c r="A394" s="82">
        <v>380</v>
      </c>
      <c r="B394" s="64" t="s">
        <v>898</v>
      </c>
      <c r="C394" s="64">
        <v>1066969914</v>
      </c>
      <c r="D394" s="84" t="str">
        <f t="shared" si="5"/>
        <v>https://portal.dnb.de/opac.htm?method=simpleSearch&amp;cqlMode=true&amp;query=idn%3D1066969914</v>
      </c>
      <c r="E394" s="64" t="s">
        <v>899</v>
      </c>
      <c r="F394" s="82" t="s">
        <v>1633</v>
      </c>
      <c r="G394" s="85" t="s">
        <v>1585</v>
      </c>
      <c r="H394" s="82" t="s">
        <v>51</v>
      </c>
      <c r="I394" s="85" t="s">
        <v>90</v>
      </c>
      <c r="J394" s="85" t="s">
        <v>1660</v>
      </c>
      <c r="K394" s="82" t="s">
        <v>67</v>
      </c>
      <c r="L394" s="82" t="s">
        <v>35</v>
      </c>
      <c r="M394" s="82" t="s">
        <v>37</v>
      </c>
      <c r="N394" s="82">
        <v>3</v>
      </c>
      <c r="O394" s="82"/>
      <c r="P394" s="82"/>
      <c r="Q394" s="82"/>
      <c r="R394" s="82"/>
      <c r="S394" s="97"/>
      <c r="T394" s="97"/>
      <c r="X394" s="94"/>
      <c r="Y394" s="95"/>
      <c r="Z394" s="95"/>
      <c r="AA394" s="94"/>
      <c r="AB394" s="94"/>
      <c r="AC394" s="94"/>
      <c r="AD394" s="94"/>
      <c r="AE394" s="94"/>
      <c r="AF394" s="94"/>
      <c r="AS394" s="94"/>
      <c r="AT394" s="94"/>
      <c r="AU394" s="94"/>
      <c r="AV394" s="94"/>
      <c r="BB394" s="108">
        <f>Schäden_Einband!X394+Schäden_Buchblock!AC394</f>
        <v>0</v>
      </c>
      <c r="BC394" s="95"/>
    </row>
    <row r="395" spans="1:55" ht="46" x14ac:dyDescent="0.25">
      <c r="A395" s="82">
        <v>381</v>
      </c>
      <c r="B395" s="64" t="s">
        <v>900</v>
      </c>
      <c r="C395" s="64">
        <v>1066971102</v>
      </c>
      <c r="D395" s="84" t="str">
        <f t="shared" si="5"/>
        <v>https://portal.dnb.de/opac.htm?method=simpleSearch&amp;cqlMode=true&amp;query=idn%3D1066971102</v>
      </c>
      <c r="E395" s="64" t="s">
        <v>901</v>
      </c>
      <c r="F395" s="82" t="s">
        <v>89</v>
      </c>
      <c r="G395" s="85" t="s">
        <v>1584</v>
      </c>
      <c r="H395" s="82" t="s">
        <v>52</v>
      </c>
      <c r="I395" s="85" t="s">
        <v>90</v>
      </c>
      <c r="J395" s="85" t="s">
        <v>1675</v>
      </c>
      <c r="K395" s="82" t="s">
        <v>67</v>
      </c>
      <c r="L395" s="82"/>
      <c r="M395" s="82" t="s">
        <v>101</v>
      </c>
      <c r="N395" s="82">
        <v>2</v>
      </c>
      <c r="O395" s="82"/>
      <c r="P395" s="82"/>
      <c r="Q395" s="82"/>
      <c r="R395" s="82"/>
      <c r="S395" s="97"/>
      <c r="T395" s="97"/>
      <c r="X395" s="94"/>
      <c r="Y395" s="95"/>
      <c r="Z395" s="95"/>
      <c r="AA395" s="94"/>
      <c r="AB395" s="94"/>
      <c r="AC395" s="94"/>
      <c r="AD395" s="94"/>
      <c r="AE395" s="94"/>
      <c r="AF395" s="94"/>
      <c r="AS395" s="94"/>
      <c r="AT395" s="94"/>
      <c r="AU395" s="94"/>
      <c r="AV395" s="94"/>
      <c r="BB395" s="108">
        <f>Schäden_Einband!X395+Schäden_Buchblock!AC395</f>
        <v>0</v>
      </c>
      <c r="BC395" s="95"/>
    </row>
    <row r="396" spans="1:55" ht="23" x14ac:dyDescent="0.25">
      <c r="A396" s="82">
        <v>382</v>
      </c>
      <c r="B396" s="64" t="s">
        <v>902</v>
      </c>
      <c r="C396" s="64">
        <v>1066971358</v>
      </c>
      <c r="D396" s="84" t="str">
        <f t="shared" si="5"/>
        <v>https://portal.dnb.de/opac.htm?method=simpleSearch&amp;cqlMode=true&amp;query=idn%3D1066971358</v>
      </c>
      <c r="E396" s="64" t="s">
        <v>903</v>
      </c>
      <c r="F396" s="82" t="s">
        <v>1633</v>
      </c>
      <c r="G396" s="85" t="s">
        <v>4</v>
      </c>
      <c r="H396" s="82" t="s">
        <v>51</v>
      </c>
      <c r="I396" s="85" t="s">
        <v>90</v>
      </c>
      <c r="J396" s="85" t="s">
        <v>1583</v>
      </c>
      <c r="K396" s="82" t="s">
        <v>67</v>
      </c>
      <c r="L396" s="82" t="s">
        <v>35</v>
      </c>
      <c r="M396" s="82" t="s">
        <v>37</v>
      </c>
      <c r="N396" s="82">
        <v>2</v>
      </c>
      <c r="O396" s="82"/>
      <c r="P396" s="82"/>
      <c r="Q396" s="82"/>
      <c r="R396" s="82"/>
      <c r="S396" s="97"/>
      <c r="T396" s="97"/>
      <c r="X396" s="94"/>
      <c r="Y396" s="95"/>
      <c r="Z396" s="95"/>
      <c r="AA396" s="94"/>
      <c r="AB396" s="94"/>
      <c r="AC396" s="94"/>
      <c r="AD396" s="94"/>
      <c r="AE396" s="94"/>
      <c r="AF396" s="94"/>
      <c r="AS396" s="94"/>
      <c r="AT396" s="94"/>
      <c r="AU396" s="94"/>
      <c r="AV396" s="94"/>
      <c r="BB396" s="108">
        <f>Schäden_Einband!X396+Schäden_Buchblock!AC396</f>
        <v>0</v>
      </c>
      <c r="BC396" s="95"/>
    </row>
    <row r="397" spans="1:55" ht="46" x14ac:dyDescent="0.25">
      <c r="A397" s="82">
        <v>383</v>
      </c>
      <c r="B397" s="64" t="s">
        <v>904</v>
      </c>
      <c r="C397" s="64">
        <v>1066972621</v>
      </c>
      <c r="D397" s="84" t="str">
        <f t="shared" si="5"/>
        <v>https://portal.dnb.de/opac.htm?method=simpleSearch&amp;cqlMode=true&amp;query=idn%3D1066972621</v>
      </c>
      <c r="E397" s="64" t="s">
        <v>905</v>
      </c>
      <c r="F397" s="82"/>
      <c r="G397" s="85" t="s">
        <v>1584</v>
      </c>
      <c r="H397" s="82" t="s">
        <v>52</v>
      </c>
      <c r="I397" s="85" t="s">
        <v>86</v>
      </c>
      <c r="J397" s="85" t="s">
        <v>1655</v>
      </c>
      <c r="K397" s="82" t="s">
        <v>67</v>
      </c>
      <c r="L397" s="82"/>
      <c r="M397" s="82" t="s">
        <v>101</v>
      </c>
      <c r="N397" s="82">
        <v>1</v>
      </c>
      <c r="O397" s="82"/>
      <c r="P397" s="82"/>
      <c r="Q397" s="82"/>
      <c r="R397" s="82"/>
      <c r="S397" s="97"/>
      <c r="T397" s="97"/>
      <c r="X397" s="94"/>
      <c r="Y397" s="95"/>
      <c r="Z397" s="95"/>
      <c r="AA397" s="94"/>
      <c r="AB397" s="94"/>
      <c r="AC397" s="94"/>
      <c r="AD397" s="94"/>
      <c r="AE397" s="94"/>
      <c r="AF397" s="94"/>
      <c r="AS397" s="94"/>
      <c r="AT397" s="94"/>
      <c r="AU397" s="94"/>
      <c r="AV397" s="94"/>
      <c r="BB397" s="108">
        <f>Schäden_Einband!X397+Schäden_Buchblock!AC397</f>
        <v>0</v>
      </c>
      <c r="BC397" s="95"/>
    </row>
    <row r="398" spans="1:55" ht="23" x14ac:dyDescent="0.25">
      <c r="A398" s="82">
        <v>384</v>
      </c>
      <c r="B398" s="64" t="s">
        <v>906</v>
      </c>
      <c r="C398" s="64">
        <v>1066972966</v>
      </c>
      <c r="D398" s="84" t="str">
        <f t="shared" si="5"/>
        <v>https://portal.dnb.de/opac.htm?method=simpleSearch&amp;cqlMode=true&amp;query=idn%3D1066972966</v>
      </c>
      <c r="E398" s="64" t="s">
        <v>907</v>
      </c>
      <c r="F398" s="82" t="s">
        <v>1633</v>
      </c>
      <c r="G398" s="85" t="s">
        <v>4</v>
      </c>
      <c r="H398" s="82" t="s">
        <v>51</v>
      </c>
      <c r="I398" s="85" t="s">
        <v>90</v>
      </c>
      <c r="J398" s="85" t="s">
        <v>1583</v>
      </c>
      <c r="K398" s="82" t="s">
        <v>67</v>
      </c>
      <c r="L398" s="82" t="s">
        <v>35</v>
      </c>
      <c r="M398" s="82" t="s">
        <v>37</v>
      </c>
      <c r="N398" s="82">
        <v>0</v>
      </c>
      <c r="O398" s="82"/>
      <c r="P398" s="82"/>
      <c r="Q398" s="82"/>
      <c r="R398" s="82"/>
      <c r="S398" s="97"/>
      <c r="T398" s="97"/>
      <c r="X398" s="94"/>
      <c r="Y398" s="95"/>
      <c r="Z398" s="95"/>
      <c r="AA398" s="94"/>
      <c r="AB398" s="94"/>
      <c r="AC398" s="94"/>
      <c r="AD398" s="94"/>
      <c r="AE398" s="94"/>
      <c r="AF398" s="94"/>
      <c r="AS398" s="94"/>
      <c r="AT398" s="94"/>
      <c r="AU398" s="94"/>
      <c r="AV398" s="94"/>
      <c r="BB398" s="108">
        <f>Schäden_Einband!X398+Schäden_Buchblock!AC398</f>
        <v>0</v>
      </c>
      <c r="BC398" s="95"/>
    </row>
    <row r="399" spans="1:55" ht="46" x14ac:dyDescent="0.25">
      <c r="A399" s="82">
        <v>385</v>
      </c>
      <c r="B399" s="64" t="s">
        <v>908</v>
      </c>
      <c r="C399" s="64">
        <v>1066973067</v>
      </c>
      <c r="D399" s="84" t="str">
        <f t="shared" si="5"/>
        <v>https://portal.dnb.de/opac.htm?method=simpleSearch&amp;cqlMode=true&amp;query=idn%3D1066973067</v>
      </c>
      <c r="E399" s="64" t="s">
        <v>909</v>
      </c>
      <c r="F399" s="82" t="s">
        <v>89</v>
      </c>
      <c r="G399" s="85" t="s">
        <v>1584</v>
      </c>
      <c r="H399" s="82" t="s">
        <v>53</v>
      </c>
      <c r="I399" s="85" t="s">
        <v>86</v>
      </c>
      <c r="J399" s="85" t="s">
        <v>1586</v>
      </c>
      <c r="K399" s="82" t="s">
        <v>67</v>
      </c>
      <c r="L399" s="82"/>
      <c r="M399" s="82" t="s">
        <v>101</v>
      </c>
      <c r="N399" s="82">
        <v>1</v>
      </c>
      <c r="O399" s="82"/>
      <c r="P399" s="82"/>
      <c r="Q399" s="82"/>
      <c r="R399" s="82"/>
      <c r="S399" s="97"/>
      <c r="T399" s="97"/>
      <c r="X399" s="94"/>
      <c r="Y399" s="95"/>
      <c r="Z399" s="95"/>
      <c r="AA399" s="94"/>
      <c r="AB399" s="94"/>
      <c r="AC399" s="94"/>
      <c r="AD399" s="94"/>
      <c r="AE399" s="94"/>
      <c r="AF399" s="94"/>
      <c r="AS399" s="94"/>
      <c r="AT399" s="94"/>
      <c r="AU399" s="94"/>
      <c r="AV399" s="94"/>
      <c r="BB399" s="108">
        <f>Schäden_Einband!X399+Schäden_Buchblock!AC399</f>
        <v>0</v>
      </c>
      <c r="BC399" s="95"/>
    </row>
    <row r="400" spans="1:55" x14ac:dyDescent="0.25">
      <c r="A400" s="82">
        <v>386</v>
      </c>
      <c r="B400" s="64" t="s">
        <v>910</v>
      </c>
      <c r="C400" s="64" t="s">
        <v>911</v>
      </c>
      <c r="D400" s="84" t="str">
        <f t="shared" ref="D400:D460" si="6">HYPERLINK(CONCATENATE("https://portal.dnb.de/opac.htm?method=simpleSearch&amp;cqlMode=true&amp;query=idn%3D",C400))</f>
        <v>https://portal.dnb.de/opac.htm?method=simpleSearch&amp;cqlMode=true&amp;query=idn%3D106478058X</v>
      </c>
      <c r="E400" s="64" t="s">
        <v>912</v>
      </c>
      <c r="F400" s="82"/>
      <c r="G400" s="85"/>
      <c r="H400" s="82"/>
      <c r="I400" s="85"/>
      <c r="J400" s="85"/>
      <c r="K400" s="82"/>
      <c r="L400" s="82"/>
      <c r="M400" s="82"/>
      <c r="N400" s="82"/>
      <c r="O400" s="82"/>
      <c r="P400" s="82"/>
      <c r="Q400" s="82"/>
      <c r="R400" s="82"/>
      <c r="S400" s="97"/>
      <c r="T400" s="97"/>
      <c r="X400" s="94"/>
      <c r="Y400" s="95"/>
      <c r="Z400" s="95"/>
      <c r="AA400" s="94"/>
      <c r="AB400" s="94"/>
      <c r="AC400" s="94"/>
      <c r="AD400" s="94"/>
      <c r="AE400" s="94"/>
      <c r="AF400" s="94"/>
      <c r="AS400" s="94"/>
      <c r="AT400" s="94"/>
      <c r="AU400" s="94"/>
      <c r="AV400" s="94"/>
      <c r="BB400" s="108">
        <f>Schäden_Einband!X400+Schäden_Buchblock!AC400</f>
        <v>0</v>
      </c>
      <c r="BC400" s="95"/>
    </row>
    <row r="401" spans="1:55" x14ac:dyDescent="0.25">
      <c r="A401" s="82">
        <v>387</v>
      </c>
      <c r="B401" s="64" t="s">
        <v>913</v>
      </c>
      <c r="C401" s="64" t="s">
        <v>914</v>
      </c>
      <c r="D401" s="84" t="str">
        <f t="shared" si="6"/>
        <v>https://portal.dnb.de/opac.htm?method=simpleSearch&amp;cqlMode=true&amp;query=idn%3D106696291X</v>
      </c>
      <c r="E401" s="64" t="s">
        <v>915</v>
      </c>
      <c r="F401" s="82"/>
      <c r="G401" s="85"/>
      <c r="H401" s="82"/>
      <c r="I401" s="85"/>
      <c r="J401" s="85"/>
      <c r="K401" s="82"/>
      <c r="L401" s="82"/>
      <c r="M401" s="82"/>
      <c r="N401" s="82"/>
      <c r="O401" s="82"/>
      <c r="P401" s="82"/>
      <c r="Q401" s="82"/>
      <c r="R401" s="82"/>
      <c r="S401" s="97"/>
      <c r="T401" s="97"/>
      <c r="X401" s="94"/>
      <c r="Y401" s="95"/>
      <c r="Z401" s="95"/>
      <c r="AA401" s="94"/>
      <c r="AB401" s="94"/>
      <c r="AC401" s="94"/>
      <c r="AD401" s="94"/>
      <c r="AE401" s="94"/>
      <c r="AF401" s="94"/>
      <c r="AS401" s="94"/>
      <c r="AT401" s="94"/>
      <c r="AU401" s="94"/>
      <c r="AV401" s="94"/>
      <c r="BB401" s="108">
        <f>Schäden_Einband!X401+Schäden_Buchblock!AC401</f>
        <v>0</v>
      </c>
      <c r="BC401" s="95"/>
    </row>
    <row r="402" spans="1:55" ht="46" x14ac:dyDescent="0.25">
      <c r="A402" s="82">
        <v>388</v>
      </c>
      <c r="B402" s="64" t="s">
        <v>916</v>
      </c>
      <c r="C402" s="64" t="s">
        <v>917</v>
      </c>
      <c r="D402" s="84" t="str">
        <f t="shared" si="6"/>
        <v>https://portal.dnb.de/opac.htm?method=simpleSearch&amp;cqlMode=true&amp;query=idn%3D106697019X</v>
      </c>
      <c r="E402" s="64" t="s">
        <v>918</v>
      </c>
      <c r="F402" s="82" t="s">
        <v>89</v>
      </c>
      <c r="G402" s="85" t="s">
        <v>1584</v>
      </c>
      <c r="H402" s="82" t="s">
        <v>53</v>
      </c>
      <c r="I402" s="85" t="s">
        <v>86</v>
      </c>
      <c r="J402" s="85" t="s">
        <v>1656</v>
      </c>
      <c r="K402" s="82" t="s">
        <v>67</v>
      </c>
      <c r="L402" s="82"/>
      <c r="M402" s="82" t="s">
        <v>101</v>
      </c>
      <c r="N402" s="82">
        <v>1</v>
      </c>
      <c r="O402" s="82"/>
      <c r="P402" s="82" t="s">
        <v>1638</v>
      </c>
      <c r="Q402" s="82"/>
      <c r="R402" s="82"/>
      <c r="S402" s="97"/>
      <c r="T402" s="97"/>
      <c r="X402" s="94"/>
      <c r="Y402" s="95"/>
      <c r="Z402" s="95"/>
      <c r="AA402" s="94"/>
      <c r="AB402" s="94"/>
      <c r="AC402" s="94"/>
      <c r="AD402" s="94"/>
      <c r="AE402" s="94"/>
      <c r="AF402" s="94"/>
      <c r="AS402" s="94"/>
      <c r="AT402" s="94"/>
      <c r="AU402" s="94"/>
      <c r="AV402" s="94"/>
      <c r="BB402" s="108">
        <f>Schäden_Einband!X402+Schäden_Buchblock!AC402</f>
        <v>0</v>
      </c>
      <c r="BC402" s="95"/>
    </row>
    <row r="403" spans="1:55" x14ac:dyDescent="0.25">
      <c r="A403" s="82">
        <v>389</v>
      </c>
      <c r="B403" s="64" t="s">
        <v>919</v>
      </c>
      <c r="C403" s="64">
        <v>1066967350</v>
      </c>
      <c r="D403" s="84" t="str">
        <f t="shared" si="6"/>
        <v>https://portal.dnb.de/opac.htm?method=simpleSearch&amp;cqlMode=true&amp;query=idn%3D1066967350</v>
      </c>
      <c r="E403" s="64" t="s">
        <v>920</v>
      </c>
      <c r="F403" s="82"/>
      <c r="G403" s="85"/>
      <c r="H403" s="82"/>
      <c r="I403" s="85"/>
      <c r="J403" s="85"/>
      <c r="K403" s="82"/>
      <c r="L403" s="82"/>
      <c r="M403" s="82"/>
      <c r="N403" s="82"/>
      <c r="O403" s="82"/>
      <c r="P403" s="82"/>
      <c r="Q403" s="82"/>
      <c r="R403" s="82"/>
      <c r="S403" s="97"/>
      <c r="T403" s="97"/>
      <c r="X403" s="94"/>
      <c r="Y403" s="95"/>
      <c r="Z403" s="95"/>
      <c r="AA403" s="94"/>
      <c r="AB403" s="94"/>
      <c r="AC403" s="94"/>
      <c r="AD403" s="94"/>
      <c r="AE403" s="94"/>
      <c r="AF403" s="94"/>
      <c r="AS403" s="94"/>
      <c r="AT403" s="94"/>
      <c r="AU403" s="94"/>
      <c r="AV403" s="94"/>
      <c r="BB403" s="108">
        <f>Schäden_Einband!X403+Schäden_Buchblock!AC403</f>
        <v>0</v>
      </c>
      <c r="BC403" s="95"/>
    </row>
    <row r="404" spans="1:55" ht="23" x14ac:dyDescent="0.25">
      <c r="A404" s="82">
        <v>390</v>
      </c>
      <c r="B404" s="64" t="s">
        <v>921</v>
      </c>
      <c r="C404" s="64">
        <v>1066969264</v>
      </c>
      <c r="D404" s="84" t="str">
        <f t="shared" si="6"/>
        <v>https://portal.dnb.de/opac.htm?method=simpleSearch&amp;cqlMode=true&amp;query=idn%3D1066969264</v>
      </c>
      <c r="E404" s="64" t="s">
        <v>922</v>
      </c>
      <c r="F404" s="82" t="s">
        <v>89</v>
      </c>
      <c r="G404" s="85" t="s">
        <v>4</v>
      </c>
      <c r="H404" s="82" t="s">
        <v>52</v>
      </c>
      <c r="I404" s="85" t="s">
        <v>90</v>
      </c>
      <c r="J404" s="85" t="s">
        <v>1586</v>
      </c>
      <c r="K404" s="82" t="s">
        <v>67</v>
      </c>
      <c r="L404" s="82"/>
      <c r="M404" s="82" t="s">
        <v>101</v>
      </c>
      <c r="N404" s="82">
        <v>1</v>
      </c>
      <c r="O404" s="82"/>
      <c r="P404" s="82"/>
      <c r="Q404" s="82"/>
      <c r="R404" s="82"/>
      <c r="S404" s="97"/>
      <c r="T404" s="97"/>
      <c r="X404" s="94"/>
      <c r="Y404" s="95"/>
      <c r="Z404" s="95"/>
      <c r="AA404" s="94"/>
      <c r="AB404" s="94"/>
      <c r="AC404" s="94"/>
      <c r="AD404" s="94"/>
      <c r="AE404" s="94"/>
      <c r="AF404" s="94"/>
      <c r="AS404" s="94"/>
      <c r="AT404" s="94"/>
      <c r="AU404" s="94"/>
      <c r="AV404" s="94"/>
      <c r="BB404" s="108">
        <f>Schäden_Einband!X404+Schäden_Buchblock!AC404</f>
        <v>0</v>
      </c>
      <c r="BC404" s="95"/>
    </row>
    <row r="405" spans="1:55" ht="46" x14ac:dyDescent="0.25">
      <c r="A405" s="82">
        <v>391</v>
      </c>
      <c r="B405" s="64" t="s">
        <v>923</v>
      </c>
      <c r="C405" s="64">
        <v>1066971676</v>
      </c>
      <c r="D405" s="84" t="str">
        <f t="shared" si="6"/>
        <v>https://portal.dnb.de/opac.htm?method=simpleSearch&amp;cqlMode=true&amp;query=idn%3D1066971676</v>
      </c>
      <c r="E405" s="64" t="s">
        <v>1657</v>
      </c>
      <c r="F405" s="82"/>
      <c r="G405" s="85" t="s">
        <v>1585</v>
      </c>
      <c r="H405" s="82" t="s">
        <v>51</v>
      </c>
      <c r="I405" s="85" t="s">
        <v>90</v>
      </c>
      <c r="J405" s="85" t="s">
        <v>1658</v>
      </c>
      <c r="K405" s="82" t="s">
        <v>67</v>
      </c>
      <c r="L405" s="82"/>
      <c r="M405" s="82" t="s">
        <v>101</v>
      </c>
      <c r="N405" s="82">
        <v>0</v>
      </c>
      <c r="O405" s="82"/>
      <c r="P405" s="82"/>
      <c r="Q405" s="82"/>
      <c r="R405" s="82"/>
      <c r="S405" s="97"/>
      <c r="T405" s="97"/>
      <c r="X405" s="94"/>
      <c r="Y405" s="95"/>
      <c r="Z405" s="95"/>
      <c r="AA405" s="94"/>
      <c r="AB405" s="94"/>
      <c r="AC405" s="94"/>
      <c r="AD405" s="94"/>
      <c r="AE405" s="94"/>
      <c r="AF405" s="94"/>
      <c r="AS405" s="94"/>
      <c r="AT405" s="94"/>
      <c r="AU405" s="94"/>
      <c r="AV405" s="94"/>
      <c r="BB405" s="108">
        <f>Schäden_Einband!X405+Schäden_Buchblock!AC405</f>
        <v>0</v>
      </c>
      <c r="BC405" s="95"/>
    </row>
    <row r="406" spans="1:55" ht="46" x14ac:dyDescent="0.25">
      <c r="A406" s="82"/>
      <c r="B406" s="64"/>
      <c r="C406" s="64"/>
      <c r="D406" s="84"/>
      <c r="E406" s="64" t="s">
        <v>1659</v>
      </c>
      <c r="F406" s="82" t="s">
        <v>89</v>
      </c>
      <c r="G406" s="85" t="s">
        <v>1585</v>
      </c>
      <c r="H406" s="82" t="s">
        <v>51</v>
      </c>
      <c r="I406" s="85" t="s">
        <v>86</v>
      </c>
      <c r="J406" s="85" t="s">
        <v>1660</v>
      </c>
      <c r="K406" s="82" t="s">
        <v>67</v>
      </c>
      <c r="L406" s="82"/>
      <c r="M406" s="82" t="s">
        <v>101</v>
      </c>
      <c r="N406" s="82">
        <v>2</v>
      </c>
      <c r="O406" s="82"/>
      <c r="P406" s="82"/>
      <c r="Q406" s="82"/>
      <c r="R406" s="82"/>
      <c r="S406" s="97"/>
      <c r="T406" s="97"/>
      <c r="X406" s="94"/>
      <c r="Y406" s="95"/>
      <c r="Z406" s="95"/>
      <c r="AA406" s="94"/>
      <c r="AB406" s="94"/>
      <c r="AC406" s="94"/>
      <c r="AD406" s="94"/>
      <c r="AE406" s="94"/>
      <c r="AF406" s="94"/>
      <c r="AS406" s="94"/>
      <c r="AT406" s="94"/>
      <c r="AU406" s="94"/>
      <c r="AV406" s="94"/>
      <c r="BB406" s="108">
        <f>Schäden_Einband!X406+Schäden_Buchblock!AC406</f>
        <v>0</v>
      </c>
      <c r="BC406" s="95"/>
    </row>
    <row r="407" spans="1:55" ht="23" x14ac:dyDescent="0.25">
      <c r="A407" s="82">
        <v>392</v>
      </c>
      <c r="B407" s="64" t="s">
        <v>924</v>
      </c>
      <c r="C407" s="64">
        <v>1066973032</v>
      </c>
      <c r="D407" s="84" t="str">
        <f t="shared" si="6"/>
        <v>https://portal.dnb.de/opac.htm?method=simpleSearch&amp;cqlMode=true&amp;query=idn%3D1066973032</v>
      </c>
      <c r="E407" s="64" t="s">
        <v>925</v>
      </c>
      <c r="F407" s="82" t="s">
        <v>89</v>
      </c>
      <c r="G407" s="85" t="s">
        <v>3</v>
      </c>
      <c r="H407" s="82" t="s">
        <v>53</v>
      </c>
      <c r="I407" s="85" t="s">
        <v>90</v>
      </c>
      <c r="J407" s="85" t="s">
        <v>1587</v>
      </c>
      <c r="K407" s="82" t="s">
        <v>67</v>
      </c>
      <c r="L407" s="82"/>
      <c r="M407" s="82"/>
      <c r="N407" s="82">
        <v>1</v>
      </c>
      <c r="O407" s="82"/>
      <c r="P407" s="82"/>
      <c r="Q407" s="82"/>
      <c r="R407" s="82"/>
      <c r="S407" s="97"/>
      <c r="T407" s="97"/>
      <c r="X407" s="94"/>
      <c r="Y407" s="95"/>
      <c r="Z407" s="95"/>
      <c r="AA407" s="94"/>
      <c r="AB407" s="94"/>
      <c r="AC407" s="94"/>
      <c r="AD407" s="94"/>
      <c r="AE407" s="94"/>
      <c r="AF407" s="94"/>
      <c r="AS407" s="94"/>
      <c r="AT407" s="94"/>
      <c r="AU407" s="94"/>
      <c r="AV407" s="94"/>
      <c r="BB407" s="108">
        <f>Schäden_Einband!X407+Schäden_Buchblock!AC407</f>
        <v>0</v>
      </c>
      <c r="BC407" s="95"/>
    </row>
    <row r="408" spans="1:55" ht="23" x14ac:dyDescent="0.25">
      <c r="A408" s="82">
        <v>393</v>
      </c>
      <c r="B408" s="64" t="s">
        <v>926</v>
      </c>
      <c r="C408" s="64">
        <v>1066973059</v>
      </c>
      <c r="D408" s="84" t="str">
        <f t="shared" si="6"/>
        <v>https://portal.dnb.de/opac.htm?method=simpleSearch&amp;cqlMode=true&amp;query=idn%3D1066973059</v>
      </c>
      <c r="E408" s="64" t="s">
        <v>1661</v>
      </c>
      <c r="F408" s="82" t="s">
        <v>89</v>
      </c>
      <c r="G408" s="85" t="s">
        <v>3</v>
      </c>
      <c r="H408" s="82" t="s">
        <v>53</v>
      </c>
      <c r="I408" s="85" t="s">
        <v>90</v>
      </c>
      <c r="J408" s="85" t="s">
        <v>1586</v>
      </c>
      <c r="K408" s="82" t="s">
        <v>67</v>
      </c>
      <c r="L408" s="82"/>
      <c r="M408" s="82"/>
      <c r="N408" s="82">
        <v>1</v>
      </c>
      <c r="O408" s="82"/>
      <c r="P408" s="82"/>
      <c r="Q408" s="82"/>
      <c r="R408" s="82"/>
      <c r="S408" s="97"/>
      <c r="T408" s="97"/>
      <c r="X408" s="94"/>
      <c r="Y408" s="95"/>
      <c r="Z408" s="95"/>
      <c r="AA408" s="94"/>
      <c r="AB408" s="94"/>
      <c r="AC408" s="94"/>
      <c r="AD408" s="94"/>
      <c r="AE408" s="94"/>
      <c r="AF408" s="94"/>
      <c r="AS408" s="94"/>
      <c r="AT408" s="94"/>
      <c r="AU408" s="94"/>
      <c r="AV408" s="94"/>
      <c r="BB408" s="108">
        <f>Schäden_Einband!X408+Schäden_Buchblock!AC408</f>
        <v>0</v>
      </c>
      <c r="BC408" s="95"/>
    </row>
    <row r="409" spans="1:55" ht="23" x14ac:dyDescent="0.25">
      <c r="A409" s="82"/>
      <c r="B409" s="64"/>
      <c r="C409" s="64"/>
      <c r="D409" s="84"/>
      <c r="E409" s="64" t="s">
        <v>1662</v>
      </c>
      <c r="F409" s="82" t="s">
        <v>89</v>
      </c>
      <c r="G409" s="85" t="s">
        <v>3</v>
      </c>
      <c r="H409" s="82" t="s">
        <v>53</v>
      </c>
      <c r="I409" s="85" t="s">
        <v>90</v>
      </c>
      <c r="J409" s="85" t="s">
        <v>1587</v>
      </c>
      <c r="K409" s="82" t="s">
        <v>67</v>
      </c>
      <c r="L409" s="82"/>
      <c r="M409" s="82"/>
      <c r="N409" s="82">
        <v>0</v>
      </c>
      <c r="O409" s="82"/>
      <c r="P409" s="82"/>
      <c r="Q409" s="82"/>
      <c r="R409" s="82"/>
      <c r="S409" s="97"/>
      <c r="T409" s="97"/>
      <c r="X409" s="94"/>
      <c r="Y409" s="95"/>
      <c r="Z409" s="95"/>
      <c r="AA409" s="94"/>
      <c r="AB409" s="94"/>
      <c r="AC409" s="94"/>
      <c r="AD409" s="94"/>
      <c r="AE409" s="94"/>
      <c r="AF409" s="94"/>
      <c r="AS409" s="94"/>
      <c r="AT409" s="94"/>
      <c r="AU409" s="94"/>
      <c r="AV409" s="94"/>
      <c r="BB409" s="108">
        <f>Schäden_Einband!X409+Schäden_Buchblock!AC409</f>
        <v>0</v>
      </c>
      <c r="BC409" s="95"/>
    </row>
    <row r="410" spans="1:55" ht="23" x14ac:dyDescent="0.25">
      <c r="A410" s="82">
        <v>394</v>
      </c>
      <c r="B410" s="64" t="s">
        <v>927</v>
      </c>
      <c r="C410" s="64">
        <v>1066973083</v>
      </c>
      <c r="D410" s="84" t="str">
        <f t="shared" si="6"/>
        <v>https://portal.dnb.de/opac.htm?method=simpleSearch&amp;cqlMode=true&amp;query=idn%3D1066973083</v>
      </c>
      <c r="E410" s="64" t="s">
        <v>1663</v>
      </c>
      <c r="F410" s="82" t="s">
        <v>89</v>
      </c>
      <c r="G410" s="85" t="s">
        <v>16</v>
      </c>
      <c r="H410" s="82" t="s">
        <v>53</v>
      </c>
      <c r="I410" s="85" t="s">
        <v>90</v>
      </c>
      <c r="J410" s="85" t="s">
        <v>1587</v>
      </c>
      <c r="K410" s="82" t="s">
        <v>67</v>
      </c>
      <c r="L410" s="82"/>
      <c r="M410" s="82"/>
      <c r="N410" s="82">
        <v>0</v>
      </c>
      <c r="O410" s="82"/>
      <c r="P410" s="82"/>
      <c r="Q410" s="82"/>
      <c r="R410" s="82"/>
      <c r="S410" s="97"/>
      <c r="T410" s="97"/>
      <c r="X410" s="94"/>
      <c r="Y410" s="95"/>
      <c r="Z410" s="95"/>
      <c r="AA410" s="94"/>
      <c r="AB410" s="94"/>
      <c r="AC410" s="94"/>
      <c r="AD410" s="94"/>
      <c r="AE410" s="94"/>
      <c r="AF410" s="94"/>
      <c r="AS410" s="94"/>
      <c r="AT410" s="94"/>
      <c r="AU410" s="94"/>
      <c r="AV410" s="94"/>
      <c r="BB410" s="108">
        <f>Schäden_Einband!X410+Schäden_Buchblock!AC410</f>
        <v>0</v>
      </c>
      <c r="BC410" s="95"/>
    </row>
    <row r="411" spans="1:55" ht="23" x14ac:dyDescent="0.25">
      <c r="A411" s="82"/>
      <c r="B411" s="64"/>
      <c r="C411" s="64"/>
      <c r="D411" s="84"/>
      <c r="E411" s="64" t="s">
        <v>1664</v>
      </c>
      <c r="F411" s="82" t="s">
        <v>89</v>
      </c>
      <c r="G411" s="85" t="s">
        <v>3</v>
      </c>
      <c r="H411" s="82" t="s">
        <v>53</v>
      </c>
      <c r="I411" s="85" t="s">
        <v>90</v>
      </c>
      <c r="J411" s="85" t="s">
        <v>1587</v>
      </c>
      <c r="K411" s="82" t="s">
        <v>67</v>
      </c>
      <c r="L411" s="82"/>
      <c r="M411" s="82"/>
      <c r="N411" s="82">
        <v>0</v>
      </c>
      <c r="O411" s="82"/>
      <c r="P411" s="82"/>
      <c r="Q411" s="82"/>
      <c r="R411" s="82"/>
      <c r="S411" s="97"/>
      <c r="T411" s="97"/>
      <c r="X411" s="94"/>
      <c r="Y411" s="95"/>
      <c r="Z411" s="95"/>
      <c r="AA411" s="94"/>
      <c r="AB411" s="94"/>
      <c r="AC411" s="94"/>
      <c r="AD411" s="94"/>
      <c r="AE411" s="94"/>
      <c r="AF411" s="94"/>
      <c r="AS411" s="94"/>
      <c r="AT411" s="94"/>
      <c r="AU411" s="94"/>
      <c r="AV411" s="94"/>
      <c r="BB411" s="108">
        <f>Schäden_Einband!X411+Schäden_Buchblock!AC411</f>
        <v>0</v>
      </c>
      <c r="BC411" s="95"/>
    </row>
    <row r="412" spans="1:55" ht="46" x14ac:dyDescent="0.25">
      <c r="A412" s="82"/>
      <c r="B412" s="64"/>
      <c r="C412" s="64"/>
      <c r="D412" s="84"/>
      <c r="E412" s="64" t="s">
        <v>1665</v>
      </c>
      <c r="F412" s="82" t="s">
        <v>89</v>
      </c>
      <c r="G412" s="85" t="s">
        <v>1584</v>
      </c>
      <c r="H412" s="82" t="s">
        <v>53</v>
      </c>
      <c r="I412" s="85" t="s">
        <v>86</v>
      </c>
      <c r="J412" s="85" t="s">
        <v>1615</v>
      </c>
      <c r="K412" s="82" t="s">
        <v>67</v>
      </c>
      <c r="L412" s="82"/>
      <c r="M412" s="82"/>
      <c r="N412" s="82">
        <v>1</v>
      </c>
      <c r="O412" s="82"/>
      <c r="P412" s="82"/>
      <c r="Q412" s="82"/>
      <c r="R412" s="82"/>
      <c r="S412" s="97"/>
      <c r="T412" s="97"/>
      <c r="X412" s="94"/>
      <c r="Y412" s="95"/>
      <c r="Z412" s="95"/>
      <c r="AA412" s="94"/>
      <c r="AB412" s="94"/>
      <c r="AC412" s="94"/>
      <c r="AD412" s="94"/>
      <c r="AE412" s="94"/>
      <c r="AF412" s="94"/>
      <c r="AS412" s="94"/>
      <c r="AT412" s="94"/>
      <c r="AU412" s="94"/>
      <c r="AV412" s="94"/>
      <c r="BB412" s="108">
        <f>Schäden_Einband!X412+Schäden_Buchblock!AC412</f>
        <v>0</v>
      </c>
      <c r="BC412" s="95"/>
    </row>
    <row r="413" spans="1:55" ht="46" x14ac:dyDescent="0.25">
      <c r="A413" s="82"/>
      <c r="B413" s="64"/>
      <c r="C413" s="64"/>
      <c r="D413" s="84"/>
      <c r="E413" s="64" t="s">
        <v>1666</v>
      </c>
      <c r="F413" s="82"/>
      <c r="G413" s="85" t="s">
        <v>1584</v>
      </c>
      <c r="H413" s="82" t="s">
        <v>53</v>
      </c>
      <c r="I413" s="85" t="s">
        <v>86</v>
      </c>
      <c r="J413" s="85" t="s">
        <v>1667</v>
      </c>
      <c r="K413" s="82" t="s">
        <v>67</v>
      </c>
      <c r="L413" s="82"/>
      <c r="M413" s="82"/>
      <c r="N413" s="82">
        <v>0</v>
      </c>
      <c r="O413" s="82"/>
      <c r="P413" s="82"/>
      <c r="Q413" s="82"/>
      <c r="R413" s="82"/>
      <c r="S413" s="97"/>
      <c r="T413" s="97"/>
      <c r="X413" s="94"/>
      <c r="Y413" s="95"/>
      <c r="Z413" s="95"/>
      <c r="AA413" s="94"/>
      <c r="AB413" s="94"/>
      <c r="AC413" s="94"/>
      <c r="AD413" s="94"/>
      <c r="AE413" s="94"/>
      <c r="AF413" s="94"/>
      <c r="AS413" s="94"/>
      <c r="AT413" s="94"/>
      <c r="AU413" s="94"/>
      <c r="AV413" s="94"/>
      <c r="BB413" s="108">
        <f>Schäden_Einband!X413+Schäden_Buchblock!AC413</f>
        <v>0</v>
      </c>
      <c r="BC413" s="95"/>
    </row>
    <row r="414" spans="1:55" ht="46" x14ac:dyDescent="0.25">
      <c r="A414" s="82"/>
      <c r="B414" s="64"/>
      <c r="C414" s="64"/>
      <c r="D414" s="84"/>
      <c r="E414" s="64" t="s">
        <v>1668</v>
      </c>
      <c r="F414" s="82" t="s">
        <v>89</v>
      </c>
      <c r="G414" s="85" t="s">
        <v>1584</v>
      </c>
      <c r="H414" s="82" t="s">
        <v>53</v>
      </c>
      <c r="I414" s="85" t="s">
        <v>86</v>
      </c>
      <c r="J414" s="85" t="s">
        <v>1667</v>
      </c>
      <c r="K414" s="82" t="s">
        <v>67</v>
      </c>
      <c r="L414" s="82"/>
      <c r="M414" s="82"/>
      <c r="N414" s="82">
        <v>0</v>
      </c>
      <c r="O414" s="82"/>
      <c r="P414" s="82" t="s">
        <v>1670</v>
      </c>
      <c r="Q414" s="82"/>
      <c r="R414" s="82"/>
      <c r="S414" s="97"/>
      <c r="T414" s="97"/>
      <c r="X414" s="94"/>
      <c r="Y414" s="95"/>
      <c r="Z414" s="95"/>
      <c r="AA414" s="94"/>
      <c r="AB414" s="94"/>
      <c r="AC414" s="94"/>
      <c r="AD414" s="94"/>
      <c r="AE414" s="94"/>
      <c r="AF414" s="94"/>
      <c r="AS414" s="94"/>
      <c r="AT414" s="94"/>
      <c r="AU414" s="94"/>
      <c r="AV414" s="94"/>
      <c r="BB414" s="108">
        <f>Schäden_Einband!X414+Schäden_Buchblock!AC414</f>
        <v>0</v>
      </c>
      <c r="BC414" s="95"/>
    </row>
    <row r="415" spans="1:55" ht="46" x14ac:dyDescent="0.25">
      <c r="A415" s="82"/>
      <c r="B415" s="64"/>
      <c r="C415" s="64"/>
      <c r="D415" s="84"/>
      <c r="E415" s="64" t="s">
        <v>1669</v>
      </c>
      <c r="F415" s="82" t="s">
        <v>89</v>
      </c>
      <c r="G415" s="85" t="s">
        <v>1584</v>
      </c>
      <c r="H415" s="82" t="s">
        <v>53</v>
      </c>
      <c r="I415" s="85" t="s">
        <v>86</v>
      </c>
      <c r="J415" s="85" t="s">
        <v>1667</v>
      </c>
      <c r="K415" s="82" t="s">
        <v>67</v>
      </c>
      <c r="L415" s="82"/>
      <c r="M415" s="82"/>
      <c r="N415" s="82">
        <v>0</v>
      </c>
      <c r="O415" s="82"/>
      <c r="P415" s="82" t="s">
        <v>1670</v>
      </c>
      <c r="Q415" s="82"/>
      <c r="R415" s="82"/>
      <c r="S415" s="97"/>
      <c r="T415" s="97"/>
      <c r="X415" s="94"/>
      <c r="Y415" s="95"/>
      <c r="Z415" s="95"/>
      <c r="AA415" s="94"/>
      <c r="AB415" s="94"/>
      <c r="AC415" s="94"/>
      <c r="AD415" s="94"/>
      <c r="AE415" s="94"/>
      <c r="AF415" s="94"/>
      <c r="AS415" s="94"/>
      <c r="AT415" s="94"/>
      <c r="AU415" s="94"/>
      <c r="AV415" s="94"/>
      <c r="BB415" s="108">
        <f>Schäden_Einband!X415+Schäden_Buchblock!AC415</f>
        <v>0</v>
      </c>
      <c r="BC415" s="95"/>
    </row>
    <row r="416" spans="1:55" x14ac:dyDescent="0.25">
      <c r="A416" s="82">
        <v>395</v>
      </c>
      <c r="B416" s="64" t="s">
        <v>928</v>
      </c>
      <c r="C416" s="64" t="s">
        <v>914</v>
      </c>
      <c r="D416" s="84" t="str">
        <f t="shared" si="6"/>
        <v>https://portal.dnb.de/opac.htm?method=simpleSearch&amp;cqlMode=true&amp;query=idn%3D106696291X</v>
      </c>
      <c r="E416" s="64" t="s">
        <v>929</v>
      </c>
      <c r="F416" s="82"/>
      <c r="G416" s="85"/>
      <c r="H416" s="82"/>
      <c r="I416" s="85"/>
      <c r="J416" s="85"/>
      <c r="K416" s="82"/>
      <c r="L416" s="82"/>
      <c r="M416" s="82"/>
      <c r="N416" s="82"/>
      <c r="O416" s="82"/>
      <c r="P416" s="82"/>
      <c r="Q416" s="82"/>
      <c r="R416" s="82"/>
      <c r="S416" s="97"/>
      <c r="T416" s="97"/>
      <c r="X416" s="94"/>
      <c r="Y416" s="95"/>
      <c r="Z416" s="95"/>
      <c r="AA416" s="94"/>
      <c r="AB416" s="94"/>
      <c r="AC416" s="94"/>
      <c r="AD416" s="94"/>
      <c r="AE416" s="94"/>
      <c r="AF416" s="94"/>
      <c r="AS416" s="94"/>
      <c r="AT416" s="94"/>
      <c r="AU416" s="94"/>
      <c r="AV416" s="94"/>
      <c r="BB416" s="108">
        <f>Schäden_Einband!X416+Schäden_Buchblock!AC416</f>
        <v>0</v>
      </c>
      <c r="BC416" s="95"/>
    </row>
    <row r="417" spans="1:55" x14ac:dyDescent="0.25">
      <c r="A417" s="82">
        <v>396</v>
      </c>
      <c r="B417" s="64" t="s">
        <v>930</v>
      </c>
      <c r="C417" s="64">
        <v>1066968616</v>
      </c>
      <c r="D417" s="84" t="str">
        <f t="shared" si="6"/>
        <v>https://portal.dnb.de/opac.htm?method=simpleSearch&amp;cqlMode=true&amp;query=idn%3D1066968616</v>
      </c>
      <c r="E417" s="64" t="s">
        <v>931</v>
      </c>
      <c r="F417" s="82"/>
      <c r="G417" s="85"/>
      <c r="H417" s="82"/>
      <c r="I417" s="85"/>
      <c r="J417" s="85"/>
      <c r="K417" s="82"/>
      <c r="L417" s="82"/>
      <c r="M417" s="82"/>
      <c r="N417" s="82"/>
      <c r="O417" s="82"/>
      <c r="P417" s="82"/>
      <c r="Q417" s="82"/>
      <c r="R417" s="82"/>
      <c r="S417" s="97"/>
      <c r="T417" s="97"/>
      <c r="X417" s="94"/>
      <c r="Y417" s="95"/>
      <c r="Z417" s="95"/>
      <c r="AA417" s="94"/>
      <c r="AB417" s="94"/>
      <c r="AC417" s="94"/>
      <c r="AD417" s="94"/>
      <c r="AE417" s="94"/>
      <c r="AF417" s="94"/>
      <c r="AS417" s="94"/>
      <c r="AT417" s="94"/>
      <c r="AU417" s="94"/>
      <c r="AV417" s="94"/>
      <c r="BB417" s="108">
        <f>Schäden_Einband!X417+Schäden_Buchblock!AC417</f>
        <v>0</v>
      </c>
      <c r="BC417" s="95"/>
    </row>
    <row r="418" spans="1:55" x14ac:dyDescent="0.25">
      <c r="A418" s="82">
        <v>397</v>
      </c>
      <c r="B418" s="64" t="s">
        <v>932</v>
      </c>
      <c r="C418" s="64">
        <v>1066969558</v>
      </c>
      <c r="D418" s="84" t="str">
        <f t="shared" si="6"/>
        <v>https://portal.dnb.de/opac.htm?method=simpleSearch&amp;cqlMode=true&amp;query=idn%3D1066969558</v>
      </c>
      <c r="E418" s="64" t="s">
        <v>933</v>
      </c>
      <c r="F418" s="82"/>
      <c r="G418" s="85"/>
      <c r="H418" s="82"/>
      <c r="I418" s="85"/>
      <c r="J418" s="85"/>
      <c r="K418" s="82"/>
      <c r="L418" s="82"/>
      <c r="M418" s="82"/>
      <c r="N418" s="82"/>
      <c r="O418" s="82"/>
      <c r="P418" s="82"/>
      <c r="Q418" s="82"/>
      <c r="R418" s="82"/>
      <c r="S418" s="97"/>
      <c r="T418" s="97"/>
      <c r="X418" s="94"/>
      <c r="Y418" s="95"/>
      <c r="Z418" s="95"/>
      <c r="AA418" s="94"/>
      <c r="AB418" s="94"/>
      <c r="AC418" s="94"/>
      <c r="AD418" s="94"/>
      <c r="AE418" s="94"/>
      <c r="AF418" s="94"/>
      <c r="AS418" s="94"/>
      <c r="AT418" s="94"/>
      <c r="AU418" s="94"/>
      <c r="AV418" s="94"/>
      <c r="BB418" s="108">
        <f>Schäden_Einband!X418+Schäden_Buchblock!AC418</f>
        <v>0</v>
      </c>
      <c r="BC418" s="95"/>
    </row>
    <row r="419" spans="1:55" x14ac:dyDescent="0.25">
      <c r="A419" s="82">
        <v>398</v>
      </c>
      <c r="B419" s="64" t="s">
        <v>934</v>
      </c>
      <c r="C419" s="64">
        <v>1066968535</v>
      </c>
      <c r="D419" s="84" t="str">
        <f t="shared" si="6"/>
        <v>https://portal.dnb.de/opac.htm?method=simpleSearch&amp;cqlMode=true&amp;query=idn%3D1066968535</v>
      </c>
      <c r="E419" s="64" t="s">
        <v>935</v>
      </c>
      <c r="F419" s="82"/>
      <c r="G419" s="85"/>
      <c r="H419" s="82"/>
      <c r="I419" s="85"/>
      <c r="J419" s="85"/>
      <c r="K419" s="82"/>
      <c r="L419" s="82"/>
      <c r="M419" s="82"/>
      <c r="N419" s="82"/>
      <c r="O419" s="82"/>
      <c r="P419" s="82"/>
      <c r="Q419" s="82"/>
      <c r="R419" s="82"/>
      <c r="S419" s="97"/>
      <c r="T419" s="97"/>
      <c r="X419" s="94"/>
      <c r="Y419" s="95"/>
      <c r="Z419" s="95"/>
      <c r="AA419" s="94"/>
      <c r="AB419" s="94"/>
      <c r="AC419" s="94"/>
      <c r="AD419" s="94"/>
      <c r="AE419" s="94"/>
      <c r="AF419" s="94"/>
      <c r="AS419" s="94"/>
      <c r="AT419" s="94"/>
      <c r="AU419" s="94"/>
      <c r="AV419" s="94"/>
      <c r="BB419" s="108">
        <f>Schäden_Einband!X419+Schäden_Buchblock!AC419</f>
        <v>0</v>
      </c>
      <c r="BC419" s="95"/>
    </row>
    <row r="420" spans="1:55" x14ac:dyDescent="0.25">
      <c r="A420" s="82">
        <v>399</v>
      </c>
      <c r="B420" s="64" t="s">
        <v>936</v>
      </c>
      <c r="C420" s="64">
        <v>1066970661</v>
      </c>
      <c r="D420" s="84" t="str">
        <f t="shared" si="6"/>
        <v>https://portal.dnb.de/opac.htm?method=simpleSearch&amp;cqlMode=true&amp;query=idn%3D1066970661</v>
      </c>
      <c r="E420" s="64" t="s">
        <v>937</v>
      </c>
      <c r="F420" s="82"/>
      <c r="G420" s="85"/>
      <c r="H420" s="82"/>
      <c r="I420" s="85"/>
      <c r="J420" s="85"/>
      <c r="K420" s="82"/>
      <c r="L420" s="82"/>
      <c r="M420" s="82"/>
      <c r="N420" s="82"/>
      <c r="O420" s="82"/>
      <c r="P420" s="82"/>
      <c r="Q420" s="82"/>
      <c r="R420" s="82"/>
      <c r="S420" s="97"/>
      <c r="T420" s="97"/>
      <c r="X420" s="94"/>
      <c r="Y420" s="95"/>
      <c r="Z420" s="95"/>
      <c r="AA420" s="94"/>
      <c r="AB420" s="94"/>
      <c r="AC420" s="94"/>
      <c r="AD420" s="94"/>
      <c r="AE420" s="94"/>
      <c r="AF420" s="94"/>
      <c r="AS420" s="94"/>
      <c r="AT420" s="94"/>
      <c r="AU420" s="94"/>
      <c r="AV420" s="94"/>
      <c r="BB420" s="108">
        <f>Schäden_Einband!X420+Schäden_Buchblock!AC420</f>
        <v>0</v>
      </c>
      <c r="BC420" s="95"/>
    </row>
    <row r="421" spans="1:55" x14ac:dyDescent="0.25">
      <c r="A421" s="82">
        <v>400</v>
      </c>
      <c r="B421" s="64" t="s">
        <v>938</v>
      </c>
      <c r="C421" s="64">
        <v>1066966257</v>
      </c>
      <c r="D421" s="84" t="str">
        <f t="shared" si="6"/>
        <v>https://portal.dnb.de/opac.htm?method=simpleSearch&amp;cqlMode=true&amp;query=idn%3D1066966257</v>
      </c>
      <c r="E421" s="64" t="s">
        <v>939</v>
      </c>
      <c r="F421" s="82"/>
      <c r="G421" s="85"/>
      <c r="H421" s="82"/>
      <c r="I421" s="85"/>
      <c r="J421" s="85"/>
      <c r="K421" s="82"/>
      <c r="L421" s="82"/>
      <c r="M421" s="82"/>
      <c r="N421" s="82"/>
      <c r="O421" s="82"/>
      <c r="P421" s="82"/>
      <c r="Q421" s="82"/>
      <c r="R421" s="82"/>
      <c r="S421" s="97"/>
      <c r="T421" s="97"/>
      <c r="X421" s="94"/>
      <c r="Y421" s="95"/>
      <c r="Z421" s="95"/>
      <c r="AA421" s="94"/>
      <c r="AB421" s="94"/>
      <c r="AC421" s="94"/>
      <c r="AD421" s="94"/>
      <c r="AE421" s="94"/>
      <c r="AF421" s="94"/>
      <c r="AS421" s="94"/>
      <c r="AT421" s="94"/>
      <c r="AU421" s="94"/>
      <c r="AV421" s="94"/>
      <c r="BB421" s="108">
        <f>Schäden_Einband!X421+Schäden_Buchblock!AC421</f>
        <v>0</v>
      </c>
      <c r="BC421" s="95"/>
    </row>
    <row r="422" spans="1:55" x14ac:dyDescent="0.25">
      <c r="A422" s="82">
        <v>401</v>
      </c>
      <c r="B422" s="64" t="s">
        <v>940</v>
      </c>
      <c r="C422" s="64">
        <v>1066966427</v>
      </c>
      <c r="D422" s="84" t="str">
        <f t="shared" si="6"/>
        <v>https://portal.dnb.de/opac.htm?method=simpleSearch&amp;cqlMode=true&amp;query=idn%3D1066966427</v>
      </c>
      <c r="E422" s="64" t="s">
        <v>941</v>
      </c>
      <c r="F422" s="82"/>
      <c r="G422" s="85"/>
      <c r="H422" s="82"/>
      <c r="I422" s="85"/>
      <c r="J422" s="85"/>
      <c r="K422" s="82"/>
      <c r="L422" s="82"/>
      <c r="M422" s="82"/>
      <c r="N422" s="82"/>
      <c r="O422" s="82"/>
      <c r="P422" s="82"/>
      <c r="Q422" s="82"/>
      <c r="R422" s="82"/>
      <c r="S422" s="97"/>
      <c r="T422" s="97"/>
      <c r="X422" s="94"/>
      <c r="Y422" s="95"/>
      <c r="Z422" s="95"/>
      <c r="AA422" s="94"/>
      <c r="AB422" s="94"/>
      <c r="AC422" s="94"/>
      <c r="AD422" s="94"/>
      <c r="AE422" s="94"/>
      <c r="AF422" s="94"/>
      <c r="AS422" s="94"/>
      <c r="AT422" s="94"/>
      <c r="AU422" s="94"/>
      <c r="AV422" s="94"/>
      <c r="BB422" s="108">
        <f>Schäden_Einband!X422+Schäden_Buchblock!AC422</f>
        <v>0</v>
      </c>
      <c r="BC422" s="95"/>
    </row>
    <row r="423" spans="1:55" ht="23" x14ac:dyDescent="0.25">
      <c r="A423" s="82">
        <v>402</v>
      </c>
      <c r="B423" s="64" t="s">
        <v>942</v>
      </c>
      <c r="C423" s="64">
        <v>1066966958</v>
      </c>
      <c r="D423" s="84" t="str">
        <f t="shared" si="6"/>
        <v>https://portal.dnb.de/opac.htm?method=simpleSearch&amp;cqlMode=true&amp;query=idn%3D1066966958</v>
      </c>
      <c r="E423" s="64" t="s">
        <v>943</v>
      </c>
      <c r="F423" s="82" t="s">
        <v>1633</v>
      </c>
      <c r="G423" s="85" t="s">
        <v>46</v>
      </c>
      <c r="H423" s="82" t="s">
        <v>51</v>
      </c>
      <c r="I423" s="85" t="s">
        <v>90</v>
      </c>
      <c r="J423" s="85" t="s">
        <v>1586</v>
      </c>
      <c r="K423" s="82" t="s">
        <v>67</v>
      </c>
      <c r="L423" s="82" t="s">
        <v>35</v>
      </c>
      <c r="M423" s="82" t="s">
        <v>37</v>
      </c>
      <c r="N423" s="82">
        <v>0</v>
      </c>
      <c r="O423" s="82"/>
      <c r="P423" s="82"/>
      <c r="Q423" s="82"/>
      <c r="R423" s="82"/>
      <c r="S423" s="97"/>
      <c r="T423" s="97"/>
      <c r="X423" s="94"/>
      <c r="Y423" s="95"/>
      <c r="Z423" s="95"/>
      <c r="AA423" s="94"/>
      <c r="AB423" s="94"/>
      <c r="AC423" s="94"/>
      <c r="AD423" s="94"/>
      <c r="AE423" s="94"/>
      <c r="AF423" s="94"/>
      <c r="AS423" s="94"/>
      <c r="AT423" s="94"/>
      <c r="AU423" s="94"/>
      <c r="AV423" s="94"/>
      <c r="BB423" s="108">
        <f>Schäden_Einband!X423+Schäden_Buchblock!AC423</f>
        <v>0</v>
      </c>
      <c r="BC423" s="95"/>
    </row>
    <row r="424" spans="1:55" x14ac:dyDescent="0.25">
      <c r="A424" s="82">
        <v>403</v>
      </c>
      <c r="B424" s="64" t="s">
        <v>944</v>
      </c>
      <c r="C424" s="64">
        <v>1066966990</v>
      </c>
      <c r="D424" s="84" t="str">
        <f t="shared" si="6"/>
        <v>https://portal.dnb.de/opac.htm?method=simpleSearch&amp;cqlMode=true&amp;query=idn%3D1066966990</v>
      </c>
      <c r="E424" s="64" t="s">
        <v>945</v>
      </c>
      <c r="F424" s="82"/>
      <c r="G424" s="85"/>
      <c r="H424" s="82"/>
      <c r="I424" s="85"/>
      <c r="J424" s="85"/>
      <c r="K424" s="82"/>
      <c r="L424" s="82"/>
      <c r="M424" s="82"/>
      <c r="N424" s="82"/>
      <c r="O424" s="82"/>
      <c r="P424" s="82"/>
      <c r="Q424" s="82"/>
      <c r="R424" s="82"/>
      <c r="S424" s="97"/>
      <c r="T424" s="97"/>
      <c r="X424" s="94"/>
      <c r="Y424" s="95"/>
      <c r="Z424" s="95"/>
      <c r="AA424" s="94"/>
      <c r="AB424" s="94"/>
      <c r="AC424" s="94"/>
      <c r="AD424" s="94"/>
      <c r="AE424" s="94"/>
      <c r="AF424" s="94"/>
      <c r="AS424" s="94"/>
      <c r="AT424" s="94"/>
      <c r="AU424" s="94"/>
      <c r="AV424" s="94"/>
      <c r="BB424" s="108">
        <f>Schäden_Einband!X424+Schäden_Buchblock!AC424</f>
        <v>0</v>
      </c>
      <c r="BC424" s="95"/>
    </row>
    <row r="425" spans="1:55" x14ac:dyDescent="0.25">
      <c r="A425" s="82">
        <v>404</v>
      </c>
      <c r="B425" s="64" t="s">
        <v>946</v>
      </c>
      <c r="C425" s="64">
        <v>1066968314</v>
      </c>
      <c r="D425" s="84" t="str">
        <f t="shared" si="6"/>
        <v>https://portal.dnb.de/opac.htm?method=simpleSearch&amp;cqlMode=true&amp;query=idn%3D1066968314</v>
      </c>
      <c r="E425" s="64" t="s">
        <v>947</v>
      </c>
      <c r="F425" s="82"/>
      <c r="G425" s="85"/>
      <c r="H425" s="82"/>
      <c r="I425" s="85"/>
      <c r="J425" s="85"/>
      <c r="K425" s="82"/>
      <c r="L425" s="82"/>
      <c r="M425" s="82"/>
      <c r="N425" s="82"/>
      <c r="O425" s="82"/>
      <c r="P425" s="82"/>
      <c r="Q425" s="82"/>
      <c r="R425" s="82"/>
      <c r="S425" s="97"/>
      <c r="T425" s="97"/>
      <c r="X425" s="94"/>
      <c r="Y425" s="95"/>
      <c r="Z425" s="95"/>
      <c r="AA425" s="94"/>
      <c r="AB425" s="94"/>
      <c r="AC425" s="94"/>
      <c r="AD425" s="94"/>
      <c r="AE425" s="94"/>
      <c r="AF425" s="94"/>
      <c r="AS425" s="94"/>
      <c r="AT425" s="94"/>
      <c r="AU425" s="94"/>
      <c r="AV425" s="94"/>
      <c r="BB425" s="108">
        <f>Schäden_Einband!X425+Schäden_Buchblock!AC425</f>
        <v>0</v>
      </c>
      <c r="BC425" s="95"/>
    </row>
    <row r="426" spans="1:55" x14ac:dyDescent="0.25">
      <c r="A426" s="82">
        <v>405</v>
      </c>
      <c r="B426" s="64" t="s">
        <v>948</v>
      </c>
      <c r="C426" s="64">
        <v>1066968756</v>
      </c>
      <c r="D426" s="84" t="str">
        <f t="shared" si="6"/>
        <v>https://portal.dnb.de/opac.htm?method=simpleSearch&amp;cqlMode=true&amp;query=idn%3D1066968756</v>
      </c>
      <c r="E426" s="64" t="s">
        <v>949</v>
      </c>
      <c r="F426" s="82"/>
      <c r="G426" s="85"/>
      <c r="H426" s="82"/>
      <c r="I426" s="85"/>
      <c r="J426" s="85"/>
      <c r="K426" s="82"/>
      <c r="L426" s="82"/>
      <c r="M426" s="82"/>
      <c r="N426" s="82"/>
      <c r="O426" s="82"/>
      <c r="P426" s="82"/>
      <c r="Q426" s="82"/>
      <c r="R426" s="82"/>
      <c r="S426" s="97"/>
      <c r="T426" s="97"/>
      <c r="X426" s="94"/>
      <c r="Y426" s="95"/>
      <c r="Z426" s="95"/>
      <c r="AA426" s="94"/>
      <c r="AB426" s="94"/>
      <c r="AC426" s="94"/>
      <c r="AD426" s="94"/>
      <c r="AE426" s="94"/>
      <c r="AF426" s="94"/>
      <c r="AS426" s="94"/>
      <c r="AT426" s="94"/>
      <c r="AU426" s="94"/>
      <c r="AV426" s="94"/>
      <c r="BB426" s="108">
        <f>Schäden_Einband!X426+Schäden_Buchblock!AC426</f>
        <v>0</v>
      </c>
      <c r="BC426" s="95"/>
    </row>
    <row r="427" spans="1:55" ht="23" x14ac:dyDescent="0.25">
      <c r="A427" s="82">
        <v>406</v>
      </c>
      <c r="B427" s="64" t="s">
        <v>950</v>
      </c>
      <c r="C427" s="64" t="s">
        <v>951</v>
      </c>
      <c r="D427" s="84" t="str">
        <f t="shared" si="6"/>
        <v>https://portal.dnb.de/opac.htm?method=simpleSearch&amp;cqlMode=true&amp;query=idn%3D106696940X</v>
      </c>
      <c r="E427" s="64" t="s">
        <v>952</v>
      </c>
      <c r="F427" s="82" t="s">
        <v>1633</v>
      </c>
      <c r="G427" s="85" t="s">
        <v>4</v>
      </c>
      <c r="H427" s="82" t="s">
        <v>50</v>
      </c>
      <c r="I427" s="85" t="s">
        <v>86</v>
      </c>
      <c r="J427" s="85" t="s">
        <v>1586</v>
      </c>
      <c r="K427" s="82" t="s">
        <v>67</v>
      </c>
      <c r="L427" s="82" t="s">
        <v>35</v>
      </c>
      <c r="M427" s="82" t="s">
        <v>37</v>
      </c>
      <c r="N427" s="82">
        <v>0</v>
      </c>
      <c r="O427" s="82"/>
      <c r="P427" s="82"/>
      <c r="Q427" s="82"/>
      <c r="R427" s="82"/>
      <c r="S427" s="97"/>
      <c r="T427" s="97"/>
      <c r="X427" s="94"/>
      <c r="Y427" s="95"/>
      <c r="Z427" s="95"/>
      <c r="AA427" s="94"/>
      <c r="AB427" s="94"/>
      <c r="AC427" s="94"/>
      <c r="AD427" s="94"/>
      <c r="AE427" s="94"/>
      <c r="AF427" s="94"/>
      <c r="AS427" s="94"/>
      <c r="AT427" s="94"/>
      <c r="AU427" s="94"/>
      <c r="AV427" s="94"/>
      <c r="BB427" s="108">
        <f>Schäden_Einband!X427+Schäden_Buchblock!AC427</f>
        <v>0</v>
      </c>
      <c r="BC427" s="95"/>
    </row>
    <row r="428" spans="1:55" x14ac:dyDescent="0.25">
      <c r="A428" s="82">
        <v>407</v>
      </c>
      <c r="B428" s="64" t="s">
        <v>953</v>
      </c>
      <c r="C428" s="64" t="s">
        <v>954</v>
      </c>
      <c r="D428" s="84" t="str">
        <f t="shared" si="6"/>
        <v>https://portal.dnb.de/opac.htm?method=simpleSearch&amp;cqlMode=true&amp;query=idn%3D106697067X</v>
      </c>
      <c r="E428" s="64" t="s">
        <v>955</v>
      </c>
      <c r="F428" s="82"/>
      <c r="G428" s="85"/>
      <c r="H428" s="82"/>
      <c r="I428" s="85"/>
      <c r="J428" s="85"/>
      <c r="K428" s="82"/>
      <c r="L428" s="82"/>
      <c r="M428" s="82"/>
      <c r="N428" s="82"/>
      <c r="O428" s="82"/>
      <c r="P428" s="82"/>
      <c r="Q428" s="82"/>
      <c r="R428" s="82"/>
      <c r="S428" s="97"/>
      <c r="T428" s="97"/>
      <c r="X428" s="94"/>
      <c r="Y428" s="95"/>
      <c r="Z428" s="95"/>
      <c r="AA428" s="94"/>
      <c r="AB428" s="94"/>
      <c r="AC428" s="94"/>
      <c r="AD428" s="94"/>
      <c r="AE428" s="94"/>
      <c r="AF428" s="94"/>
      <c r="AS428" s="94"/>
      <c r="AT428" s="94"/>
      <c r="AU428" s="94"/>
      <c r="AV428" s="94"/>
      <c r="BB428" s="108">
        <f>Schäden_Einband!X428+Schäden_Buchblock!AC428</f>
        <v>0</v>
      </c>
      <c r="BC428" s="95"/>
    </row>
    <row r="429" spans="1:55" x14ac:dyDescent="0.25">
      <c r="A429" s="82">
        <v>408</v>
      </c>
      <c r="B429" s="64" t="s">
        <v>956</v>
      </c>
      <c r="C429" s="64">
        <v>1066971536</v>
      </c>
      <c r="D429" s="84" t="str">
        <f t="shared" si="6"/>
        <v>https://portal.dnb.de/opac.htm?method=simpleSearch&amp;cqlMode=true&amp;query=idn%3D1066971536</v>
      </c>
      <c r="E429" s="64" t="s">
        <v>957</v>
      </c>
      <c r="F429" s="82"/>
      <c r="G429" s="85"/>
      <c r="H429" s="82"/>
      <c r="I429" s="85"/>
      <c r="J429" s="85"/>
      <c r="K429" s="82"/>
      <c r="L429" s="82"/>
      <c r="M429" s="82"/>
      <c r="N429" s="82"/>
      <c r="O429" s="82"/>
      <c r="P429" s="82"/>
      <c r="Q429" s="82"/>
      <c r="R429" s="82"/>
      <c r="S429" s="97"/>
      <c r="T429" s="97"/>
      <c r="X429" s="94"/>
      <c r="Y429" s="95"/>
      <c r="Z429" s="95"/>
      <c r="AA429" s="94"/>
      <c r="AB429" s="94"/>
      <c r="AC429" s="94"/>
      <c r="AD429" s="94"/>
      <c r="AE429" s="94"/>
      <c r="AF429" s="94"/>
      <c r="AS429" s="94"/>
      <c r="AT429" s="94"/>
      <c r="AU429" s="94"/>
      <c r="AV429" s="94"/>
      <c r="BB429" s="108">
        <f>Schäden_Einband!X429+Schäden_Buchblock!AC429</f>
        <v>0</v>
      </c>
      <c r="BC429" s="95"/>
    </row>
    <row r="430" spans="1:55" ht="46" x14ac:dyDescent="0.25">
      <c r="A430" s="82">
        <v>409</v>
      </c>
      <c r="B430" s="64" t="s">
        <v>958</v>
      </c>
      <c r="C430" s="64">
        <v>1066965846</v>
      </c>
      <c r="D430" s="84" t="str">
        <f t="shared" si="6"/>
        <v>https://portal.dnb.de/opac.htm?method=simpleSearch&amp;cqlMode=true&amp;query=idn%3D1066965846</v>
      </c>
      <c r="E430" s="64" t="s">
        <v>959</v>
      </c>
      <c r="F430" s="82" t="s">
        <v>1633</v>
      </c>
      <c r="G430" s="85" t="s">
        <v>1584</v>
      </c>
      <c r="H430" s="82" t="s">
        <v>51</v>
      </c>
      <c r="I430" s="85" t="s">
        <v>90</v>
      </c>
      <c r="J430" s="85" t="s">
        <v>1583</v>
      </c>
      <c r="K430" s="82" t="s">
        <v>67</v>
      </c>
      <c r="L430" s="82" t="s">
        <v>35</v>
      </c>
      <c r="M430" s="82" t="s">
        <v>37</v>
      </c>
      <c r="N430" s="82">
        <v>0</v>
      </c>
      <c r="O430" s="82"/>
      <c r="P430" s="82"/>
      <c r="Q430" s="82"/>
      <c r="R430" s="82"/>
      <c r="S430" s="97"/>
      <c r="T430" s="97"/>
      <c r="X430" s="94"/>
      <c r="Y430" s="95"/>
      <c r="Z430" s="95"/>
      <c r="AA430" s="94"/>
      <c r="AB430" s="94"/>
      <c r="AC430" s="94"/>
      <c r="AD430" s="94"/>
      <c r="AE430" s="94"/>
      <c r="AF430" s="94"/>
      <c r="AS430" s="94"/>
      <c r="AT430" s="94"/>
      <c r="AU430" s="94"/>
      <c r="AV430" s="94"/>
      <c r="BB430" s="108">
        <f>Schäden_Einband!X430+Schäden_Buchblock!AC430</f>
        <v>0</v>
      </c>
      <c r="BC430" s="95"/>
    </row>
    <row r="431" spans="1:55" x14ac:dyDescent="0.25">
      <c r="A431" s="82">
        <v>410</v>
      </c>
      <c r="B431" s="64" t="s">
        <v>960</v>
      </c>
      <c r="C431" s="64">
        <v>1066966222</v>
      </c>
      <c r="D431" s="84" t="str">
        <f t="shared" si="6"/>
        <v>https://portal.dnb.de/opac.htm?method=simpleSearch&amp;cqlMode=true&amp;query=idn%3D1066966222</v>
      </c>
      <c r="E431" s="64" t="s">
        <v>961</v>
      </c>
      <c r="F431" s="82"/>
      <c r="G431" s="85"/>
      <c r="H431" s="82"/>
      <c r="I431" s="85"/>
      <c r="J431" s="85"/>
      <c r="K431" s="82"/>
      <c r="L431" s="82"/>
      <c r="M431" s="82"/>
      <c r="N431" s="82"/>
      <c r="O431" s="82"/>
      <c r="P431" s="82"/>
      <c r="Q431" s="82"/>
      <c r="R431" s="82"/>
      <c r="S431" s="97"/>
      <c r="T431" s="97"/>
      <c r="X431" s="94"/>
      <c r="Y431" s="95"/>
      <c r="Z431" s="95"/>
      <c r="AA431" s="94"/>
      <c r="AB431" s="94"/>
      <c r="AC431" s="94"/>
      <c r="AD431" s="94"/>
      <c r="AE431" s="94"/>
      <c r="AF431" s="94"/>
      <c r="AS431" s="94"/>
      <c r="AT431" s="94"/>
      <c r="AU431" s="94"/>
      <c r="AV431" s="94"/>
      <c r="BB431" s="108">
        <f>Schäden_Einband!X431+Schäden_Buchblock!AC431</f>
        <v>0</v>
      </c>
      <c r="BC431" s="95"/>
    </row>
    <row r="432" spans="1:55" ht="23" x14ac:dyDescent="0.25">
      <c r="A432" s="82">
        <v>411</v>
      </c>
      <c r="B432" s="64" t="s">
        <v>962</v>
      </c>
      <c r="C432" s="64">
        <v>1162446471</v>
      </c>
      <c r="D432" s="84" t="str">
        <f t="shared" si="6"/>
        <v>https://portal.dnb.de/opac.htm?method=simpleSearch&amp;cqlMode=true&amp;query=idn%3D1162446471</v>
      </c>
      <c r="E432" s="64" t="s">
        <v>963</v>
      </c>
      <c r="F432" s="82" t="s">
        <v>89</v>
      </c>
      <c r="G432" s="85" t="s">
        <v>4</v>
      </c>
      <c r="H432" s="82" t="s">
        <v>51</v>
      </c>
      <c r="I432" s="85" t="s">
        <v>90</v>
      </c>
      <c r="J432" s="85" t="s">
        <v>1583</v>
      </c>
      <c r="K432" s="82" t="s">
        <v>67</v>
      </c>
      <c r="L432" s="82" t="s">
        <v>35</v>
      </c>
      <c r="M432" s="82" t="s">
        <v>37</v>
      </c>
      <c r="N432" s="82">
        <v>1</v>
      </c>
      <c r="O432" s="82"/>
      <c r="P432" s="82"/>
      <c r="Q432" s="82"/>
      <c r="R432" s="82"/>
      <c r="S432" s="97"/>
      <c r="T432" s="97"/>
      <c r="X432" s="94"/>
      <c r="Y432" s="95"/>
      <c r="Z432" s="95"/>
      <c r="AA432" s="94"/>
      <c r="AB432" s="94"/>
      <c r="AC432" s="94"/>
      <c r="AD432" s="94"/>
      <c r="AE432" s="94"/>
      <c r="AF432" s="94"/>
      <c r="AS432" s="94"/>
      <c r="AT432" s="94"/>
      <c r="AU432" s="94"/>
      <c r="AV432" s="94"/>
      <c r="BB432" s="108">
        <f>Schäden_Einband!X432+Schäden_Buchblock!AC432</f>
        <v>0</v>
      </c>
      <c r="BC432" s="95"/>
    </row>
    <row r="433" spans="1:55" x14ac:dyDescent="0.25">
      <c r="A433" s="82">
        <v>412</v>
      </c>
      <c r="B433" s="64" t="s">
        <v>964</v>
      </c>
      <c r="C433" s="64">
        <v>1066969027</v>
      </c>
      <c r="D433" s="84" t="str">
        <f t="shared" si="6"/>
        <v>https://portal.dnb.de/opac.htm?method=simpleSearch&amp;cqlMode=true&amp;query=idn%3D1066969027</v>
      </c>
      <c r="E433" s="64" t="s">
        <v>965</v>
      </c>
      <c r="F433" s="82"/>
      <c r="G433" s="85"/>
      <c r="H433" s="82"/>
      <c r="I433" s="85"/>
      <c r="J433" s="85"/>
      <c r="K433" s="82"/>
      <c r="L433" s="82"/>
      <c r="M433" s="82"/>
      <c r="N433" s="82"/>
      <c r="O433" s="82"/>
      <c r="P433" s="82"/>
      <c r="Q433" s="82"/>
      <c r="R433" s="82"/>
      <c r="S433" s="97"/>
      <c r="T433" s="97"/>
      <c r="X433" s="94"/>
      <c r="Y433" s="95"/>
      <c r="Z433" s="95"/>
      <c r="AA433" s="94"/>
      <c r="AB433" s="94"/>
      <c r="AC433" s="94"/>
      <c r="AD433" s="94"/>
      <c r="AE433" s="94"/>
      <c r="AF433" s="94"/>
      <c r="AS433" s="94"/>
      <c r="AT433" s="94"/>
      <c r="AU433" s="94"/>
      <c r="AV433" s="94"/>
      <c r="BB433" s="108">
        <f>Schäden_Einband!X433+Schäden_Buchblock!AC433</f>
        <v>0</v>
      </c>
      <c r="BC433" s="95"/>
    </row>
    <row r="434" spans="1:55" ht="23" x14ac:dyDescent="0.25">
      <c r="A434" s="82">
        <v>413</v>
      </c>
      <c r="B434" s="64" t="s">
        <v>966</v>
      </c>
      <c r="C434" s="64">
        <v>1066971420</v>
      </c>
      <c r="D434" s="84" t="str">
        <f t="shared" si="6"/>
        <v>https://portal.dnb.de/opac.htm?method=simpleSearch&amp;cqlMode=true&amp;query=idn%3D1066971420</v>
      </c>
      <c r="E434" s="64" t="s">
        <v>967</v>
      </c>
      <c r="F434" s="82" t="s">
        <v>89</v>
      </c>
      <c r="G434" s="85" t="s">
        <v>4</v>
      </c>
      <c r="H434" s="82" t="s">
        <v>51</v>
      </c>
      <c r="I434" s="85" t="s">
        <v>90</v>
      </c>
      <c r="J434" s="85" t="s">
        <v>1586</v>
      </c>
      <c r="K434" s="82" t="s">
        <v>67</v>
      </c>
      <c r="L434" s="82" t="s">
        <v>35</v>
      </c>
      <c r="M434" s="82" t="s">
        <v>37</v>
      </c>
      <c r="N434" s="82">
        <v>0</v>
      </c>
      <c r="O434" s="82"/>
      <c r="P434" s="82"/>
      <c r="Q434" s="82"/>
      <c r="R434" s="82"/>
      <c r="S434" s="97"/>
      <c r="T434" s="97"/>
      <c r="X434" s="94"/>
      <c r="Y434" s="95"/>
      <c r="Z434" s="95"/>
      <c r="AA434" s="94"/>
      <c r="AB434" s="94"/>
      <c r="AC434" s="94"/>
      <c r="AD434" s="94"/>
      <c r="AE434" s="94"/>
      <c r="AF434" s="94"/>
      <c r="AS434" s="94"/>
      <c r="AT434" s="94"/>
      <c r="AU434" s="94"/>
      <c r="AV434" s="94"/>
      <c r="BB434" s="108">
        <f>Schäden_Einband!X434+Schäden_Buchblock!AC434</f>
        <v>0</v>
      </c>
      <c r="BC434" s="95"/>
    </row>
    <row r="435" spans="1:55" ht="23" x14ac:dyDescent="0.25">
      <c r="A435" s="82">
        <v>414</v>
      </c>
      <c r="B435" s="64" t="s">
        <v>968</v>
      </c>
      <c r="C435" s="64">
        <v>1066971099</v>
      </c>
      <c r="D435" s="84" t="str">
        <f t="shared" si="6"/>
        <v>https://portal.dnb.de/opac.htm?method=simpleSearch&amp;cqlMode=true&amp;query=idn%3D1066971099</v>
      </c>
      <c r="E435" s="64" t="s">
        <v>969</v>
      </c>
      <c r="F435" s="82" t="s">
        <v>89</v>
      </c>
      <c r="G435" s="85" t="s">
        <v>4</v>
      </c>
      <c r="H435" s="82" t="s">
        <v>51</v>
      </c>
      <c r="I435" s="85" t="s">
        <v>90</v>
      </c>
      <c r="J435" s="85" t="s">
        <v>1587</v>
      </c>
      <c r="K435" s="82" t="s">
        <v>67</v>
      </c>
      <c r="L435" s="82" t="s">
        <v>35</v>
      </c>
      <c r="M435" s="82" t="s">
        <v>37</v>
      </c>
      <c r="N435" s="82">
        <v>0</v>
      </c>
      <c r="O435" s="82"/>
      <c r="P435" s="82" t="s">
        <v>1700</v>
      </c>
      <c r="Q435" s="82"/>
      <c r="R435" s="82"/>
      <c r="S435" s="97"/>
      <c r="T435" s="97"/>
      <c r="X435" s="94"/>
      <c r="Y435" s="95"/>
      <c r="Z435" s="95"/>
      <c r="AA435" s="94"/>
      <c r="AB435" s="94"/>
      <c r="AC435" s="94"/>
      <c r="AD435" s="94"/>
      <c r="AE435" s="94"/>
      <c r="AF435" s="94"/>
      <c r="AS435" s="94"/>
      <c r="AT435" s="94"/>
      <c r="AU435" s="94"/>
      <c r="AV435" s="94"/>
      <c r="BB435" s="108">
        <f>Schäden_Einband!X435+Schäden_Buchblock!AC435</f>
        <v>0</v>
      </c>
      <c r="BC435" s="95"/>
    </row>
    <row r="436" spans="1:55" x14ac:dyDescent="0.25">
      <c r="A436" s="82">
        <v>415</v>
      </c>
      <c r="B436" s="64" t="s">
        <v>970</v>
      </c>
      <c r="C436" s="64">
        <v>1066972567</v>
      </c>
      <c r="D436" s="84" t="str">
        <f t="shared" si="6"/>
        <v>https://portal.dnb.de/opac.htm?method=simpleSearch&amp;cqlMode=true&amp;query=idn%3D1066972567</v>
      </c>
      <c r="E436" s="64" t="s">
        <v>971</v>
      </c>
      <c r="F436" s="82"/>
      <c r="G436" s="85"/>
      <c r="H436" s="82"/>
      <c r="I436" s="85"/>
      <c r="J436" s="85"/>
      <c r="K436" s="82"/>
      <c r="L436" s="82"/>
      <c r="M436" s="82"/>
      <c r="N436" s="82"/>
      <c r="O436" s="82"/>
      <c r="P436" s="82"/>
      <c r="Q436" s="82"/>
      <c r="R436" s="82"/>
      <c r="S436" s="97"/>
      <c r="T436" s="97"/>
      <c r="X436" s="94"/>
      <c r="Y436" s="95"/>
      <c r="Z436" s="95"/>
      <c r="AA436" s="94"/>
      <c r="AB436" s="94"/>
      <c r="AC436" s="94"/>
      <c r="AD436" s="94"/>
      <c r="AE436" s="94"/>
      <c r="AF436" s="94"/>
      <c r="AS436" s="94"/>
      <c r="AT436" s="94"/>
      <c r="AU436" s="94"/>
      <c r="AV436" s="94"/>
      <c r="BB436" s="108">
        <f>Schäden_Einband!X436+Schäden_Buchblock!AC436</f>
        <v>0</v>
      </c>
      <c r="BC436" s="95"/>
    </row>
    <row r="437" spans="1:55" x14ac:dyDescent="0.25">
      <c r="A437" s="82">
        <v>416</v>
      </c>
      <c r="B437" s="64" t="s">
        <v>972</v>
      </c>
      <c r="C437" s="64">
        <v>1066966168</v>
      </c>
      <c r="D437" s="84" t="str">
        <f t="shared" si="6"/>
        <v>https://portal.dnb.de/opac.htm?method=simpleSearch&amp;cqlMode=true&amp;query=idn%3D1066966168</v>
      </c>
      <c r="E437" s="64" t="s">
        <v>973</v>
      </c>
      <c r="F437" s="82"/>
      <c r="G437" s="85"/>
      <c r="H437" s="82"/>
      <c r="I437" s="85"/>
      <c r="J437" s="85"/>
      <c r="K437" s="82"/>
      <c r="L437" s="82"/>
      <c r="M437" s="82"/>
      <c r="N437" s="82"/>
      <c r="O437" s="82"/>
      <c r="P437" s="82"/>
      <c r="Q437" s="82"/>
      <c r="R437" s="82"/>
      <c r="S437" s="97"/>
      <c r="T437" s="97"/>
      <c r="X437" s="94"/>
      <c r="Y437" s="95"/>
      <c r="Z437" s="95"/>
      <c r="AA437" s="94"/>
      <c r="AB437" s="94"/>
      <c r="AC437" s="94"/>
      <c r="AD437" s="94"/>
      <c r="AE437" s="94"/>
      <c r="AF437" s="94"/>
      <c r="AS437" s="94"/>
      <c r="AT437" s="94"/>
      <c r="AU437" s="94"/>
      <c r="AV437" s="94"/>
      <c r="BB437" s="108">
        <f>Schäden_Einband!X437+Schäden_Buchblock!AC437</f>
        <v>0</v>
      </c>
      <c r="BC437" s="95"/>
    </row>
    <row r="438" spans="1:55" x14ac:dyDescent="0.25">
      <c r="A438" s="82">
        <v>417</v>
      </c>
      <c r="B438" s="64" t="s">
        <v>974</v>
      </c>
      <c r="C438" s="64">
        <v>1066964769</v>
      </c>
      <c r="D438" s="84" t="str">
        <f t="shared" si="6"/>
        <v>https://portal.dnb.de/opac.htm?method=simpleSearch&amp;cqlMode=true&amp;query=idn%3D1066964769</v>
      </c>
      <c r="E438" s="64" t="s">
        <v>975</v>
      </c>
      <c r="F438" s="82"/>
      <c r="G438" s="85"/>
      <c r="H438" s="82"/>
      <c r="I438" s="85"/>
      <c r="J438" s="85"/>
      <c r="K438" s="82"/>
      <c r="L438" s="82"/>
      <c r="M438" s="82"/>
      <c r="N438" s="82"/>
      <c r="O438" s="82"/>
      <c r="P438" s="82"/>
      <c r="Q438" s="82"/>
      <c r="R438" s="82"/>
      <c r="S438" s="97"/>
      <c r="T438" s="97"/>
      <c r="X438" s="94"/>
      <c r="Y438" s="95"/>
      <c r="Z438" s="95"/>
      <c r="AA438" s="94"/>
      <c r="AB438" s="94"/>
      <c r="AC438" s="94"/>
      <c r="AD438" s="94"/>
      <c r="AE438" s="94"/>
      <c r="AF438" s="94"/>
      <c r="AS438" s="94"/>
      <c r="AT438" s="94"/>
      <c r="AU438" s="94"/>
      <c r="AV438" s="94"/>
      <c r="BB438" s="108">
        <f>Schäden_Einband!X438+Schäden_Buchblock!AC438</f>
        <v>0</v>
      </c>
      <c r="BC438" s="95"/>
    </row>
    <row r="439" spans="1:55" ht="23" x14ac:dyDescent="0.25">
      <c r="A439" s="82">
        <v>418</v>
      </c>
      <c r="B439" s="64" t="s">
        <v>976</v>
      </c>
      <c r="C439" s="64">
        <v>1066969329</v>
      </c>
      <c r="D439" s="84" t="str">
        <f>HYPERLINK(CONCATENATE("https://portal.dnb.de/opac.htm?method=simpleSearch&amp;cqlMode=true&amp;query=idn%3D",C439))</f>
        <v>https://portal.dnb.de/opac.htm?method=simpleSearch&amp;cqlMode=true&amp;query=idn%3D1066969329</v>
      </c>
      <c r="E439" s="64" t="s">
        <v>977</v>
      </c>
      <c r="F439" s="82" t="s">
        <v>89</v>
      </c>
      <c r="G439" s="85" t="s">
        <v>45</v>
      </c>
      <c r="H439" s="82" t="s">
        <v>51</v>
      </c>
      <c r="I439" s="85" t="s">
        <v>90</v>
      </c>
      <c r="J439" s="85" t="s">
        <v>81</v>
      </c>
      <c r="K439" s="82"/>
      <c r="L439" s="82" t="s">
        <v>35</v>
      </c>
      <c r="M439" s="82" t="s">
        <v>37</v>
      </c>
      <c r="N439" s="82">
        <v>0</v>
      </c>
      <c r="O439" s="82"/>
      <c r="P439" s="82"/>
      <c r="Q439" s="82"/>
      <c r="R439" s="82"/>
      <c r="S439" s="97"/>
      <c r="T439" s="97"/>
      <c r="X439" s="94"/>
      <c r="Y439" s="95"/>
      <c r="Z439" s="95"/>
      <c r="AA439" s="94"/>
      <c r="AB439" s="94"/>
      <c r="AC439" s="94"/>
      <c r="AD439" s="94"/>
      <c r="AE439" s="94"/>
      <c r="AF439" s="94"/>
      <c r="AS439" s="94"/>
      <c r="AT439" s="94"/>
      <c r="AU439" s="94"/>
      <c r="AV439" s="94"/>
      <c r="BB439" s="108">
        <f>Schäden_Einband!X439+Schäden_Buchblock!AC439</f>
        <v>0</v>
      </c>
      <c r="BC439" s="95"/>
    </row>
    <row r="440" spans="1:55" x14ac:dyDescent="0.25">
      <c r="A440" s="82">
        <v>419</v>
      </c>
      <c r="B440" s="64" t="s">
        <v>978</v>
      </c>
      <c r="C440" s="64">
        <v>1072064456</v>
      </c>
      <c r="D440" s="84" t="str">
        <f t="shared" si="6"/>
        <v>https://portal.dnb.de/opac.htm?method=simpleSearch&amp;cqlMode=true&amp;query=idn%3D1072064456</v>
      </c>
      <c r="E440" s="64" t="s">
        <v>979</v>
      </c>
      <c r="F440" s="82"/>
      <c r="G440" s="85"/>
      <c r="H440" s="82"/>
      <c r="I440" s="85"/>
      <c r="J440" s="85"/>
      <c r="K440" s="82"/>
      <c r="L440" s="82"/>
      <c r="M440" s="82"/>
      <c r="N440" s="82"/>
      <c r="O440" s="82"/>
      <c r="P440" s="82"/>
      <c r="Q440" s="82"/>
      <c r="R440" s="82"/>
      <c r="S440" s="97"/>
      <c r="T440" s="97"/>
      <c r="X440" s="94"/>
      <c r="Y440" s="95"/>
      <c r="Z440" s="95"/>
      <c r="AA440" s="94"/>
      <c r="AB440" s="94"/>
      <c r="AC440" s="94"/>
      <c r="AD440" s="94"/>
      <c r="AE440" s="94"/>
      <c r="AF440" s="94"/>
      <c r="AS440" s="94"/>
      <c r="AT440" s="94"/>
      <c r="AU440" s="94"/>
      <c r="AV440" s="94"/>
      <c r="BB440" s="108">
        <f>Schäden_Einband!X440+Schäden_Buchblock!AC440</f>
        <v>0</v>
      </c>
      <c r="BC440" s="95"/>
    </row>
    <row r="441" spans="1:55" ht="23" x14ac:dyDescent="0.25">
      <c r="A441" s="82">
        <v>420</v>
      </c>
      <c r="B441" s="64" t="s">
        <v>980</v>
      </c>
      <c r="C441" s="64">
        <v>1066971242</v>
      </c>
      <c r="D441" s="84" t="str">
        <f>HYPERLINK(CONCATENATE("https://portal.dnb.de/opac.htm?method=simpleSearch&amp;cqlMode=true&amp;query=idn%3D",C441))</f>
        <v>https://portal.dnb.de/opac.htm?method=simpleSearch&amp;cqlMode=true&amp;query=idn%3D1066971242</v>
      </c>
      <c r="E441" s="64" t="s">
        <v>981</v>
      </c>
      <c r="F441" s="82" t="s">
        <v>89</v>
      </c>
      <c r="G441" s="85" t="s">
        <v>4</v>
      </c>
      <c r="H441" s="82" t="s">
        <v>51</v>
      </c>
      <c r="I441" s="85" t="s">
        <v>90</v>
      </c>
      <c r="J441" s="85" t="s">
        <v>1587</v>
      </c>
      <c r="K441" s="82" t="s">
        <v>67</v>
      </c>
      <c r="L441" s="82" t="s">
        <v>35</v>
      </c>
      <c r="M441" s="82" t="s">
        <v>37</v>
      </c>
      <c r="N441" s="82">
        <v>0</v>
      </c>
      <c r="O441" s="82"/>
      <c r="P441" s="82"/>
      <c r="Q441" s="82"/>
      <c r="R441" s="82"/>
      <c r="S441" s="97"/>
      <c r="T441" s="97"/>
      <c r="X441" s="94"/>
      <c r="Y441" s="95"/>
      <c r="Z441" s="95"/>
      <c r="AA441" s="94"/>
      <c r="AB441" s="94"/>
      <c r="AC441" s="94"/>
      <c r="AD441" s="94"/>
      <c r="AE441" s="94"/>
      <c r="AF441" s="94"/>
      <c r="AS441" s="94"/>
      <c r="AT441" s="94"/>
      <c r="AU441" s="94"/>
      <c r="AV441" s="94"/>
      <c r="BB441" s="108">
        <f>Schäden_Einband!X441+Schäden_Buchblock!AC441</f>
        <v>0</v>
      </c>
      <c r="BC441" s="95"/>
    </row>
    <row r="442" spans="1:55" ht="46" x14ac:dyDescent="0.25">
      <c r="A442" s="82">
        <v>421</v>
      </c>
      <c r="B442" s="64" t="s">
        <v>982</v>
      </c>
      <c r="C442" s="64">
        <v>1066965749</v>
      </c>
      <c r="D442" s="84" t="str">
        <f t="shared" si="6"/>
        <v>https://portal.dnb.de/opac.htm?method=simpleSearch&amp;cqlMode=true&amp;query=idn%3D1066965749</v>
      </c>
      <c r="E442" s="64" t="s">
        <v>983</v>
      </c>
      <c r="F442" s="82" t="s">
        <v>89</v>
      </c>
      <c r="G442" s="85" t="s">
        <v>1677</v>
      </c>
      <c r="H442" s="82" t="s">
        <v>51</v>
      </c>
      <c r="I442" s="85" t="s">
        <v>55</v>
      </c>
      <c r="J442" s="85" t="s">
        <v>1586</v>
      </c>
      <c r="K442" s="82" t="s">
        <v>67</v>
      </c>
      <c r="L442" s="82" t="s">
        <v>35</v>
      </c>
      <c r="M442" s="82" t="s">
        <v>37</v>
      </c>
      <c r="N442" s="82">
        <v>0</v>
      </c>
      <c r="O442" s="82"/>
      <c r="P442" s="82"/>
      <c r="Q442" s="82"/>
      <c r="R442" s="82"/>
      <c r="S442" s="97"/>
      <c r="T442" s="97"/>
      <c r="X442" s="94"/>
      <c r="Y442" s="95"/>
      <c r="Z442" s="95"/>
      <c r="AA442" s="94"/>
      <c r="AB442" s="94"/>
      <c r="AC442" s="94"/>
      <c r="AD442" s="94"/>
      <c r="AE442" s="94"/>
      <c r="AF442" s="94"/>
      <c r="AS442" s="94"/>
      <c r="AT442" s="94"/>
      <c r="AU442" s="94"/>
      <c r="AV442" s="94"/>
      <c r="BB442" s="108">
        <f>Schäden_Einband!X442+Schäden_Buchblock!AC442</f>
        <v>0</v>
      </c>
      <c r="BC442" s="95"/>
    </row>
    <row r="443" spans="1:55" ht="46" x14ac:dyDescent="0.25">
      <c r="A443" s="82">
        <v>422</v>
      </c>
      <c r="B443" s="64" t="s">
        <v>984</v>
      </c>
      <c r="C443" s="64">
        <v>1066969124</v>
      </c>
      <c r="D443" s="84" t="str">
        <f>HYPERLINK(CONCATENATE("https://portal.dnb.de/opac.htm?method=simpleSearch&amp;cqlMode=true&amp;query=idn%3D",C443))</f>
        <v>https://portal.dnb.de/opac.htm?method=simpleSearch&amp;cqlMode=true&amp;query=idn%3D1066969124</v>
      </c>
      <c r="E443" s="64" t="s">
        <v>985</v>
      </c>
      <c r="F443" s="82" t="s">
        <v>89</v>
      </c>
      <c r="G443" s="85" t="s">
        <v>1584</v>
      </c>
      <c r="H443" s="82" t="s">
        <v>51</v>
      </c>
      <c r="I443" s="85" t="s">
        <v>90</v>
      </c>
      <c r="J443" s="85" t="s">
        <v>1586</v>
      </c>
      <c r="K443" s="82" t="s">
        <v>67</v>
      </c>
      <c r="L443" s="82" t="s">
        <v>35</v>
      </c>
      <c r="M443" s="82" t="s">
        <v>37</v>
      </c>
      <c r="N443" s="82">
        <v>2</v>
      </c>
      <c r="O443" s="82"/>
      <c r="P443" s="82" t="s">
        <v>1702</v>
      </c>
      <c r="Q443" s="82"/>
      <c r="R443" s="82"/>
      <c r="S443" s="97"/>
      <c r="T443" s="97"/>
      <c r="X443" s="94"/>
      <c r="Y443" s="95"/>
      <c r="Z443" s="95"/>
      <c r="AA443" s="94"/>
      <c r="AB443" s="94"/>
      <c r="AC443" s="94"/>
      <c r="AD443" s="94"/>
      <c r="AE443" s="94"/>
      <c r="AF443" s="94"/>
      <c r="AS443" s="94"/>
      <c r="AT443" s="94"/>
      <c r="AU443" s="94"/>
      <c r="AV443" s="94"/>
      <c r="BB443" s="108">
        <f>Schäden_Einband!X443+Schäden_Buchblock!AC443</f>
        <v>0</v>
      </c>
      <c r="BC443" s="95"/>
    </row>
    <row r="444" spans="1:55" ht="23" x14ac:dyDescent="0.25">
      <c r="A444" s="82">
        <v>423</v>
      </c>
      <c r="B444" s="64" t="s">
        <v>986</v>
      </c>
      <c r="C444" s="64">
        <v>1084608782</v>
      </c>
      <c r="D444" s="84" t="str">
        <f>HYPERLINK(CONCATENATE("https://portal.dnb.de/opac.htm?method=simpleSearch&amp;cqlMode=true&amp;query=idn%3D",C444))</f>
        <v>https://portal.dnb.de/opac.htm?method=simpleSearch&amp;cqlMode=true&amp;query=idn%3D1084608782</v>
      </c>
      <c r="E444" s="64" t="s">
        <v>987</v>
      </c>
      <c r="F444" s="82" t="s">
        <v>89</v>
      </c>
      <c r="G444" s="85" t="s">
        <v>4</v>
      </c>
      <c r="H444" s="82" t="s">
        <v>51</v>
      </c>
      <c r="I444" s="85" t="s">
        <v>55</v>
      </c>
      <c r="J444" s="85" t="s">
        <v>1583</v>
      </c>
      <c r="K444" s="82" t="s">
        <v>67</v>
      </c>
      <c r="L444" s="82" t="s">
        <v>35</v>
      </c>
      <c r="M444" s="82" t="s">
        <v>37</v>
      </c>
      <c r="N444" s="82">
        <v>1</v>
      </c>
      <c r="O444" s="82"/>
      <c r="P444" s="82"/>
      <c r="Q444" s="82"/>
      <c r="R444" s="82"/>
      <c r="S444" s="97"/>
      <c r="T444" s="97"/>
      <c r="X444" s="94"/>
      <c r="Y444" s="95"/>
      <c r="Z444" s="95"/>
      <c r="AA444" s="94"/>
      <c r="AB444" s="94"/>
      <c r="AC444" s="94"/>
      <c r="AD444" s="94"/>
      <c r="AE444" s="94"/>
      <c r="AF444" s="94"/>
      <c r="AS444" s="94"/>
      <c r="AT444" s="94"/>
      <c r="AU444" s="94"/>
      <c r="AV444" s="94"/>
      <c r="BB444" s="108">
        <f>Schäden_Einband!X444+Schäden_Buchblock!AC444</f>
        <v>0</v>
      </c>
      <c r="BC444" s="95"/>
    </row>
    <row r="445" spans="1:55" x14ac:dyDescent="0.25">
      <c r="A445" s="82">
        <v>424</v>
      </c>
      <c r="B445" s="64" t="s">
        <v>988</v>
      </c>
      <c r="C445" s="64">
        <v>1066964637</v>
      </c>
      <c r="D445" s="84" t="str">
        <f t="shared" si="6"/>
        <v>https://portal.dnb.de/opac.htm?method=simpleSearch&amp;cqlMode=true&amp;query=idn%3D1066964637</v>
      </c>
      <c r="E445" s="64" t="s">
        <v>989</v>
      </c>
      <c r="F445" s="82"/>
      <c r="G445" s="85"/>
      <c r="H445" s="82"/>
      <c r="I445" s="85"/>
      <c r="J445" s="85"/>
      <c r="K445" s="82"/>
      <c r="L445" s="82"/>
      <c r="M445" s="82"/>
      <c r="N445" s="82"/>
      <c r="O445" s="82"/>
      <c r="P445" s="82"/>
      <c r="Q445" s="82"/>
      <c r="R445" s="82"/>
      <c r="S445" s="97"/>
      <c r="T445" s="97"/>
      <c r="X445" s="94"/>
      <c r="Y445" s="95"/>
      <c r="Z445" s="95"/>
      <c r="AA445" s="94"/>
      <c r="AB445" s="94"/>
      <c r="AC445" s="94"/>
      <c r="AD445" s="94"/>
      <c r="AE445" s="94"/>
      <c r="AF445" s="94"/>
      <c r="AS445" s="94"/>
      <c r="AT445" s="94"/>
      <c r="AU445" s="94"/>
      <c r="AV445" s="94"/>
      <c r="BB445" s="108">
        <f>Schäden_Einband!X445+Schäden_Buchblock!AC445</f>
        <v>0</v>
      </c>
      <c r="BC445" s="95"/>
    </row>
    <row r="446" spans="1:55" ht="46" x14ac:dyDescent="0.25">
      <c r="A446" s="82">
        <v>425</v>
      </c>
      <c r="B446" s="64" t="s">
        <v>990</v>
      </c>
      <c r="C446" s="64">
        <v>1066966850</v>
      </c>
      <c r="D446" s="84" t="str">
        <f t="shared" si="6"/>
        <v>https://portal.dnb.de/opac.htm?method=simpleSearch&amp;cqlMode=true&amp;query=idn%3D1066966850</v>
      </c>
      <c r="E446" s="64" t="s">
        <v>991</v>
      </c>
      <c r="F446" s="82" t="s">
        <v>89</v>
      </c>
      <c r="G446" s="85" t="s">
        <v>1601</v>
      </c>
      <c r="H446" s="82" t="s">
        <v>50</v>
      </c>
      <c r="I446" s="85" t="s">
        <v>55</v>
      </c>
      <c r="J446" s="85" t="s">
        <v>1608</v>
      </c>
      <c r="K446" s="82"/>
      <c r="L446" s="82" t="s">
        <v>35</v>
      </c>
      <c r="M446" s="82" t="s">
        <v>37</v>
      </c>
      <c r="N446" s="82">
        <v>0</v>
      </c>
      <c r="O446" s="82"/>
      <c r="P446" s="82"/>
      <c r="Q446" s="82"/>
      <c r="R446" s="82"/>
      <c r="S446" s="97"/>
      <c r="T446" s="97"/>
      <c r="X446" s="94"/>
      <c r="Y446" s="95"/>
      <c r="Z446" s="95"/>
      <c r="AA446" s="94"/>
      <c r="AB446" s="94"/>
      <c r="AC446" s="94"/>
      <c r="AD446" s="94"/>
      <c r="AE446" s="94"/>
      <c r="AF446" s="94"/>
      <c r="AS446" s="94"/>
      <c r="AT446" s="94"/>
      <c r="AU446" s="94"/>
      <c r="AV446" s="94"/>
      <c r="BB446" s="108">
        <f>Schäden_Einband!X446+Schäden_Buchblock!AC446</f>
        <v>0</v>
      </c>
      <c r="BC446" s="95"/>
    </row>
    <row r="447" spans="1:55" x14ac:dyDescent="0.25">
      <c r="A447" s="82">
        <v>426</v>
      </c>
      <c r="B447" s="64" t="s">
        <v>992</v>
      </c>
      <c r="C447" s="64">
        <v>1066965927</v>
      </c>
      <c r="D447" s="84" t="str">
        <f t="shared" si="6"/>
        <v>https://portal.dnb.de/opac.htm?method=simpleSearch&amp;cqlMode=true&amp;query=idn%3D1066965927</v>
      </c>
      <c r="E447" s="64" t="s">
        <v>993</v>
      </c>
      <c r="F447" s="82"/>
      <c r="G447" s="85"/>
      <c r="H447" s="82"/>
      <c r="I447" s="85"/>
      <c r="J447" s="85"/>
      <c r="K447" s="82"/>
      <c r="L447" s="82"/>
      <c r="M447" s="82"/>
      <c r="N447" s="82"/>
      <c r="O447" s="82"/>
      <c r="P447" s="82"/>
      <c r="Q447" s="82"/>
      <c r="R447" s="82"/>
      <c r="S447" s="97"/>
      <c r="T447" s="97"/>
      <c r="X447" s="94"/>
      <c r="Y447" s="95"/>
      <c r="Z447" s="95"/>
      <c r="AA447" s="94"/>
      <c r="AB447" s="94"/>
      <c r="AC447" s="94"/>
      <c r="AD447" s="94"/>
      <c r="AE447" s="94"/>
      <c r="AF447" s="94"/>
      <c r="AS447" s="94"/>
      <c r="AT447" s="94"/>
      <c r="AU447" s="94"/>
      <c r="AV447" s="94"/>
      <c r="BB447" s="108">
        <f>Schäden_Einband!X447+Schäden_Buchblock!AC447</f>
        <v>0</v>
      </c>
      <c r="BC447" s="95"/>
    </row>
    <row r="448" spans="1:55" x14ac:dyDescent="0.25">
      <c r="A448" s="82">
        <v>427</v>
      </c>
      <c r="B448" s="64" t="s">
        <v>994</v>
      </c>
      <c r="C448" s="64">
        <v>1066965927</v>
      </c>
      <c r="D448" s="84" t="str">
        <f t="shared" si="6"/>
        <v>https://portal.dnb.de/opac.htm?method=simpleSearch&amp;cqlMode=true&amp;query=idn%3D1066965927</v>
      </c>
      <c r="E448" s="64" t="s">
        <v>995</v>
      </c>
      <c r="F448" s="82"/>
      <c r="G448" s="85"/>
      <c r="H448" s="82"/>
      <c r="I448" s="85"/>
      <c r="J448" s="85"/>
      <c r="K448" s="82"/>
      <c r="L448" s="82"/>
      <c r="M448" s="82"/>
      <c r="N448" s="82"/>
      <c r="O448" s="82"/>
      <c r="P448" s="82"/>
      <c r="Q448" s="82"/>
      <c r="R448" s="82"/>
      <c r="S448" s="97"/>
      <c r="T448" s="97"/>
      <c r="X448" s="94"/>
      <c r="Y448" s="95"/>
      <c r="Z448" s="95"/>
      <c r="AA448" s="94"/>
      <c r="AB448" s="94"/>
      <c r="AC448" s="94"/>
      <c r="AD448" s="94"/>
      <c r="AE448" s="94"/>
      <c r="AF448" s="94"/>
      <c r="AS448" s="94"/>
      <c r="AT448" s="94"/>
      <c r="AU448" s="94"/>
      <c r="AV448" s="94"/>
      <c r="BB448" s="108">
        <f>Schäden_Einband!X448+Schäden_Buchblock!AC448</f>
        <v>0</v>
      </c>
      <c r="BC448" s="95"/>
    </row>
    <row r="449" spans="1:55" x14ac:dyDescent="0.25">
      <c r="A449" s="82">
        <v>428</v>
      </c>
      <c r="B449" s="64" t="s">
        <v>996</v>
      </c>
      <c r="C449" s="64">
        <v>1066969752</v>
      </c>
      <c r="D449" s="84" t="str">
        <f t="shared" si="6"/>
        <v>https://portal.dnb.de/opac.htm?method=simpleSearch&amp;cqlMode=true&amp;query=idn%3D1066969752</v>
      </c>
      <c r="E449" s="64" t="s">
        <v>997</v>
      </c>
      <c r="F449" s="82"/>
      <c r="G449" s="85"/>
      <c r="H449" s="82"/>
      <c r="I449" s="85"/>
      <c r="J449" s="85"/>
      <c r="K449" s="82"/>
      <c r="L449" s="82"/>
      <c r="M449" s="82"/>
      <c r="N449" s="82"/>
      <c r="O449" s="82"/>
      <c r="P449" s="82"/>
      <c r="Q449" s="82"/>
      <c r="R449" s="82"/>
      <c r="S449" s="97"/>
      <c r="T449" s="97"/>
      <c r="X449" s="94"/>
      <c r="Y449" s="95"/>
      <c r="Z449" s="95"/>
      <c r="AA449" s="94"/>
      <c r="AB449" s="94"/>
      <c r="AC449" s="94"/>
      <c r="AD449" s="94"/>
      <c r="AE449" s="94"/>
      <c r="AF449" s="94"/>
      <c r="AS449" s="94"/>
      <c r="AT449" s="94"/>
      <c r="AU449" s="94"/>
      <c r="AV449" s="94"/>
      <c r="BB449" s="108">
        <f>Schäden_Einband!X449+Schäden_Buchblock!AC449</f>
        <v>0</v>
      </c>
      <c r="BC449" s="95"/>
    </row>
    <row r="450" spans="1:55" x14ac:dyDescent="0.25">
      <c r="A450" s="82">
        <v>429</v>
      </c>
      <c r="B450" s="64" t="s">
        <v>998</v>
      </c>
      <c r="C450" s="64">
        <v>1066969884</v>
      </c>
      <c r="D450" s="84" t="str">
        <f t="shared" si="6"/>
        <v>https://portal.dnb.de/opac.htm?method=simpleSearch&amp;cqlMode=true&amp;query=idn%3D1066969884</v>
      </c>
      <c r="E450" s="64" t="s">
        <v>999</v>
      </c>
      <c r="F450" s="82"/>
      <c r="G450" s="85"/>
      <c r="H450" s="82"/>
      <c r="I450" s="85"/>
      <c r="J450" s="85"/>
      <c r="K450" s="82"/>
      <c r="L450" s="82"/>
      <c r="M450" s="82"/>
      <c r="N450" s="82"/>
      <c r="O450" s="82"/>
      <c r="P450" s="82"/>
      <c r="Q450" s="82"/>
      <c r="R450" s="82"/>
      <c r="S450" s="97"/>
      <c r="T450" s="97"/>
      <c r="X450" s="94"/>
      <c r="Y450" s="95"/>
      <c r="Z450" s="95"/>
      <c r="AA450" s="94"/>
      <c r="AB450" s="94"/>
      <c r="AC450" s="94"/>
      <c r="AD450" s="94"/>
      <c r="AE450" s="94"/>
      <c r="AF450" s="94"/>
      <c r="AS450" s="94"/>
      <c r="AT450" s="94"/>
      <c r="AU450" s="94"/>
      <c r="AV450" s="94"/>
      <c r="BB450" s="108">
        <f>Schäden_Einband!X450+Schäden_Buchblock!AC450</f>
        <v>0</v>
      </c>
      <c r="BC450" s="95"/>
    </row>
    <row r="451" spans="1:55" x14ac:dyDescent="0.25">
      <c r="A451" s="82">
        <v>430</v>
      </c>
      <c r="B451" s="64" t="s">
        <v>1000</v>
      </c>
      <c r="C451" s="64">
        <v>1066957983</v>
      </c>
      <c r="D451" s="84" t="str">
        <f t="shared" si="6"/>
        <v>https://portal.dnb.de/opac.htm?method=simpleSearch&amp;cqlMode=true&amp;query=idn%3D1066957983</v>
      </c>
      <c r="E451" s="64" t="s">
        <v>1001</v>
      </c>
      <c r="F451" s="82"/>
      <c r="G451" s="85"/>
      <c r="H451" s="82"/>
      <c r="I451" s="85"/>
      <c r="J451" s="85"/>
      <c r="K451" s="82"/>
      <c r="L451" s="82"/>
      <c r="M451" s="82"/>
      <c r="N451" s="82"/>
      <c r="O451" s="82"/>
      <c r="P451" s="82"/>
      <c r="Q451" s="82"/>
      <c r="R451" s="82"/>
      <c r="S451" s="97"/>
      <c r="T451" s="97"/>
      <c r="X451" s="94"/>
      <c r="Y451" s="95"/>
      <c r="Z451" s="95"/>
      <c r="AA451" s="94"/>
      <c r="AB451" s="94"/>
      <c r="AC451" s="94"/>
      <c r="AD451" s="94"/>
      <c r="AE451" s="94"/>
      <c r="AF451" s="94"/>
      <c r="AS451" s="94"/>
      <c r="AT451" s="94"/>
      <c r="AU451" s="94"/>
      <c r="AV451" s="94"/>
      <c r="BB451" s="108">
        <f>Schäden_Einband!X451+Schäden_Buchblock!AC451</f>
        <v>0</v>
      </c>
      <c r="BC451" s="95"/>
    </row>
    <row r="452" spans="1:55" ht="46" x14ac:dyDescent="0.25">
      <c r="A452" s="82">
        <v>431</v>
      </c>
      <c r="B452" s="64" t="s">
        <v>1002</v>
      </c>
      <c r="C452" s="64">
        <v>1066973202</v>
      </c>
      <c r="D452" s="84" t="str">
        <f t="shared" si="6"/>
        <v>https://portal.dnb.de/opac.htm?method=simpleSearch&amp;cqlMode=true&amp;query=idn%3D1066973202</v>
      </c>
      <c r="E452" s="64" t="s">
        <v>1003</v>
      </c>
      <c r="F452" s="82" t="s">
        <v>1633</v>
      </c>
      <c r="G452" s="85" t="s">
        <v>1584</v>
      </c>
      <c r="H452" s="82" t="s">
        <v>50</v>
      </c>
      <c r="I452" s="85" t="s">
        <v>90</v>
      </c>
      <c r="J452" s="85" t="s">
        <v>81</v>
      </c>
      <c r="K452" s="82"/>
      <c r="L452" s="82" t="s">
        <v>35</v>
      </c>
      <c r="M452" s="82" t="s">
        <v>37</v>
      </c>
      <c r="N452" s="82">
        <v>0</v>
      </c>
      <c r="O452" s="82"/>
      <c r="P452" s="82"/>
      <c r="Q452" s="82"/>
      <c r="R452" s="82"/>
      <c r="S452" s="97"/>
      <c r="T452" s="97"/>
      <c r="X452" s="94"/>
      <c r="Y452" s="95"/>
      <c r="Z452" s="95"/>
      <c r="AA452" s="94"/>
      <c r="AB452" s="94"/>
      <c r="AC452" s="94"/>
      <c r="AD452" s="94"/>
      <c r="AE452" s="94"/>
      <c r="AF452" s="94"/>
      <c r="AS452" s="94"/>
      <c r="AT452" s="94"/>
      <c r="AU452" s="94"/>
      <c r="AV452" s="94"/>
      <c r="BB452" s="108">
        <f>Schäden_Einband!X452+Schäden_Buchblock!AC452</f>
        <v>0</v>
      </c>
      <c r="BC452" s="95"/>
    </row>
    <row r="453" spans="1:55" ht="23" x14ac:dyDescent="0.25">
      <c r="A453" s="82">
        <v>432</v>
      </c>
      <c r="B453" s="64" t="s">
        <v>1004</v>
      </c>
      <c r="C453" s="64">
        <v>1066967369</v>
      </c>
      <c r="D453" s="84" t="str">
        <f t="shared" si="6"/>
        <v>https://portal.dnb.de/opac.htm?method=simpleSearch&amp;cqlMode=true&amp;query=idn%3D1066967369</v>
      </c>
      <c r="E453" s="64" t="s">
        <v>1005</v>
      </c>
      <c r="F453" s="82"/>
      <c r="G453" s="85" t="s">
        <v>45</v>
      </c>
      <c r="H453" s="82" t="s">
        <v>51</v>
      </c>
      <c r="I453" s="85" t="s">
        <v>90</v>
      </c>
      <c r="J453" s="85" t="s">
        <v>81</v>
      </c>
      <c r="K453" s="82"/>
      <c r="L453" s="82" t="s">
        <v>35</v>
      </c>
      <c r="M453" s="82" t="s">
        <v>37</v>
      </c>
      <c r="N453" s="82">
        <v>0</v>
      </c>
      <c r="O453" s="82"/>
      <c r="P453" s="82"/>
      <c r="Q453" s="82"/>
      <c r="R453" s="82"/>
      <c r="S453" s="97"/>
      <c r="T453" s="97"/>
      <c r="X453" s="94"/>
      <c r="Y453" s="95"/>
      <c r="Z453" s="95"/>
      <c r="AA453" s="94"/>
      <c r="AB453" s="94"/>
      <c r="AC453" s="94"/>
      <c r="AD453" s="94"/>
      <c r="AE453" s="94"/>
      <c r="AF453" s="94"/>
      <c r="AS453" s="94"/>
      <c r="AT453" s="94"/>
      <c r="AU453" s="94"/>
      <c r="AV453" s="94"/>
      <c r="BB453" s="108">
        <f>Schäden_Einband!X453+Schäden_Buchblock!AC453</f>
        <v>0</v>
      </c>
      <c r="BC453" s="95"/>
    </row>
    <row r="454" spans="1:55" ht="46" x14ac:dyDescent="0.25">
      <c r="A454" s="82">
        <v>433</v>
      </c>
      <c r="B454" s="64" t="s">
        <v>1006</v>
      </c>
      <c r="C454" s="64">
        <v>1066970068</v>
      </c>
      <c r="D454" s="84" t="str">
        <f t="shared" si="6"/>
        <v>https://portal.dnb.de/opac.htm?method=simpleSearch&amp;cqlMode=true&amp;query=idn%3D1066970068</v>
      </c>
      <c r="E454" s="64" t="s">
        <v>1007</v>
      </c>
      <c r="F454" s="82" t="s">
        <v>1633</v>
      </c>
      <c r="G454" s="85" t="s">
        <v>1584</v>
      </c>
      <c r="H454" s="82" t="s">
        <v>51</v>
      </c>
      <c r="I454" s="85" t="s">
        <v>90</v>
      </c>
      <c r="J454" s="85" t="s">
        <v>1678</v>
      </c>
      <c r="K454" s="82" t="s">
        <v>67</v>
      </c>
      <c r="L454" s="82" t="s">
        <v>35</v>
      </c>
      <c r="M454" s="82" t="s">
        <v>37</v>
      </c>
      <c r="N454" s="82">
        <v>3</v>
      </c>
      <c r="O454" s="82"/>
      <c r="P454" s="82"/>
      <c r="Q454" s="82"/>
      <c r="R454" s="82"/>
      <c r="S454" s="97"/>
      <c r="T454" s="97"/>
      <c r="X454" s="94"/>
      <c r="Y454" s="95"/>
      <c r="Z454" s="95"/>
      <c r="AA454" s="94"/>
      <c r="AB454" s="94"/>
      <c r="AC454" s="94"/>
      <c r="AD454" s="94"/>
      <c r="AE454" s="94"/>
      <c r="AF454" s="94"/>
      <c r="AS454" s="94"/>
      <c r="AT454" s="94"/>
      <c r="AU454" s="94"/>
      <c r="AV454" s="94"/>
      <c r="BB454" s="108">
        <f>Schäden_Einband!X454+Schäden_Buchblock!AC454</f>
        <v>0</v>
      </c>
      <c r="BC454" s="95"/>
    </row>
    <row r="455" spans="1:55" x14ac:dyDescent="0.25">
      <c r="A455" s="82">
        <v>434</v>
      </c>
      <c r="B455" s="64" t="s">
        <v>1008</v>
      </c>
      <c r="C455" s="64">
        <v>1066971463</v>
      </c>
      <c r="D455" s="84" t="str">
        <f t="shared" si="6"/>
        <v>https://portal.dnb.de/opac.htm?method=simpleSearch&amp;cqlMode=true&amp;query=idn%3D1066971463</v>
      </c>
      <c r="E455" s="64" t="s">
        <v>1009</v>
      </c>
      <c r="F455" s="82"/>
      <c r="G455" s="85"/>
      <c r="H455" s="82"/>
      <c r="I455" s="85"/>
      <c r="J455" s="85"/>
      <c r="K455" s="82"/>
      <c r="L455" s="82"/>
      <c r="M455" s="82"/>
      <c r="N455" s="82"/>
      <c r="O455" s="82"/>
      <c r="P455" s="82"/>
      <c r="Q455" s="82"/>
      <c r="R455" s="82"/>
      <c r="S455" s="97"/>
      <c r="T455" s="97"/>
      <c r="X455" s="94"/>
      <c r="Y455" s="95"/>
      <c r="Z455" s="95"/>
      <c r="AA455" s="94"/>
      <c r="AB455" s="94"/>
      <c r="AC455" s="94"/>
      <c r="AD455" s="94"/>
      <c r="AE455" s="94"/>
      <c r="AF455" s="94"/>
      <c r="AS455" s="94"/>
      <c r="AT455" s="94"/>
      <c r="AU455" s="94"/>
      <c r="AV455" s="94"/>
      <c r="BB455" s="108">
        <f>Schäden_Einband!X455+Schäden_Buchblock!AC455</f>
        <v>0</v>
      </c>
      <c r="BC455" s="95"/>
    </row>
    <row r="456" spans="1:55" ht="46" x14ac:dyDescent="0.25">
      <c r="A456" s="82">
        <v>435</v>
      </c>
      <c r="B456" s="64" t="s">
        <v>1010</v>
      </c>
      <c r="C456" s="64">
        <v>1066967563</v>
      </c>
      <c r="D456" s="84" t="str">
        <f t="shared" si="6"/>
        <v>https://portal.dnb.de/opac.htm?method=simpleSearch&amp;cqlMode=true&amp;query=idn%3D1066967563</v>
      </c>
      <c r="E456" s="64" t="s">
        <v>1011</v>
      </c>
      <c r="F456" s="82" t="s">
        <v>1633</v>
      </c>
      <c r="G456" s="85" t="s">
        <v>1585</v>
      </c>
      <c r="H456" s="82" t="s">
        <v>51</v>
      </c>
      <c r="I456" s="85" t="s">
        <v>90</v>
      </c>
      <c r="J456" s="85" t="s">
        <v>1632</v>
      </c>
      <c r="K456" s="82" t="s">
        <v>67</v>
      </c>
      <c r="L456" s="82" t="s">
        <v>35</v>
      </c>
      <c r="M456" s="82" t="s">
        <v>37</v>
      </c>
      <c r="N456" s="82">
        <v>3</v>
      </c>
      <c r="O456" s="82"/>
      <c r="P456" s="82"/>
      <c r="Q456" s="82"/>
      <c r="R456" s="82"/>
      <c r="S456" s="97"/>
      <c r="T456" s="97"/>
      <c r="X456" s="94"/>
      <c r="Y456" s="95"/>
      <c r="Z456" s="95"/>
      <c r="AA456" s="94"/>
      <c r="AB456" s="94"/>
      <c r="AC456" s="94"/>
      <c r="AD456" s="94"/>
      <c r="AE456" s="94"/>
      <c r="AF456" s="94"/>
      <c r="AS456" s="94"/>
      <c r="AT456" s="94"/>
      <c r="AU456" s="94"/>
      <c r="AV456" s="94"/>
      <c r="BB456" s="108">
        <f>Schäden_Einband!X456+Schäden_Buchblock!AC456</f>
        <v>0</v>
      </c>
      <c r="BC456" s="95"/>
    </row>
    <row r="457" spans="1:55" x14ac:dyDescent="0.25">
      <c r="A457" s="82">
        <v>436</v>
      </c>
      <c r="B457" s="64" t="s">
        <v>1012</v>
      </c>
      <c r="C457" s="64">
        <v>1066967970</v>
      </c>
      <c r="D457" s="84" t="str">
        <f t="shared" si="6"/>
        <v>https://portal.dnb.de/opac.htm?method=simpleSearch&amp;cqlMode=true&amp;query=idn%3D1066967970</v>
      </c>
      <c r="E457" s="64" t="s">
        <v>1013</v>
      </c>
      <c r="F457" s="82"/>
      <c r="G457" s="85"/>
      <c r="H457" s="82"/>
      <c r="I457" s="85"/>
      <c r="J457" s="85"/>
      <c r="K457" s="82"/>
      <c r="L457" s="82"/>
      <c r="M457" s="82"/>
      <c r="N457" s="82"/>
      <c r="O457" s="82"/>
      <c r="P457" s="82"/>
      <c r="Q457" s="82"/>
      <c r="R457" s="82"/>
      <c r="S457" s="97"/>
      <c r="T457" s="97"/>
      <c r="X457" s="94"/>
      <c r="Y457" s="95"/>
      <c r="Z457" s="95"/>
      <c r="AA457" s="94"/>
      <c r="AB457" s="94"/>
      <c r="AC457" s="94"/>
      <c r="AD457" s="94"/>
      <c r="AE457" s="94"/>
      <c r="AF457" s="94"/>
      <c r="AS457" s="94"/>
      <c r="AT457" s="94"/>
      <c r="AU457" s="94"/>
      <c r="AV457" s="94"/>
      <c r="BB457" s="108">
        <f>Schäden_Einband!X457+Schäden_Buchblock!AC457</f>
        <v>0</v>
      </c>
      <c r="BC457" s="95"/>
    </row>
    <row r="458" spans="1:55" ht="46" x14ac:dyDescent="0.25">
      <c r="A458" s="82">
        <v>437</v>
      </c>
      <c r="B458" s="64" t="s">
        <v>1014</v>
      </c>
      <c r="C458" s="64">
        <v>1066971072</v>
      </c>
      <c r="D458" s="84" t="str">
        <f t="shared" si="6"/>
        <v>https://portal.dnb.de/opac.htm?method=simpleSearch&amp;cqlMode=true&amp;query=idn%3D1066971072</v>
      </c>
      <c r="E458" s="64" t="s">
        <v>1015</v>
      </c>
      <c r="F458" s="82"/>
      <c r="G458" s="85" t="s">
        <v>1584</v>
      </c>
      <c r="H458" s="82" t="s">
        <v>50</v>
      </c>
      <c r="I458" s="85" t="s">
        <v>90</v>
      </c>
      <c r="J458" s="85" t="s">
        <v>1604</v>
      </c>
      <c r="K458" s="82"/>
      <c r="L458" s="82" t="s">
        <v>35</v>
      </c>
      <c r="M458" s="82" t="s">
        <v>37</v>
      </c>
      <c r="N458" s="82">
        <v>3</v>
      </c>
      <c r="O458" s="82"/>
      <c r="P458" s="82"/>
      <c r="Q458" s="82"/>
      <c r="R458" s="82"/>
      <c r="S458" s="97"/>
      <c r="T458" s="97"/>
      <c r="X458" s="94"/>
      <c r="Y458" s="95"/>
      <c r="Z458" s="95"/>
      <c r="AA458" s="94"/>
      <c r="AB458" s="94"/>
      <c r="AC458" s="94"/>
      <c r="AD458" s="94"/>
      <c r="AE458" s="94"/>
      <c r="AF458" s="94"/>
      <c r="AS458" s="94"/>
      <c r="AT458" s="94"/>
      <c r="AU458" s="94"/>
      <c r="AV458" s="94"/>
      <c r="BB458" s="108">
        <f>Schäden_Einband!X458+Schäden_Buchblock!AC458</f>
        <v>0</v>
      </c>
      <c r="BC458" s="95"/>
    </row>
    <row r="459" spans="1:55" ht="46" x14ac:dyDescent="0.25">
      <c r="A459" s="82">
        <v>438</v>
      </c>
      <c r="B459" s="64" t="s">
        <v>1016</v>
      </c>
      <c r="C459" s="64">
        <v>1166155838</v>
      </c>
      <c r="D459" s="84" t="str">
        <f t="shared" si="6"/>
        <v>https://portal.dnb.de/opac.htm?method=simpleSearch&amp;cqlMode=true&amp;query=idn%3D1166155838</v>
      </c>
      <c r="E459" s="64" t="s">
        <v>1017</v>
      </c>
      <c r="F459" s="82" t="s">
        <v>1633</v>
      </c>
      <c r="G459" s="85" t="s">
        <v>1636</v>
      </c>
      <c r="H459" s="82" t="s">
        <v>51</v>
      </c>
      <c r="I459" s="85" t="s">
        <v>90</v>
      </c>
      <c r="J459" s="85" t="s">
        <v>1654</v>
      </c>
      <c r="K459" s="82" t="s">
        <v>67</v>
      </c>
      <c r="L459" s="82" t="s">
        <v>35</v>
      </c>
      <c r="M459" s="82" t="s">
        <v>37</v>
      </c>
      <c r="N459" s="82">
        <v>0</v>
      </c>
      <c r="O459" s="82"/>
      <c r="P459" s="82"/>
      <c r="Q459" s="82"/>
      <c r="R459" s="82"/>
      <c r="S459" s="97"/>
      <c r="T459" s="97"/>
      <c r="X459" s="94"/>
      <c r="Y459" s="95"/>
      <c r="Z459" s="95"/>
      <c r="AA459" s="94"/>
      <c r="AB459" s="94"/>
      <c r="AC459" s="94"/>
      <c r="AD459" s="94"/>
      <c r="AE459" s="94"/>
      <c r="AF459" s="94"/>
      <c r="AS459" s="94"/>
      <c r="AT459" s="94"/>
      <c r="AU459" s="94"/>
      <c r="AV459" s="94"/>
      <c r="BB459" s="108">
        <f>Schäden_Einband!X459+Schäden_Buchblock!AC459</f>
        <v>0</v>
      </c>
      <c r="BC459" s="95"/>
    </row>
    <row r="460" spans="1:55" x14ac:dyDescent="0.25">
      <c r="A460" s="82">
        <v>439</v>
      </c>
      <c r="B460" s="64" t="s">
        <v>1018</v>
      </c>
      <c r="C460" s="64">
        <v>1066964882</v>
      </c>
      <c r="D460" s="84" t="str">
        <f t="shared" si="6"/>
        <v>https://portal.dnb.de/opac.htm?method=simpleSearch&amp;cqlMode=true&amp;query=idn%3D1066964882</v>
      </c>
      <c r="E460" s="64" t="s">
        <v>1019</v>
      </c>
      <c r="F460" s="82"/>
      <c r="G460" s="85"/>
      <c r="H460" s="82"/>
      <c r="I460" s="85"/>
      <c r="J460" s="85"/>
      <c r="K460" s="82"/>
      <c r="L460" s="82"/>
      <c r="M460" s="82"/>
      <c r="N460" s="82"/>
      <c r="O460" s="82"/>
      <c r="P460" s="82"/>
      <c r="Q460" s="82"/>
      <c r="R460" s="82"/>
      <c r="S460" s="97"/>
      <c r="T460" s="97"/>
      <c r="X460" s="94"/>
      <c r="Y460" s="95"/>
      <c r="Z460" s="95"/>
      <c r="AA460" s="94"/>
      <c r="AB460" s="94"/>
      <c r="AC460" s="94"/>
      <c r="AD460" s="94"/>
      <c r="AE460" s="94"/>
      <c r="AF460" s="94"/>
      <c r="AS460" s="94"/>
      <c r="AT460" s="94"/>
      <c r="AU460" s="94"/>
      <c r="AV460" s="94"/>
      <c r="BB460" s="108">
        <f>Schäden_Einband!X460+Schäden_Buchblock!AC460</f>
        <v>0</v>
      </c>
      <c r="BC460" s="95"/>
    </row>
    <row r="461" spans="1:55" ht="46" x14ac:dyDescent="0.25">
      <c r="A461" s="82"/>
      <c r="B461" s="64"/>
      <c r="C461" s="64"/>
      <c r="D461" s="84"/>
      <c r="E461" s="64" t="s">
        <v>1679</v>
      </c>
      <c r="F461" s="82"/>
      <c r="G461" s="85" t="s">
        <v>1585</v>
      </c>
      <c r="H461" s="82" t="s">
        <v>51</v>
      </c>
      <c r="I461" s="85" t="s">
        <v>90</v>
      </c>
      <c r="J461" s="85" t="s">
        <v>1586</v>
      </c>
      <c r="K461" s="82" t="s">
        <v>67</v>
      </c>
      <c r="L461" s="82" t="s">
        <v>35</v>
      </c>
      <c r="M461" s="82" t="s">
        <v>37</v>
      </c>
      <c r="N461" s="82">
        <v>0</v>
      </c>
      <c r="O461" s="82"/>
      <c r="P461" s="82"/>
      <c r="Q461" s="82"/>
      <c r="R461" s="82"/>
      <c r="S461" s="97"/>
      <c r="T461" s="97"/>
      <c r="X461" s="94"/>
      <c r="Y461" s="95"/>
      <c r="Z461" s="95"/>
      <c r="AA461" s="94"/>
      <c r="AB461" s="94"/>
      <c r="AC461" s="94"/>
      <c r="AD461" s="94"/>
      <c r="AE461" s="94"/>
      <c r="AF461" s="94"/>
      <c r="AS461" s="94"/>
      <c r="AT461" s="94"/>
      <c r="AU461" s="94"/>
      <c r="AV461" s="94"/>
      <c r="BB461" s="108">
        <f>Schäden_Einband!X461+Schäden_Buchblock!AC461</f>
        <v>0</v>
      </c>
      <c r="BC461" s="95"/>
    </row>
    <row r="462" spans="1:55" ht="46" x14ac:dyDescent="0.25">
      <c r="A462" s="82">
        <v>440</v>
      </c>
      <c r="B462" s="64" t="s">
        <v>1020</v>
      </c>
      <c r="C462" s="64">
        <v>1066963428</v>
      </c>
      <c r="D462" s="84" t="str">
        <f>HYPERLINK(CONCATENATE("https://portal.dnb.de/opac.htm?method=simpleSearch&amp;cqlMode=true&amp;query=idn%3D",C462))</f>
        <v>https://portal.dnb.de/opac.htm?method=simpleSearch&amp;cqlMode=true&amp;query=idn%3D1066963428</v>
      </c>
      <c r="E462" s="64" t="s">
        <v>1021</v>
      </c>
      <c r="F462" s="82" t="s">
        <v>89</v>
      </c>
      <c r="G462" s="85" t="s">
        <v>1585</v>
      </c>
      <c r="H462" s="82" t="s">
        <v>50</v>
      </c>
      <c r="I462" s="85" t="s">
        <v>90</v>
      </c>
      <c r="J462" s="85" t="s">
        <v>1592</v>
      </c>
      <c r="K462" s="82" t="s">
        <v>67</v>
      </c>
      <c r="L462" s="82" t="s">
        <v>35</v>
      </c>
      <c r="M462" s="82" t="s">
        <v>37</v>
      </c>
      <c r="N462" s="82">
        <v>1</v>
      </c>
      <c r="O462" s="82"/>
      <c r="P462" s="82"/>
      <c r="Q462" s="82"/>
      <c r="R462" s="82"/>
      <c r="S462" s="97"/>
      <c r="T462" s="97"/>
      <c r="X462" s="94"/>
      <c r="Y462" s="95"/>
      <c r="Z462" s="95"/>
      <c r="AA462" s="94"/>
      <c r="AB462" s="94"/>
      <c r="AC462" s="94"/>
      <c r="AD462" s="94"/>
      <c r="AE462" s="94"/>
      <c r="AF462" s="94"/>
      <c r="AS462" s="94"/>
      <c r="AT462" s="94"/>
      <c r="AU462" s="94"/>
      <c r="AV462" s="94"/>
      <c r="BB462" s="108">
        <f>Schäden_Einband!X462+Schäden_Buchblock!AC462</f>
        <v>0</v>
      </c>
      <c r="BC462" s="95"/>
    </row>
    <row r="463" spans="1:55" x14ac:dyDescent="0.25">
      <c r="A463" s="82">
        <v>441</v>
      </c>
      <c r="B463" s="64" t="s">
        <v>1020</v>
      </c>
      <c r="C463" s="64">
        <v>1066963428</v>
      </c>
      <c r="D463" s="84" t="str">
        <f>HYPERLINK(CONCATENATE("https://portal.dnb.de/opac.htm?method=simpleSearch&amp;cqlMode=true&amp;query=idn%3D",C463))</f>
        <v>https://portal.dnb.de/opac.htm?method=simpleSearch&amp;cqlMode=true&amp;query=idn%3D1066963428</v>
      </c>
      <c r="E463" s="64" t="s">
        <v>1021</v>
      </c>
      <c r="F463" s="82"/>
      <c r="G463" s="85"/>
      <c r="H463" s="82"/>
      <c r="I463" s="85"/>
      <c r="J463" s="85"/>
      <c r="K463" s="82"/>
      <c r="L463" s="82"/>
      <c r="M463" s="82"/>
      <c r="N463" s="82"/>
      <c r="O463" s="82"/>
      <c r="P463" s="82"/>
      <c r="Q463" s="82"/>
      <c r="R463" s="82"/>
      <c r="S463" s="97"/>
      <c r="T463" s="97"/>
      <c r="X463" s="94"/>
      <c r="Y463" s="95"/>
      <c r="Z463" s="95"/>
      <c r="AA463" s="94"/>
      <c r="AB463" s="94"/>
      <c r="AC463" s="94"/>
      <c r="AD463" s="94"/>
      <c r="AE463" s="94"/>
      <c r="AF463" s="94"/>
      <c r="AS463" s="94"/>
      <c r="AT463" s="94"/>
      <c r="AU463" s="94"/>
      <c r="AV463" s="94"/>
      <c r="BB463" s="108">
        <f>Schäden_Einband!X463+Schäden_Buchblock!AC463</f>
        <v>0</v>
      </c>
      <c r="BC463" s="95"/>
    </row>
    <row r="464" spans="1:55" x14ac:dyDescent="0.25">
      <c r="A464" s="82">
        <v>442</v>
      </c>
      <c r="B464" s="64" t="s">
        <v>1022</v>
      </c>
      <c r="C464" s="64">
        <v>1066968187</v>
      </c>
      <c r="D464" s="84" t="str">
        <f t="shared" ref="D464:D468" si="7">HYPERLINK(CONCATENATE("https://portal.dnb.de/opac.htm?method=simpleSearch&amp;cqlMode=true&amp;query=idn%3D",C464))</f>
        <v>https://portal.dnb.de/opac.htm?method=simpleSearch&amp;cqlMode=true&amp;query=idn%3D1066968187</v>
      </c>
      <c r="E464" s="64" t="s">
        <v>1023</v>
      </c>
      <c r="F464" s="82"/>
      <c r="G464" s="85"/>
      <c r="H464" s="82"/>
      <c r="I464" s="85"/>
      <c r="J464" s="85"/>
      <c r="K464" s="82"/>
      <c r="L464" s="82"/>
      <c r="M464" s="82"/>
      <c r="N464" s="82"/>
      <c r="O464" s="82"/>
      <c r="P464" s="82"/>
      <c r="Q464" s="82"/>
      <c r="R464" s="82"/>
      <c r="S464" s="97"/>
      <c r="T464" s="97"/>
      <c r="X464" s="94"/>
      <c r="Y464" s="95"/>
      <c r="Z464" s="95"/>
      <c r="AA464" s="94"/>
      <c r="AB464" s="94"/>
      <c r="AC464" s="94"/>
      <c r="AD464" s="94"/>
      <c r="AE464" s="94"/>
      <c r="AF464" s="94"/>
      <c r="AS464" s="94"/>
      <c r="AT464" s="94"/>
      <c r="AU464" s="94"/>
      <c r="AV464" s="94"/>
      <c r="BB464" s="108">
        <f>Schäden_Einband!X464+Schäden_Buchblock!AC464</f>
        <v>0</v>
      </c>
      <c r="BC464" s="95"/>
    </row>
    <row r="465" spans="1:55" x14ac:dyDescent="0.25">
      <c r="A465" s="82">
        <v>443</v>
      </c>
      <c r="B465" s="64" t="s">
        <v>1024</v>
      </c>
      <c r="C465" s="64">
        <v>1066972060</v>
      </c>
      <c r="D465" s="84" t="str">
        <f t="shared" si="7"/>
        <v>https://portal.dnb.de/opac.htm?method=simpleSearch&amp;cqlMode=true&amp;query=idn%3D1066972060</v>
      </c>
      <c r="E465" s="64" t="s">
        <v>1025</v>
      </c>
      <c r="F465" s="82"/>
      <c r="G465" s="85"/>
      <c r="H465" s="82"/>
      <c r="I465" s="85"/>
      <c r="J465" s="85"/>
      <c r="K465" s="82"/>
      <c r="L465" s="82"/>
      <c r="M465" s="82"/>
      <c r="N465" s="82"/>
      <c r="O465" s="82"/>
      <c r="P465" s="82"/>
      <c r="Q465" s="82"/>
      <c r="R465" s="82"/>
      <c r="S465" s="97"/>
      <c r="T465" s="97"/>
      <c r="X465" s="94"/>
      <c r="Y465" s="95"/>
      <c r="Z465" s="95"/>
      <c r="AA465" s="94"/>
      <c r="AB465" s="94"/>
      <c r="AC465" s="94"/>
      <c r="AD465" s="94"/>
      <c r="AE465" s="94"/>
      <c r="AF465" s="94"/>
      <c r="AS465" s="94"/>
      <c r="AT465" s="94"/>
      <c r="AU465" s="94"/>
      <c r="AV465" s="94"/>
      <c r="BB465" s="108">
        <f>Schäden_Einband!X465+Schäden_Buchblock!AC465</f>
        <v>0</v>
      </c>
      <c r="BC465" s="95"/>
    </row>
    <row r="466" spans="1:55" ht="46" x14ac:dyDescent="0.25">
      <c r="A466" s="82">
        <v>444</v>
      </c>
      <c r="B466" s="64" t="s">
        <v>1026</v>
      </c>
      <c r="C466" s="64">
        <v>1066969299</v>
      </c>
      <c r="D466" s="84" t="str">
        <f t="shared" si="7"/>
        <v>https://portal.dnb.de/opac.htm?method=simpleSearch&amp;cqlMode=true&amp;query=idn%3D1066969299</v>
      </c>
      <c r="E466" s="64" t="s">
        <v>1027</v>
      </c>
      <c r="F466" s="82"/>
      <c r="G466" s="85" t="s">
        <v>1585</v>
      </c>
      <c r="H466" s="82" t="s">
        <v>51</v>
      </c>
      <c r="I466" s="85" t="s">
        <v>86</v>
      </c>
      <c r="J466" s="85" t="s">
        <v>1583</v>
      </c>
      <c r="K466" s="82" t="s">
        <v>67</v>
      </c>
      <c r="L466" s="82" t="s">
        <v>35</v>
      </c>
      <c r="M466" s="82" t="s">
        <v>37</v>
      </c>
      <c r="N466" s="82">
        <v>0</v>
      </c>
      <c r="O466" s="82"/>
      <c r="P466" s="82"/>
      <c r="Q466" s="82"/>
      <c r="R466" s="82"/>
      <c r="S466" s="97"/>
      <c r="T466" s="97"/>
      <c r="X466" s="94"/>
      <c r="Y466" s="95"/>
      <c r="Z466" s="95"/>
      <c r="AA466" s="94"/>
      <c r="AB466" s="94"/>
      <c r="AC466" s="94"/>
      <c r="AD466" s="94"/>
      <c r="AE466" s="94"/>
      <c r="AF466" s="94"/>
      <c r="AS466" s="94"/>
      <c r="AT466" s="94"/>
      <c r="AU466" s="94"/>
      <c r="AV466" s="94"/>
      <c r="BB466" s="108">
        <f>Schäden_Einband!X466+Schäden_Buchblock!AC466</f>
        <v>0</v>
      </c>
      <c r="BC466" s="95"/>
    </row>
    <row r="467" spans="1:55" x14ac:dyDescent="0.25">
      <c r="A467" s="82">
        <v>445</v>
      </c>
      <c r="B467" s="64" t="s">
        <v>1028</v>
      </c>
      <c r="C467" s="64">
        <v>1084609754</v>
      </c>
      <c r="D467" s="84" t="str">
        <f t="shared" si="7"/>
        <v>https://portal.dnb.de/opac.htm?method=simpleSearch&amp;cqlMode=true&amp;query=idn%3D1084609754</v>
      </c>
      <c r="E467" s="64" t="s">
        <v>1029</v>
      </c>
      <c r="F467" s="82"/>
      <c r="G467" s="85"/>
      <c r="H467" s="82"/>
      <c r="I467" s="85"/>
      <c r="J467" s="85"/>
      <c r="K467" s="82"/>
      <c r="L467" s="82"/>
      <c r="M467" s="82"/>
      <c r="N467" s="82"/>
      <c r="O467" s="82"/>
      <c r="P467" s="82"/>
      <c r="Q467" s="82"/>
      <c r="R467" s="82"/>
      <c r="S467" s="97"/>
      <c r="T467" s="97"/>
      <c r="X467" s="94"/>
      <c r="Y467" s="95"/>
      <c r="Z467" s="95"/>
      <c r="AA467" s="94"/>
      <c r="AB467" s="94"/>
      <c r="AC467" s="94"/>
      <c r="AD467" s="94"/>
      <c r="AE467" s="94"/>
      <c r="AF467" s="94"/>
      <c r="AS467" s="94"/>
      <c r="AT467" s="94"/>
      <c r="AU467" s="94"/>
      <c r="AV467" s="94"/>
      <c r="BB467" s="108">
        <f>Schäden_Einband!X467+Schäden_Buchblock!AC467</f>
        <v>0</v>
      </c>
      <c r="BC467" s="95"/>
    </row>
    <row r="468" spans="1:55" ht="46" x14ac:dyDescent="0.25">
      <c r="A468" s="82">
        <v>446</v>
      </c>
      <c r="B468" s="64" t="s">
        <v>1030</v>
      </c>
      <c r="C468" s="64">
        <v>1066968381</v>
      </c>
      <c r="D468" s="84" t="str">
        <f t="shared" si="7"/>
        <v>https://portal.dnb.de/opac.htm?method=simpleSearch&amp;cqlMode=true&amp;query=idn%3D1066968381</v>
      </c>
      <c r="E468" s="64" t="s">
        <v>1031</v>
      </c>
      <c r="F468" s="82" t="s">
        <v>1633</v>
      </c>
      <c r="G468" s="85" t="s">
        <v>1585</v>
      </c>
      <c r="H468" s="82" t="s">
        <v>50</v>
      </c>
      <c r="I468" s="85" t="s">
        <v>86</v>
      </c>
      <c r="J468" s="85" t="s">
        <v>60</v>
      </c>
      <c r="K468" s="82" t="s">
        <v>67</v>
      </c>
      <c r="L468" s="82" t="s">
        <v>35</v>
      </c>
      <c r="M468" s="82" t="s">
        <v>37</v>
      </c>
      <c r="N468" s="82">
        <v>0</v>
      </c>
      <c r="O468" s="82"/>
      <c r="P468" s="82"/>
      <c r="Q468" s="82"/>
      <c r="R468" s="82"/>
      <c r="S468" s="97"/>
      <c r="T468" s="97"/>
      <c r="X468" s="94"/>
      <c r="Y468" s="95"/>
      <c r="Z468" s="95"/>
      <c r="AA468" s="94"/>
      <c r="AB468" s="94"/>
      <c r="AC468" s="94"/>
      <c r="AD468" s="94"/>
      <c r="AE468" s="94"/>
      <c r="AF468" s="94"/>
      <c r="AS468" s="94"/>
      <c r="AT468" s="94"/>
      <c r="AU468" s="94"/>
      <c r="AV468" s="94"/>
      <c r="BB468" s="108">
        <f>Schäden_Einband!X468+Schäden_Buchblock!AC468</f>
        <v>0</v>
      </c>
      <c r="BC468" s="95"/>
    </row>
    <row r="469" spans="1:55" x14ac:dyDescent="0.25">
      <c r="A469" s="82"/>
      <c r="B469" s="64"/>
      <c r="C469" s="64"/>
      <c r="D469" s="84"/>
      <c r="E469" s="64" t="s">
        <v>1031</v>
      </c>
      <c r="F469" s="82"/>
      <c r="G469" s="85"/>
      <c r="H469" s="82"/>
      <c r="I469" s="85"/>
      <c r="J469" s="85"/>
      <c r="K469" s="82"/>
      <c r="L469" s="82" t="s">
        <v>35</v>
      </c>
      <c r="M469" s="82" t="s">
        <v>37</v>
      </c>
      <c r="N469" s="82"/>
      <c r="O469" s="82" t="s">
        <v>1644</v>
      </c>
      <c r="P469" s="82"/>
      <c r="Q469" s="82"/>
      <c r="R469" s="82"/>
      <c r="S469" s="97"/>
      <c r="T469" s="97"/>
      <c r="X469" s="94"/>
      <c r="Y469" s="95"/>
      <c r="Z469" s="95"/>
      <c r="AA469" s="94"/>
      <c r="AB469" s="94"/>
      <c r="AC469" s="94"/>
      <c r="AD469" s="94"/>
      <c r="AE469" s="94"/>
      <c r="AF469" s="94"/>
      <c r="AS469" s="94"/>
      <c r="AT469" s="94"/>
      <c r="AU469" s="94"/>
      <c r="AV469" s="94"/>
      <c r="BB469" s="108">
        <f>Schäden_Einband!X469+Schäden_Buchblock!AC469</f>
        <v>0</v>
      </c>
      <c r="BC469" s="95"/>
    </row>
    <row r="470" spans="1:55" ht="46" x14ac:dyDescent="0.25">
      <c r="A470" s="82">
        <v>447</v>
      </c>
      <c r="B470" s="64" t="s">
        <v>1032</v>
      </c>
      <c r="C470" s="64">
        <v>1084610876</v>
      </c>
      <c r="D470" s="84" t="str">
        <f>HYPERLINK(CONCATENATE("https://portal.dnb.de/opac.htm?method=simpleSearch&amp;cqlMode=true&amp;query=idn%3D",C470))</f>
        <v>https://portal.dnb.de/opac.htm?method=simpleSearch&amp;cqlMode=true&amp;query=idn%3D1084610876</v>
      </c>
      <c r="E470" s="64" t="s">
        <v>1033</v>
      </c>
      <c r="F470" s="82"/>
      <c r="G470" s="85" t="s">
        <v>1585</v>
      </c>
      <c r="H470" s="82" t="s">
        <v>51</v>
      </c>
      <c r="I470" s="85" t="s">
        <v>90</v>
      </c>
      <c r="J470" s="85" t="s">
        <v>60</v>
      </c>
      <c r="K470" s="82" t="s">
        <v>67</v>
      </c>
      <c r="L470" s="82" t="s">
        <v>35</v>
      </c>
      <c r="M470" s="82" t="s">
        <v>1680</v>
      </c>
      <c r="N470" s="82">
        <v>0</v>
      </c>
      <c r="O470" s="82"/>
      <c r="P470" s="82"/>
      <c r="Q470" s="82"/>
      <c r="R470" s="82"/>
      <c r="S470" s="97"/>
      <c r="T470" s="97"/>
      <c r="X470" s="94"/>
      <c r="Y470" s="95"/>
      <c r="Z470" s="95"/>
      <c r="AA470" s="94"/>
      <c r="AB470" s="94"/>
      <c r="AC470" s="94"/>
      <c r="AD470" s="94"/>
      <c r="AE470" s="94"/>
      <c r="AF470" s="94"/>
      <c r="AS470" s="94"/>
      <c r="AT470" s="94"/>
      <c r="AU470" s="94"/>
      <c r="AV470" s="94"/>
      <c r="BB470" s="108">
        <f>Schäden_Einband!X470+Schäden_Buchblock!AC470</f>
        <v>0</v>
      </c>
      <c r="BC470" s="95"/>
    </row>
    <row r="471" spans="1:55" x14ac:dyDescent="0.25">
      <c r="A471" s="82">
        <v>448</v>
      </c>
      <c r="B471" s="64" t="s">
        <v>1034</v>
      </c>
      <c r="C471" s="64">
        <v>1066969256</v>
      </c>
      <c r="D471" s="84" t="str">
        <f>HYPERLINK(CONCATENATE("https://portal.dnb.de/opac.htm?method=simpleSearch&amp;cqlMode=true&amp;query=idn%3D",C471))</f>
        <v>https://portal.dnb.de/opac.htm?method=simpleSearch&amp;cqlMode=true&amp;query=idn%3D1066969256</v>
      </c>
      <c r="E471" s="64" t="s">
        <v>1035</v>
      </c>
      <c r="F471" s="82"/>
      <c r="G471" s="85"/>
      <c r="H471" s="82"/>
      <c r="I471" s="85"/>
      <c r="J471" s="85"/>
      <c r="K471" s="82"/>
      <c r="L471" s="82"/>
      <c r="M471" s="82"/>
      <c r="N471" s="82"/>
      <c r="O471" s="82"/>
      <c r="P471" s="82"/>
      <c r="Q471" s="82"/>
      <c r="R471" s="82"/>
      <c r="S471" s="97"/>
      <c r="T471" s="97"/>
      <c r="X471" s="94"/>
      <c r="Y471" s="95"/>
      <c r="Z471" s="95"/>
      <c r="AA471" s="94"/>
      <c r="AB471" s="94"/>
      <c r="AC471" s="94"/>
      <c r="AD471" s="94"/>
      <c r="AE471" s="94"/>
      <c r="AF471" s="94"/>
      <c r="AS471" s="94"/>
      <c r="AT471" s="94"/>
      <c r="AU471" s="94"/>
      <c r="AV471" s="94"/>
      <c r="BB471" s="108">
        <f>Schäden_Einband!X471+Schäden_Buchblock!AC471</f>
        <v>0</v>
      </c>
      <c r="BC471" s="95"/>
    </row>
    <row r="472" spans="1:55" x14ac:dyDescent="0.25">
      <c r="A472" s="82">
        <v>449</v>
      </c>
      <c r="B472" s="64" t="s">
        <v>1036</v>
      </c>
      <c r="C472" s="64">
        <v>1066972249</v>
      </c>
      <c r="D472" s="84" t="str">
        <f>HYPERLINK(CONCATENATE("https://portal.dnb.de/opac.htm?method=simpleSearch&amp;cqlMode=true&amp;query=idn%3D",C472))</f>
        <v>https://portal.dnb.de/opac.htm?method=simpleSearch&amp;cqlMode=true&amp;query=idn%3D1066972249</v>
      </c>
      <c r="E472" s="64" t="s">
        <v>1037</v>
      </c>
      <c r="F472" s="82"/>
      <c r="G472" s="85"/>
      <c r="H472" s="82"/>
      <c r="I472" s="85"/>
      <c r="J472" s="85"/>
      <c r="K472" s="82"/>
      <c r="L472" s="82"/>
      <c r="M472" s="82"/>
      <c r="N472" s="82"/>
      <c r="O472" s="82"/>
      <c r="P472" s="82"/>
      <c r="Q472" s="82"/>
      <c r="R472" s="82"/>
      <c r="S472" s="97"/>
      <c r="T472" s="97"/>
      <c r="X472" s="94"/>
      <c r="Y472" s="95"/>
      <c r="Z472" s="95"/>
      <c r="AA472" s="94"/>
      <c r="AB472" s="94"/>
      <c r="AC472" s="94"/>
      <c r="AD472" s="94"/>
      <c r="AE472" s="94"/>
      <c r="AF472" s="94"/>
      <c r="AS472" s="94"/>
      <c r="AT472" s="94"/>
      <c r="AU472" s="94"/>
      <c r="AV472" s="94"/>
      <c r="BB472" s="108">
        <f>Schäden_Einband!X472+Schäden_Buchblock!AC472</f>
        <v>0</v>
      </c>
      <c r="BC472" s="95"/>
    </row>
    <row r="473" spans="1:55" x14ac:dyDescent="0.25">
      <c r="A473" s="82">
        <v>450</v>
      </c>
      <c r="B473" s="64" t="s">
        <v>1038</v>
      </c>
      <c r="C473" s="64">
        <v>1066969132</v>
      </c>
      <c r="D473" s="84" t="str">
        <f t="shared" ref="D473:D537" si="8">HYPERLINK(CONCATENATE("https://portal.dnb.de/opac.htm?method=simpleSearch&amp;cqlMode=true&amp;query=idn%3D",C473))</f>
        <v>https://portal.dnb.de/opac.htm?method=simpleSearch&amp;cqlMode=true&amp;query=idn%3D1066969132</v>
      </c>
      <c r="E473" s="64" t="s">
        <v>1039</v>
      </c>
      <c r="F473" s="82"/>
      <c r="G473" s="85"/>
      <c r="H473" s="82"/>
      <c r="I473" s="85"/>
      <c r="J473" s="85"/>
      <c r="K473" s="82"/>
      <c r="L473" s="82"/>
      <c r="M473" s="82"/>
      <c r="N473" s="82"/>
      <c r="O473" s="82"/>
      <c r="P473" s="82"/>
      <c r="Q473" s="82"/>
      <c r="R473" s="82"/>
      <c r="S473" s="97"/>
      <c r="T473" s="97"/>
      <c r="X473" s="94"/>
      <c r="Y473" s="95"/>
      <c r="Z473" s="95"/>
      <c r="AA473" s="94"/>
      <c r="AB473" s="94"/>
      <c r="AC473" s="94"/>
      <c r="AD473" s="94"/>
      <c r="AE473" s="94"/>
      <c r="AF473" s="94"/>
      <c r="AS473" s="94"/>
      <c r="AT473" s="94"/>
      <c r="AU473" s="94"/>
      <c r="AV473" s="94"/>
      <c r="BB473" s="108">
        <f>Schäden_Einband!X473+Schäden_Buchblock!AC473</f>
        <v>0</v>
      </c>
      <c r="BC473" s="95"/>
    </row>
    <row r="474" spans="1:55" x14ac:dyDescent="0.25">
      <c r="A474" s="82">
        <v>451</v>
      </c>
      <c r="B474" s="64" t="s">
        <v>1040</v>
      </c>
      <c r="C474" s="64">
        <v>1066969434</v>
      </c>
      <c r="D474" s="84" t="str">
        <f t="shared" si="8"/>
        <v>https://portal.dnb.de/opac.htm?method=simpleSearch&amp;cqlMode=true&amp;query=idn%3D1066969434</v>
      </c>
      <c r="E474" s="64" t="s">
        <v>1041</v>
      </c>
      <c r="F474" s="82"/>
      <c r="G474" s="85"/>
      <c r="H474" s="82"/>
      <c r="I474" s="85"/>
      <c r="J474" s="85"/>
      <c r="K474" s="82"/>
      <c r="L474" s="82"/>
      <c r="M474" s="82"/>
      <c r="N474" s="82"/>
      <c r="O474" s="82"/>
      <c r="P474" s="82"/>
      <c r="Q474" s="82"/>
      <c r="R474" s="82"/>
      <c r="S474" s="97"/>
      <c r="T474" s="97"/>
      <c r="X474" s="94"/>
      <c r="Y474" s="95"/>
      <c r="Z474" s="95"/>
      <c r="AA474" s="94"/>
      <c r="AB474" s="94"/>
      <c r="AC474" s="94"/>
      <c r="AD474" s="94"/>
      <c r="AE474" s="94"/>
      <c r="AF474" s="94"/>
      <c r="AS474" s="94"/>
      <c r="AT474" s="94"/>
      <c r="AU474" s="94"/>
      <c r="AV474" s="94"/>
      <c r="BB474" s="108">
        <f>Schäden_Einband!X474+Schäden_Buchblock!AC474</f>
        <v>0</v>
      </c>
      <c r="BC474" s="95"/>
    </row>
    <row r="475" spans="1:55" x14ac:dyDescent="0.25">
      <c r="A475" s="82">
        <v>452</v>
      </c>
      <c r="B475" s="64" t="s">
        <v>1042</v>
      </c>
      <c r="C475" s="64" t="s">
        <v>1043</v>
      </c>
      <c r="D475" s="84" t="str">
        <f t="shared" si="8"/>
        <v>https://portal.dnb.de/opac.htm?method=simpleSearch&amp;cqlMode=true&amp;query=idn%3D106696601X</v>
      </c>
      <c r="E475" s="64" t="s">
        <v>1044</v>
      </c>
      <c r="F475" s="82"/>
      <c r="G475" s="85"/>
      <c r="H475" s="82"/>
      <c r="I475" s="85"/>
      <c r="J475" s="85"/>
      <c r="K475" s="82"/>
      <c r="L475" s="82"/>
      <c r="M475" s="82"/>
      <c r="N475" s="82"/>
      <c r="O475" s="82"/>
      <c r="P475" s="82"/>
      <c r="Q475" s="82"/>
      <c r="R475" s="82"/>
      <c r="S475" s="97"/>
      <c r="T475" s="97"/>
      <c r="X475" s="94"/>
      <c r="Y475" s="95"/>
      <c r="Z475" s="95"/>
      <c r="AA475" s="94"/>
      <c r="AB475" s="94"/>
      <c r="AC475" s="94"/>
      <c r="AD475" s="94"/>
      <c r="AE475" s="94"/>
      <c r="AF475" s="94"/>
      <c r="AS475" s="94"/>
      <c r="AT475" s="94"/>
      <c r="AU475" s="94"/>
      <c r="AV475" s="94"/>
      <c r="BB475" s="108">
        <f>Schäden_Einband!X475+Schäden_Buchblock!AC475</f>
        <v>0</v>
      </c>
      <c r="BC475" s="95"/>
    </row>
    <row r="476" spans="1:55" x14ac:dyDescent="0.25">
      <c r="A476" s="82">
        <v>453</v>
      </c>
      <c r="B476" s="64" t="s">
        <v>1045</v>
      </c>
      <c r="C476" s="64">
        <v>1066971439</v>
      </c>
      <c r="D476" s="84" t="str">
        <f t="shared" si="8"/>
        <v>https://portal.dnb.de/opac.htm?method=simpleSearch&amp;cqlMode=true&amp;query=idn%3D1066971439</v>
      </c>
      <c r="E476" s="64" t="s">
        <v>1046</v>
      </c>
      <c r="F476" s="82"/>
      <c r="G476" s="85"/>
      <c r="H476" s="82"/>
      <c r="I476" s="85"/>
      <c r="J476" s="85"/>
      <c r="K476" s="82"/>
      <c r="L476" s="82"/>
      <c r="M476" s="82"/>
      <c r="N476" s="82"/>
      <c r="O476" s="82"/>
      <c r="P476" s="82"/>
      <c r="Q476" s="82"/>
      <c r="R476" s="82"/>
      <c r="S476" s="97"/>
      <c r="T476" s="97"/>
      <c r="X476" s="94"/>
      <c r="Y476" s="95"/>
      <c r="Z476" s="95"/>
      <c r="AA476" s="94"/>
      <c r="AB476" s="94"/>
      <c r="AC476" s="94"/>
      <c r="AD476" s="94"/>
      <c r="AE476" s="94"/>
      <c r="AF476" s="94"/>
      <c r="AS476" s="94"/>
      <c r="AT476" s="94"/>
      <c r="AU476" s="94"/>
      <c r="AV476" s="94"/>
      <c r="BB476" s="108">
        <f>Schäden_Einband!X476+Schäden_Buchblock!AC476</f>
        <v>0</v>
      </c>
      <c r="BC476" s="95"/>
    </row>
    <row r="477" spans="1:55" x14ac:dyDescent="0.25">
      <c r="A477" s="82">
        <v>454</v>
      </c>
      <c r="B477" s="64" t="s">
        <v>1047</v>
      </c>
      <c r="C477" s="64">
        <v>1066970092</v>
      </c>
      <c r="D477" s="84" t="str">
        <f t="shared" si="8"/>
        <v>https://portal.dnb.de/opac.htm?method=simpleSearch&amp;cqlMode=true&amp;query=idn%3D1066970092</v>
      </c>
      <c r="E477" s="64" t="s">
        <v>1048</v>
      </c>
      <c r="F477" s="82"/>
      <c r="G477" s="85"/>
      <c r="H477" s="82"/>
      <c r="I477" s="85"/>
      <c r="J477" s="85"/>
      <c r="K477" s="82"/>
      <c r="L477" s="82"/>
      <c r="M477" s="82"/>
      <c r="N477" s="82"/>
      <c r="O477" s="82"/>
      <c r="P477" s="82"/>
      <c r="Q477" s="82"/>
      <c r="R477" s="82"/>
      <c r="S477" s="97"/>
      <c r="T477" s="97"/>
      <c r="X477" s="94"/>
      <c r="Y477" s="95"/>
      <c r="Z477" s="95"/>
      <c r="AA477" s="94"/>
      <c r="AB477" s="94"/>
      <c r="AC477" s="94"/>
      <c r="AD477" s="94"/>
      <c r="AE477" s="94"/>
      <c r="AF477" s="94"/>
      <c r="AS477" s="94"/>
      <c r="AT477" s="94"/>
      <c r="AU477" s="94"/>
      <c r="AV477" s="94"/>
      <c r="BB477" s="108">
        <f>Schäden_Einband!X477+Schäden_Buchblock!AC477</f>
        <v>0</v>
      </c>
      <c r="BC477" s="95"/>
    </row>
    <row r="478" spans="1:55" x14ac:dyDescent="0.25">
      <c r="A478" s="82">
        <v>455</v>
      </c>
      <c r="B478" s="64" t="s">
        <v>1049</v>
      </c>
      <c r="C478" s="64">
        <v>1066970076</v>
      </c>
      <c r="D478" s="84" t="str">
        <f t="shared" si="8"/>
        <v>https://portal.dnb.de/opac.htm?method=simpleSearch&amp;cqlMode=true&amp;query=idn%3D1066970076</v>
      </c>
      <c r="E478" s="64" t="s">
        <v>1050</v>
      </c>
      <c r="F478" s="82"/>
      <c r="G478" s="85"/>
      <c r="H478" s="82"/>
      <c r="I478" s="85"/>
      <c r="J478" s="85"/>
      <c r="K478" s="82"/>
      <c r="L478" s="82"/>
      <c r="M478" s="82"/>
      <c r="N478" s="82"/>
      <c r="O478" s="82"/>
      <c r="P478" s="82"/>
      <c r="Q478" s="82"/>
      <c r="R478" s="82"/>
      <c r="S478" s="97"/>
      <c r="T478" s="97"/>
      <c r="X478" s="94"/>
      <c r="Y478" s="95"/>
      <c r="Z478" s="95"/>
      <c r="AA478" s="94"/>
      <c r="AB478" s="94"/>
      <c r="AC478" s="94"/>
      <c r="AD478" s="94"/>
      <c r="AE478" s="94"/>
      <c r="AF478" s="94"/>
      <c r="AS478" s="94"/>
      <c r="AT478" s="94"/>
      <c r="AU478" s="94"/>
      <c r="AV478" s="94"/>
      <c r="BB478" s="108">
        <f>Schäden_Einband!X478+Schäden_Buchblock!AC478</f>
        <v>0</v>
      </c>
      <c r="BC478" s="95"/>
    </row>
    <row r="479" spans="1:55" x14ac:dyDescent="0.25">
      <c r="A479" s="82">
        <v>456</v>
      </c>
      <c r="B479" s="64" t="s">
        <v>1051</v>
      </c>
      <c r="C479" s="64">
        <v>1066967695</v>
      </c>
      <c r="D479" s="84" t="str">
        <f t="shared" si="8"/>
        <v>https://portal.dnb.de/opac.htm?method=simpleSearch&amp;cqlMode=true&amp;query=idn%3D1066967695</v>
      </c>
      <c r="E479" s="64" t="s">
        <v>1052</v>
      </c>
      <c r="F479" s="82"/>
      <c r="G479" s="85"/>
      <c r="H479" s="82"/>
      <c r="I479" s="85"/>
      <c r="J479" s="85"/>
      <c r="K479" s="82"/>
      <c r="L479" s="82"/>
      <c r="M479" s="82"/>
      <c r="N479" s="82"/>
      <c r="O479" s="82"/>
      <c r="P479" s="82"/>
      <c r="Q479" s="82"/>
      <c r="R479" s="82"/>
      <c r="S479" s="97"/>
      <c r="T479" s="97"/>
      <c r="X479" s="94"/>
      <c r="Y479" s="95"/>
      <c r="Z479" s="95"/>
      <c r="AA479" s="94"/>
      <c r="AB479" s="94"/>
      <c r="AC479" s="94"/>
      <c r="AD479" s="94"/>
      <c r="AE479" s="94"/>
      <c r="AF479" s="94"/>
      <c r="AS479" s="94"/>
      <c r="AT479" s="94"/>
      <c r="AU479" s="94"/>
      <c r="AV479" s="94"/>
      <c r="BB479" s="108">
        <f>Schäden_Einband!X479+Schäden_Buchblock!AC479</f>
        <v>0</v>
      </c>
      <c r="BC479" s="95"/>
    </row>
    <row r="480" spans="1:55" x14ac:dyDescent="0.25">
      <c r="A480" s="82">
        <v>457</v>
      </c>
      <c r="B480" s="64" t="s">
        <v>1053</v>
      </c>
      <c r="C480" s="64">
        <v>1066969213</v>
      </c>
      <c r="D480" s="84" t="str">
        <f t="shared" si="8"/>
        <v>https://portal.dnb.de/opac.htm?method=simpleSearch&amp;cqlMode=true&amp;query=idn%3D1066969213</v>
      </c>
      <c r="E480" s="64" t="s">
        <v>1054</v>
      </c>
      <c r="F480" s="82"/>
      <c r="G480" s="85"/>
      <c r="H480" s="82"/>
      <c r="I480" s="85"/>
      <c r="J480" s="85"/>
      <c r="K480" s="82"/>
      <c r="L480" s="82"/>
      <c r="M480" s="82"/>
      <c r="N480" s="82"/>
      <c r="O480" s="82"/>
      <c r="P480" s="82"/>
      <c r="Q480" s="82"/>
      <c r="R480" s="82"/>
      <c r="S480" s="97"/>
      <c r="T480" s="97"/>
      <c r="X480" s="94"/>
      <c r="Y480" s="95"/>
      <c r="Z480" s="95"/>
      <c r="AA480" s="94"/>
      <c r="AB480" s="94"/>
      <c r="AC480" s="94"/>
      <c r="AD480" s="94"/>
      <c r="AE480" s="94"/>
      <c r="AF480" s="94"/>
      <c r="AS480" s="94"/>
      <c r="AT480" s="94"/>
      <c r="AU480" s="94"/>
      <c r="AV480" s="94"/>
      <c r="BB480" s="108">
        <f>Schäden_Einband!X480+Schäden_Buchblock!AC480</f>
        <v>0</v>
      </c>
      <c r="BC480" s="95"/>
    </row>
    <row r="481" spans="1:55" x14ac:dyDescent="0.25">
      <c r="A481" s="82">
        <v>458</v>
      </c>
      <c r="B481" s="64" t="s">
        <v>1055</v>
      </c>
      <c r="C481" s="64">
        <v>1066972249</v>
      </c>
      <c r="D481" s="84" t="str">
        <f t="shared" si="8"/>
        <v>https://portal.dnb.de/opac.htm?method=simpleSearch&amp;cqlMode=true&amp;query=idn%3D1066972249</v>
      </c>
      <c r="E481" s="64" t="s">
        <v>1056</v>
      </c>
      <c r="F481" s="82"/>
      <c r="G481" s="85"/>
      <c r="H481" s="82"/>
      <c r="I481" s="85"/>
      <c r="J481" s="85"/>
      <c r="K481" s="82"/>
      <c r="L481" s="82"/>
      <c r="M481" s="82"/>
      <c r="N481" s="82"/>
      <c r="O481" s="82"/>
      <c r="P481" s="82"/>
      <c r="Q481" s="82"/>
      <c r="R481" s="82"/>
      <c r="S481" s="97"/>
      <c r="T481" s="97"/>
      <c r="X481" s="94"/>
      <c r="Y481" s="95"/>
      <c r="Z481" s="95"/>
      <c r="AA481" s="94"/>
      <c r="AB481" s="94"/>
      <c r="AC481" s="94"/>
      <c r="AD481" s="94"/>
      <c r="AE481" s="94"/>
      <c r="AF481" s="94"/>
      <c r="AS481" s="94"/>
      <c r="AT481" s="94"/>
      <c r="AU481" s="94"/>
      <c r="AV481" s="94"/>
      <c r="BB481" s="108">
        <f>Schäden_Einband!X481+Schäden_Buchblock!AC481</f>
        <v>0</v>
      </c>
      <c r="BC481" s="95"/>
    </row>
    <row r="482" spans="1:55" x14ac:dyDescent="0.25">
      <c r="A482" s="82">
        <v>459</v>
      </c>
      <c r="B482" s="64" t="s">
        <v>1057</v>
      </c>
      <c r="C482" s="64">
        <v>1066964890</v>
      </c>
      <c r="D482" s="84" t="str">
        <f t="shared" si="8"/>
        <v>https://portal.dnb.de/opac.htm?method=simpleSearch&amp;cqlMode=true&amp;query=idn%3D1066964890</v>
      </c>
      <c r="E482" s="64" t="s">
        <v>1058</v>
      </c>
      <c r="F482" s="82"/>
      <c r="G482" s="85"/>
      <c r="H482" s="82"/>
      <c r="I482" s="85"/>
      <c r="J482" s="85"/>
      <c r="K482" s="82"/>
      <c r="L482" s="82"/>
      <c r="M482" s="82"/>
      <c r="N482" s="82"/>
      <c r="O482" s="82"/>
      <c r="P482" s="82"/>
      <c r="Q482" s="82"/>
      <c r="R482" s="82"/>
      <c r="S482" s="97"/>
      <c r="T482" s="97"/>
      <c r="X482" s="94"/>
      <c r="Y482" s="95"/>
      <c r="Z482" s="95"/>
      <c r="AA482" s="94"/>
      <c r="AB482" s="94"/>
      <c r="AC482" s="94"/>
      <c r="AD482" s="94"/>
      <c r="AE482" s="94"/>
      <c r="AF482" s="94"/>
      <c r="AS482" s="94"/>
      <c r="AT482" s="94"/>
      <c r="AU482" s="94"/>
      <c r="AV482" s="94"/>
      <c r="BB482" s="108">
        <f>Schäden_Einband!X482+Schäden_Buchblock!AC482</f>
        <v>0</v>
      </c>
      <c r="BC482" s="95"/>
    </row>
    <row r="483" spans="1:55" x14ac:dyDescent="0.25">
      <c r="A483" s="82">
        <v>460</v>
      </c>
      <c r="B483" s="64" t="s">
        <v>1059</v>
      </c>
      <c r="C483" s="64">
        <v>1066970106</v>
      </c>
      <c r="D483" s="84" t="str">
        <f t="shared" si="8"/>
        <v>https://portal.dnb.de/opac.htm?method=simpleSearch&amp;cqlMode=true&amp;query=idn%3D1066970106</v>
      </c>
      <c r="E483" s="64" t="s">
        <v>1060</v>
      </c>
      <c r="F483" s="82"/>
      <c r="G483" s="85"/>
      <c r="H483" s="82"/>
      <c r="I483" s="85"/>
      <c r="J483" s="85"/>
      <c r="K483" s="82"/>
      <c r="L483" s="82"/>
      <c r="M483" s="82"/>
      <c r="N483" s="82"/>
      <c r="O483" s="82"/>
      <c r="P483" s="82"/>
      <c r="Q483" s="82"/>
      <c r="R483" s="82"/>
      <c r="S483" s="97"/>
      <c r="T483" s="97"/>
      <c r="X483" s="94"/>
      <c r="Y483" s="95"/>
      <c r="Z483" s="95"/>
      <c r="AA483" s="94"/>
      <c r="AB483" s="94"/>
      <c r="AC483" s="94"/>
      <c r="AD483" s="94"/>
      <c r="AE483" s="94"/>
      <c r="AF483" s="94"/>
      <c r="AS483" s="94"/>
      <c r="AT483" s="94"/>
      <c r="AU483" s="94"/>
      <c r="AV483" s="94"/>
      <c r="BB483" s="108">
        <f>Schäden_Einband!X483+Schäden_Buchblock!AC483</f>
        <v>0</v>
      </c>
      <c r="BC483" s="95"/>
    </row>
    <row r="484" spans="1:55" ht="46" x14ac:dyDescent="0.25">
      <c r="A484" s="82">
        <v>461</v>
      </c>
      <c r="B484" s="64" t="s">
        <v>1061</v>
      </c>
      <c r="C484" s="64">
        <v>1066970157</v>
      </c>
      <c r="D484" s="84" t="str">
        <f t="shared" si="8"/>
        <v>https://portal.dnb.de/opac.htm?method=simpleSearch&amp;cqlMode=true&amp;query=idn%3D1066970157</v>
      </c>
      <c r="E484" s="64" t="s">
        <v>1062</v>
      </c>
      <c r="F484" s="82" t="s">
        <v>89</v>
      </c>
      <c r="G484" s="85" t="s">
        <v>1584</v>
      </c>
      <c r="H484" s="82" t="s">
        <v>51</v>
      </c>
      <c r="I484" s="85" t="s">
        <v>55</v>
      </c>
      <c r="J484" s="85" t="s">
        <v>1591</v>
      </c>
      <c r="K484" s="82" t="s">
        <v>67</v>
      </c>
      <c r="L484" s="82" t="s">
        <v>35</v>
      </c>
      <c r="M484" s="82" t="s">
        <v>37</v>
      </c>
      <c r="N484" s="82">
        <v>1</v>
      </c>
      <c r="O484" s="82"/>
      <c r="P484" s="82" t="s">
        <v>1681</v>
      </c>
      <c r="Q484" s="82"/>
      <c r="R484" s="82"/>
      <c r="S484" s="97"/>
      <c r="T484" s="97"/>
      <c r="X484" s="94"/>
      <c r="Y484" s="95"/>
      <c r="Z484" s="95"/>
      <c r="AA484" s="94"/>
      <c r="AB484" s="94"/>
      <c r="AC484" s="94"/>
      <c r="AD484" s="94"/>
      <c r="AE484" s="94"/>
      <c r="AF484" s="94"/>
      <c r="AS484" s="94"/>
      <c r="AT484" s="94"/>
      <c r="AU484" s="94"/>
      <c r="AV484" s="94"/>
      <c r="BB484" s="108">
        <f>Schäden_Einband!X484+Schäden_Buchblock!AC484</f>
        <v>0</v>
      </c>
      <c r="BC484" s="95"/>
    </row>
    <row r="485" spans="1:55" ht="46" x14ac:dyDescent="0.25">
      <c r="A485" s="82">
        <v>462</v>
      </c>
      <c r="B485" s="64" t="s">
        <v>1063</v>
      </c>
      <c r="C485" s="64" t="s">
        <v>1064</v>
      </c>
      <c r="D485" s="84" t="str">
        <f t="shared" si="8"/>
        <v>https://portal.dnb.de/opac.htm?method=simpleSearch&amp;cqlMode=true&amp;query=idn%3D106697098X</v>
      </c>
      <c r="E485" s="64" t="s">
        <v>1065</v>
      </c>
      <c r="F485" s="82" t="s">
        <v>89</v>
      </c>
      <c r="G485" s="85" t="s">
        <v>1584</v>
      </c>
      <c r="H485" s="82" t="s">
        <v>51</v>
      </c>
      <c r="I485" s="85" t="s">
        <v>86</v>
      </c>
      <c r="J485" s="85" t="s">
        <v>1650</v>
      </c>
      <c r="K485" s="82"/>
      <c r="L485" s="82" t="s">
        <v>35</v>
      </c>
      <c r="M485" s="82" t="s">
        <v>37</v>
      </c>
      <c r="N485" s="82">
        <v>1</v>
      </c>
      <c r="O485" s="82"/>
      <c r="P485" s="82" t="s">
        <v>1638</v>
      </c>
      <c r="Q485" s="82"/>
      <c r="R485" s="82"/>
      <c r="S485" s="97"/>
      <c r="T485" s="97"/>
      <c r="X485" s="94"/>
      <c r="Y485" s="95"/>
      <c r="Z485" s="95"/>
      <c r="AA485" s="94"/>
      <c r="AB485" s="94"/>
      <c r="AC485" s="94"/>
      <c r="AD485" s="94"/>
      <c r="AE485" s="94"/>
      <c r="AF485" s="94"/>
      <c r="AS485" s="94"/>
      <c r="AT485" s="94"/>
      <c r="AU485" s="94"/>
      <c r="AV485" s="94"/>
      <c r="BB485" s="108">
        <f>Schäden_Einband!X485+Schäden_Buchblock!AC485</f>
        <v>0</v>
      </c>
      <c r="BC485" s="95"/>
    </row>
    <row r="486" spans="1:55" ht="46" x14ac:dyDescent="0.25">
      <c r="A486" s="82">
        <v>463</v>
      </c>
      <c r="B486" s="64" t="s">
        <v>1066</v>
      </c>
      <c r="C486" s="64">
        <v>1066971196</v>
      </c>
      <c r="D486" s="84" t="str">
        <f t="shared" si="8"/>
        <v>https://portal.dnb.de/opac.htm?method=simpleSearch&amp;cqlMode=true&amp;query=idn%3D1066971196</v>
      </c>
      <c r="E486" s="64" t="s">
        <v>1067</v>
      </c>
      <c r="F486" s="82" t="s">
        <v>89</v>
      </c>
      <c r="G486" s="85" t="s">
        <v>1585</v>
      </c>
      <c r="H486" s="82" t="s">
        <v>51</v>
      </c>
      <c r="I486" s="85" t="s">
        <v>90</v>
      </c>
      <c r="J486" s="85" t="s">
        <v>61</v>
      </c>
      <c r="K486" s="82"/>
      <c r="L486" s="82" t="s">
        <v>35</v>
      </c>
      <c r="M486" s="82" t="s">
        <v>37</v>
      </c>
      <c r="N486" s="82">
        <v>0</v>
      </c>
      <c r="O486" s="82"/>
      <c r="P486" s="82"/>
      <c r="Q486" s="82"/>
      <c r="R486" s="82"/>
      <c r="S486" s="97"/>
      <c r="T486" s="97"/>
      <c r="X486" s="94"/>
      <c r="Y486" s="95"/>
      <c r="Z486" s="95"/>
      <c r="AA486" s="94"/>
      <c r="AB486" s="94"/>
      <c r="AC486" s="94"/>
      <c r="AD486" s="94"/>
      <c r="AE486" s="94"/>
      <c r="AF486" s="94"/>
      <c r="AS486" s="94"/>
      <c r="AT486" s="94"/>
      <c r="AU486" s="94"/>
      <c r="AV486" s="94"/>
      <c r="BB486" s="108">
        <f>Schäden_Einband!X486+Schäden_Buchblock!AC486</f>
        <v>0</v>
      </c>
      <c r="BC486" s="95"/>
    </row>
    <row r="487" spans="1:55" ht="46" x14ac:dyDescent="0.25">
      <c r="A487" s="82">
        <v>464</v>
      </c>
      <c r="B487" s="64" t="s">
        <v>1068</v>
      </c>
      <c r="C487" s="64" t="s">
        <v>1069</v>
      </c>
      <c r="D487" s="84" t="str">
        <f t="shared" si="8"/>
        <v>https://portal.dnb.de/opac.htm?method=simpleSearch&amp;cqlMode=true&amp;query=idn%3D106696694X</v>
      </c>
      <c r="E487" s="64" t="s">
        <v>1070</v>
      </c>
      <c r="F487" s="82" t="s">
        <v>89</v>
      </c>
      <c r="G487" s="85" t="s">
        <v>1584</v>
      </c>
      <c r="H487" s="82" t="s">
        <v>50</v>
      </c>
      <c r="I487" s="85" t="s">
        <v>90</v>
      </c>
      <c r="J487" s="85" t="s">
        <v>1604</v>
      </c>
      <c r="K487" s="82"/>
      <c r="L487" s="82" t="s">
        <v>35</v>
      </c>
      <c r="M487" s="82" t="s">
        <v>37</v>
      </c>
      <c r="N487" s="82">
        <v>2</v>
      </c>
      <c r="O487" s="82"/>
      <c r="P487" s="82"/>
      <c r="Q487" s="82"/>
      <c r="R487" s="82"/>
      <c r="S487" s="97"/>
      <c r="T487" s="97"/>
      <c r="X487" s="94"/>
      <c r="Y487" s="95"/>
      <c r="Z487" s="95"/>
      <c r="AA487" s="94"/>
      <c r="AB487" s="94"/>
      <c r="AC487" s="94"/>
      <c r="AD487" s="94"/>
      <c r="AE487" s="94"/>
      <c r="AF487" s="94"/>
      <c r="AS487" s="94"/>
      <c r="AT487" s="94"/>
      <c r="AU487" s="94"/>
      <c r="AV487" s="94"/>
      <c r="BB487" s="108">
        <f>Schäden_Einband!X487+Schäden_Buchblock!AC487</f>
        <v>0</v>
      </c>
      <c r="BC487" s="95"/>
    </row>
    <row r="488" spans="1:55" ht="46" x14ac:dyDescent="0.25">
      <c r="A488" s="82">
        <v>465</v>
      </c>
      <c r="B488" s="64" t="s">
        <v>1071</v>
      </c>
      <c r="C488" s="64">
        <v>1066967539</v>
      </c>
      <c r="D488" s="84" t="str">
        <f t="shared" si="8"/>
        <v>https://portal.dnb.de/opac.htm?method=simpleSearch&amp;cqlMode=true&amp;query=idn%3D1066967539</v>
      </c>
      <c r="E488" s="64" t="s">
        <v>1072</v>
      </c>
      <c r="F488" s="82" t="s">
        <v>89</v>
      </c>
      <c r="G488" s="85" t="s">
        <v>1584</v>
      </c>
      <c r="H488" s="82" t="s">
        <v>51</v>
      </c>
      <c r="I488" s="85" t="s">
        <v>55</v>
      </c>
      <c r="J488" s="85" t="s">
        <v>81</v>
      </c>
      <c r="K488" s="82"/>
      <c r="L488" s="82" t="s">
        <v>35</v>
      </c>
      <c r="M488" s="82" t="s">
        <v>37</v>
      </c>
      <c r="N488" s="82">
        <v>1</v>
      </c>
      <c r="O488" s="82"/>
      <c r="P488" s="82"/>
      <c r="Q488" s="82"/>
      <c r="R488" s="82"/>
      <c r="S488" s="97"/>
      <c r="T488" s="97"/>
      <c r="X488" s="94"/>
      <c r="Y488" s="95"/>
      <c r="Z488" s="95"/>
      <c r="AA488" s="94"/>
      <c r="AB488" s="94"/>
      <c r="AC488" s="94"/>
      <c r="AD488" s="94"/>
      <c r="AE488" s="94"/>
      <c r="AF488" s="94"/>
      <c r="AS488" s="94"/>
      <c r="AT488" s="94"/>
      <c r="AU488" s="94"/>
      <c r="AV488" s="94"/>
      <c r="BB488" s="108">
        <f>Schäden_Einband!X488+Schäden_Buchblock!AC488</f>
        <v>0</v>
      </c>
      <c r="BC488" s="95"/>
    </row>
    <row r="489" spans="1:55" ht="23" x14ac:dyDescent="0.25">
      <c r="A489" s="82">
        <v>466</v>
      </c>
      <c r="B489" s="64" t="s">
        <v>1073</v>
      </c>
      <c r="C489" s="64" t="s">
        <v>1074</v>
      </c>
      <c r="D489" s="84" t="str">
        <f t="shared" si="8"/>
        <v>https://portal.dnb.de/opac.htm?method=simpleSearch&amp;cqlMode=true&amp;query=idn%3D106696534X</v>
      </c>
      <c r="E489" s="64" t="s">
        <v>1075</v>
      </c>
      <c r="F489" s="82" t="s">
        <v>89</v>
      </c>
      <c r="G489" s="85" t="s">
        <v>3</v>
      </c>
      <c r="H489" s="82" t="s">
        <v>50</v>
      </c>
      <c r="I489" s="85" t="s">
        <v>90</v>
      </c>
      <c r="J489" s="85" t="s">
        <v>1586</v>
      </c>
      <c r="K489" s="82" t="s">
        <v>67</v>
      </c>
      <c r="L489" s="82" t="s">
        <v>35</v>
      </c>
      <c r="M489" s="82" t="s">
        <v>37</v>
      </c>
      <c r="N489" s="82">
        <v>1</v>
      </c>
      <c r="O489" s="82"/>
      <c r="P489" s="82"/>
      <c r="Q489" s="82"/>
      <c r="R489" s="82"/>
      <c r="S489" s="97"/>
      <c r="T489" s="97"/>
      <c r="X489" s="94"/>
      <c r="Y489" s="95"/>
      <c r="Z489" s="95"/>
      <c r="AA489" s="94"/>
      <c r="AB489" s="94"/>
      <c r="AC489" s="94"/>
      <c r="AD489" s="94"/>
      <c r="AE489" s="94"/>
      <c r="AF489" s="94"/>
      <c r="AS489" s="94"/>
      <c r="AT489" s="94"/>
      <c r="AU489" s="94"/>
      <c r="AV489" s="94"/>
      <c r="BB489" s="108">
        <f>Schäden_Einband!X489+Schäden_Buchblock!AC489</f>
        <v>0</v>
      </c>
      <c r="BC489" s="95"/>
    </row>
    <row r="490" spans="1:55" ht="23" x14ac:dyDescent="0.25">
      <c r="A490" s="82">
        <v>467</v>
      </c>
      <c r="B490" s="64" t="s">
        <v>1076</v>
      </c>
      <c r="C490" s="64">
        <v>1066965293</v>
      </c>
      <c r="D490" s="84" t="str">
        <f t="shared" si="8"/>
        <v>https://portal.dnb.de/opac.htm?method=simpleSearch&amp;cqlMode=true&amp;query=idn%3D1066965293</v>
      </c>
      <c r="E490" s="64" t="s">
        <v>1077</v>
      </c>
      <c r="F490" s="82" t="s">
        <v>89</v>
      </c>
      <c r="G490" s="85" t="s">
        <v>4</v>
      </c>
      <c r="H490" s="82" t="s">
        <v>51</v>
      </c>
      <c r="I490" s="85" t="s">
        <v>55</v>
      </c>
      <c r="J490" s="85" t="s">
        <v>1586</v>
      </c>
      <c r="K490" s="82" t="s">
        <v>67</v>
      </c>
      <c r="L490" s="82" t="s">
        <v>35</v>
      </c>
      <c r="M490" s="82" t="s">
        <v>37</v>
      </c>
      <c r="N490" s="82">
        <v>0</v>
      </c>
      <c r="O490" s="82"/>
      <c r="P490" s="82"/>
      <c r="Q490" s="82"/>
      <c r="R490" s="82"/>
      <c r="S490" s="97"/>
      <c r="T490" s="97"/>
      <c r="X490" s="94"/>
      <c r="Y490" s="95"/>
      <c r="Z490" s="95"/>
      <c r="AA490" s="94"/>
      <c r="AB490" s="94"/>
      <c r="AC490" s="94"/>
      <c r="AD490" s="94"/>
      <c r="AE490" s="94"/>
      <c r="AF490" s="94"/>
      <c r="AS490" s="94"/>
      <c r="AT490" s="94"/>
      <c r="AU490" s="94"/>
      <c r="AV490" s="94"/>
      <c r="BB490" s="108">
        <f>Schäden_Einband!X490+Schäden_Buchblock!AC490</f>
        <v>0</v>
      </c>
      <c r="BC490" s="95"/>
    </row>
    <row r="491" spans="1:55" ht="46" x14ac:dyDescent="0.25">
      <c r="A491" s="82">
        <v>468</v>
      </c>
      <c r="B491" s="64" t="s">
        <v>1078</v>
      </c>
      <c r="C491" s="64">
        <v>1066966931</v>
      </c>
      <c r="D491" s="84" t="str">
        <f t="shared" si="8"/>
        <v>https://portal.dnb.de/opac.htm?method=simpleSearch&amp;cqlMode=true&amp;query=idn%3D1066966931</v>
      </c>
      <c r="E491" s="64" t="s">
        <v>1079</v>
      </c>
      <c r="F491" s="82" t="s">
        <v>89</v>
      </c>
      <c r="G491" s="85" t="s">
        <v>1585</v>
      </c>
      <c r="H491" s="82" t="s">
        <v>51</v>
      </c>
      <c r="I491" s="85" t="s">
        <v>90</v>
      </c>
      <c r="J491" s="85" t="s">
        <v>1586</v>
      </c>
      <c r="K491" s="82" t="s">
        <v>67</v>
      </c>
      <c r="L491" s="82" t="s">
        <v>35</v>
      </c>
      <c r="M491" s="82" t="s">
        <v>37</v>
      </c>
      <c r="N491" s="82">
        <v>0</v>
      </c>
      <c r="O491" s="82"/>
      <c r="P491" s="82"/>
      <c r="Q491" s="82"/>
      <c r="R491" s="82"/>
      <c r="S491" s="97"/>
      <c r="T491" s="97"/>
      <c r="X491" s="94"/>
      <c r="Y491" s="95"/>
      <c r="Z491" s="95"/>
      <c r="AA491" s="94"/>
      <c r="AB491" s="94"/>
      <c r="AC491" s="94"/>
      <c r="AD491" s="94"/>
      <c r="AE491" s="94"/>
      <c r="AF491" s="94"/>
      <c r="AS491" s="94"/>
      <c r="AT491" s="94"/>
      <c r="AU491" s="94"/>
      <c r="AV491" s="94"/>
      <c r="BB491" s="108">
        <f>Schäden_Einband!X491+Schäden_Buchblock!AC491</f>
        <v>0</v>
      </c>
      <c r="BC491" s="95"/>
    </row>
    <row r="492" spans="1:55" ht="46" x14ac:dyDescent="0.25">
      <c r="A492" s="82">
        <v>469</v>
      </c>
      <c r="B492" s="64" t="s">
        <v>1080</v>
      </c>
      <c r="C492" s="64">
        <v>1066965862</v>
      </c>
      <c r="D492" s="84" t="str">
        <f t="shared" si="8"/>
        <v>https://portal.dnb.de/opac.htm?method=simpleSearch&amp;cqlMode=true&amp;query=idn%3D1066965862</v>
      </c>
      <c r="E492" s="64" t="s">
        <v>1081</v>
      </c>
      <c r="F492" s="82"/>
      <c r="G492" s="85" t="s">
        <v>1585</v>
      </c>
      <c r="H492" s="82" t="s">
        <v>51</v>
      </c>
      <c r="I492" s="85" t="s">
        <v>90</v>
      </c>
      <c r="J492" s="85" t="s">
        <v>1583</v>
      </c>
      <c r="K492" s="82" t="s">
        <v>67</v>
      </c>
      <c r="L492" s="82" t="s">
        <v>35</v>
      </c>
      <c r="M492" s="82" t="s">
        <v>37</v>
      </c>
      <c r="N492" s="82">
        <v>1</v>
      </c>
      <c r="O492" s="82"/>
      <c r="P492" s="82"/>
      <c r="Q492" s="82"/>
      <c r="R492" s="82"/>
      <c r="S492" s="97"/>
      <c r="T492" s="97"/>
      <c r="X492" s="94"/>
      <c r="Y492" s="95"/>
      <c r="Z492" s="95"/>
      <c r="AA492" s="94"/>
      <c r="AB492" s="94"/>
      <c r="AC492" s="94"/>
      <c r="AD492" s="94"/>
      <c r="AE492" s="94"/>
      <c r="AF492" s="94"/>
      <c r="AS492" s="94"/>
      <c r="AT492" s="94"/>
      <c r="AU492" s="94"/>
      <c r="AV492" s="94"/>
      <c r="BB492" s="108">
        <f>Schäden_Einband!X492+Schäden_Buchblock!AC492</f>
        <v>0</v>
      </c>
      <c r="BC492" s="95"/>
    </row>
    <row r="493" spans="1:55" ht="46" x14ac:dyDescent="0.25">
      <c r="A493" s="82">
        <v>470</v>
      </c>
      <c r="B493" s="64" t="s">
        <v>1082</v>
      </c>
      <c r="C493" s="64">
        <v>1066971471</v>
      </c>
      <c r="D493" s="84" t="str">
        <f t="shared" si="8"/>
        <v>https://portal.dnb.de/opac.htm?method=simpleSearch&amp;cqlMode=true&amp;query=idn%3D1066971471</v>
      </c>
      <c r="E493" s="64" t="s">
        <v>1083</v>
      </c>
      <c r="F493" s="82" t="s">
        <v>89</v>
      </c>
      <c r="G493" s="85" t="s">
        <v>1585</v>
      </c>
      <c r="H493" s="82" t="s">
        <v>51</v>
      </c>
      <c r="I493" s="85" t="s">
        <v>90</v>
      </c>
      <c r="J493" s="85" t="s">
        <v>94</v>
      </c>
      <c r="K493" s="82"/>
      <c r="L493" s="82" t="s">
        <v>35</v>
      </c>
      <c r="M493" s="82" t="s">
        <v>37</v>
      </c>
      <c r="N493" s="82">
        <v>1</v>
      </c>
      <c r="O493" s="82"/>
      <c r="P493" s="82" t="s">
        <v>1681</v>
      </c>
      <c r="Q493" s="82"/>
      <c r="R493" s="82"/>
      <c r="S493" s="97"/>
      <c r="T493" s="97"/>
      <c r="X493" s="94"/>
      <c r="Y493" s="95"/>
      <c r="Z493" s="95"/>
      <c r="AA493" s="94"/>
      <c r="AB493" s="94"/>
      <c r="AC493" s="94"/>
      <c r="AD493" s="94"/>
      <c r="AE493" s="94"/>
      <c r="AF493" s="94"/>
      <c r="AS493" s="94"/>
      <c r="AT493" s="94"/>
      <c r="AU493" s="94"/>
      <c r="AV493" s="94"/>
      <c r="BB493" s="108">
        <f>Schäden_Einband!X493+Schäden_Buchblock!AC493</f>
        <v>0</v>
      </c>
      <c r="BC493" s="95"/>
    </row>
    <row r="494" spans="1:55" x14ac:dyDescent="0.25">
      <c r="A494" s="82">
        <v>471</v>
      </c>
      <c r="B494" s="64" t="s">
        <v>1084</v>
      </c>
      <c r="C494" s="64">
        <v>1084611961</v>
      </c>
      <c r="D494" s="84" t="str">
        <f t="shared" si="8"/>
        <v>https://portal.dnb.de/opac.htm?method=simpleSearch&amp;cqlMode=true&amp;query=idn%3D1084611961</v>
      </c>
      <c r="E494" s="64" t="s">
        <v>1085</v>
      </c>
      <c r="F494" s="82"/>
      <c r="G494" s="85"/>
      <c r="H494" s="82"/>
      <c r="I494" s="85"/>
      <c r="J494" s="85"/>
      <c r="K494" s="82"/>
      <c r="L494" s="82"/>
      <c r="M494" s="82"/>
      <c r="N494" s="82"/>
      <c r="O494" s="82"/>
      <c r="P494" s="82"/>
      <c r="Q494" s="82"/>
      <c r="R494" s="82"/>
      <c r="S494" s="97"/>
      <c r="T494" s="97"/>
      <c r="X494" s="94"/>
      <c r="Y494" s="95"/>
      <c r="Z494" s="95"/>
      <c r="AA494" s="94"/>
      <c r="AB494" s="94"/>
      <c r="AC494" s="94"/>
      <c r="AD494" s="94"/>
      <c r="AE494" s="94"/>
      <c r="AF494" s="94"/>
      <c r="AS494" s="94"/>
      <c r="AT494" s="94"/>
      <c r="AU494" s="94"/>
      <c r="AV494" s="94"/>
      <c r="BB494" s="108">
        <f>Schäden_Einband!X494+Schäden_Buchblock!AC494</f>
        <v>0</v>
      </c>
      <c r="BC494" s="95"/>
    </row>
    <row r="495" spans="1:55" ht="46" x14ac:dyDescent="0.25">
      <c r="A495" s="82">
        <v>472</v>
      </c>
      <c r="B495" s="64" t="s">
        <v>1086</v>
      </c>
      <c r="C495" s="64">
        <v>1066968861</v>
      </c>
      <c r="D495" s="84" t="str">
        <f t="shared" si="8"/>
        <v>https://portal.dnb.de/opac.htm?method=simpleSearch&amp;cqlMode=true&amp;query=idn%3D1066968861</v>
      </c>
      <c r="E495" s="64" t="s">
        <v>1087</v>
      </c>
      <c r="F495" s="82" t="s">
        <v>89</v>
      </c>
      <c r="G495" s="85" t="s">
        <v>1584</v>
      </c>
      <c r="H495" s="82" t="s">
        <v>50</v>
      </c>
      <c r="I495" s="85" t="s">
        <v>90</v>
      </c>
      <c r="J495" s="85" t="s">
        <v>1586</v>
      </c>
      <c r="K495" s="82" t="s">
        <v>67</v>
      </c>
      <c r="L495" s="82" t="s">
        <v>35</v>
      </c>
      <c r="M495" s="82" t="s">
        <v>37</v>
      </c>
      <c r="N495" s="82">
        <v>0</v>
      </c>
      <c r="O495" s="82"/>
      <c r="P495" s="82"/>
      <c r="Q495" s="82"/>
      <c r="R495" s="82"/>
      <c r="S495" s="97"/>
      <c r="T495" s="97"/>
      <c r="X495" s="94"/>
      <c r="Y495" s="95"/>
      <c r="Z495" s="95"/>
      <c r="AA495" s="94"/>
      <c r="AB495" s="94"/>
      <c r="AC495" s="94"/>
      <c r="AD495" s="94"/>
      <c r="AE495" s="94"/>
      <c r="AF495" s="94"/>
      <c r="AS495" s="94"/>
      <c r="AT495" s="94"/>
      <c r="AU495" s="94"/>
      <c r="AV495" s="94"/>
      <c r="BB495" s="108">
        <f>Schäden_Einband!X495+Schäden_Buchblock!AC495</f>
        <v>0</v>
      </c>
      <c r="BC495" s="95"/>
    </row>
    <row r="496" spans="1:55" ht="46" x14ac:dyDescent="0.25">
      <c r="A496" s="82">
        <v>473</v>
      </c>
      <c r="B496" s="64" t="s">
        <v>1088</v>
      </c>
      <c r="C496" s="64">
        <v>1066971978</v>
      </c>
      <c r="D496" s="84" t="str">
        <f t="shared" si="8"/>
        <v>https://portal.dnb.de/opac.htm?method=simpleSearch&amp;cqlMode=true&amp;query=idn%3D1066971978</v>
      </c>
      <c r="E496" s="64" t="s">
        <v>1089</v>
      </c>
      <c r="F496" s="82" t="s">
        <v>89</v>
      </c>
      <c r="G496" s="85" t="s">
        <v>1585</v>
      </c>
      <c r="H496" s="82" t="s">
        <v>51</v>
      </c>
      <c r="I496" s="85" t="s">
        <v>90</v>
      </c>
      <c r="J496" s="85" t="s">
        <v>1587</v>
      </c>
      <c r="K496" s="82" t="s">
        <v>67</v>
      </c>
      <c r="L496" s="82" t="s">
        <v>35</v>
      </c>
      <c r="M496" s="82" t="s">
        <v>37</v>
      </c>
      <c r="N496" s="82">
        <v>1</v>
      </c>
      <c r="O496" s="82"/>
      <c r="P496" s="82"/>
      <c r="Q496" s="82"/>
      <c r="R496" s="82"/>
      <c r="S496" s="97"/>
      <c r="T496" s="97"/>
      <c r="X496" s="94"/>
      <c r="Y496" s="95"/>
      <c r="Z496" s="95"/>
      <c r="AA496" s="94"/>
      <c r="AB496" s="94"/>
      <c r="AC496" s="94"/>
      <c r="AD496" s="94"/>
      <c r="AE496" s="94"/>
      <c r="AF496" s="94"/>
      <c r="AS496" s="94"/>
      <c r="AT496" s="94"/>
      <c r="AU496" s="94"/>
      <c r="AV496" s="94"/>
      <c r="BB496" s="108">
        <f>Schäden_Einband!X496+Schäden_Buchblock!AC496</f>
        <v>0</v>
      </c>
      <c r="BC496" s="95"/>
    </row>
    <row r="497" spans="1:55" ht="46" x14ac:dyDescent="0.25">
      <c r="A497" s="82">
        <v>474</v>
      </c>
      <c r="B497" s="64" t="s">
        <v>1090</v>
      </c>
      <c r="C497" s="64" t="s">
        <v>1091</v>
      </c>
      <c r="D497" s="84" t="str">
        <f t="shared" si="8"/>
        <v>https://portal.dnb.de/opac.htm?method=simpleSearch&amp;cqlMode=true&amp;query=idn%3D106697148X</v>
      </c>
      <c r="E497" s="64" t="s">
        <v>1092</v>
      </c>
      <c r="F497" s="82"/>
      <c r="G497" s="85" t="s">
        <v>1585</v>
      </c>
      <c r="H497" s="82" t="s">
        <v>51</v>
      </c>
      <c r="I497" s="85" t="s">
        <v>90</v>
      </c>
      <c r="J497" s="85"/>
      <c r="K497" s="82"/>
      <c r="L497" s="82" t="s">
        <v>35</v>
      </c>
      <c r="M497" s="82" t="s">
        <v>37</v>
      </c>
      <c r="N497" s="82">
        <v>0</v>
      </c>
      <c r="O497" s="82"/>
      <c r="P497" s="82"/>
      <c r="Q497" s="82"/>
      <c r="R497" s="82"/>
      <c r="S497" s="97"/>
      <c r="T497" s="97"/>
      <c r="X497" s="94"/>
      <c r="Y497" s="95"/>
      <c r="Z497" s="95"/>
      <c r="AA497" s="94"/>
      <c r="AB497" s="94"/>
      <c r="AC497" s="94"/>
      <c r="AD497" s="94"/>
      <c r="AE497" s="94"/>
      <c r="AF497" s="94"/>
      <c r="AS497" s="94"/>
      <c r="AT497" s="94"/>
      <c r="AU497" s="94"/>
      <c r="AV497" s="94"/>
      <c r="BB497" s="108">
        <f>Schäden_Einband!X497+Schäden_Buchblock!AC497</f>
        <v>0</v>
      </c>
      <c r="BC497" s="95"/>
    </row>
    <row r="498" spans="1:55" ht="46" x14ac:dyDescent="0.25">
      <c r="A498" s="82">
        <v>475</v>
      </c>
      <c r="B498" s="64" t="s">
        <v>1093</v>
      </c>
      <c r="C498" s="64">
        <v>1066965307</v>
      </c>
      <c r="D498" s="84" t="str">
        <f t="shared" si="8"/>
        <v>https://portal.dnb.de/opac.htm?method=simpleSearch&amp;cqlMode=true&amp;query=idn%3D1066965307</v>
      </c>
      <c r="E498" s="64" t="s">
        <v>1094</v>
      </c>
      <c r="F498" s="82" t="s">
        <v>89</v>
      </c>
      <c r="G498" s="85" t="s">
        <v>1585</v>
      </c>
      <c r="H498" s="82" t="s">
        <v>51</v>
      </c>
      <c r="I498" s="85" t="s">
        <v>86</v>
      </c>
      <c r="J498" s="85" t="s">
        <v>1612</v>
      </c>
      <c r="K498" s="82" t="s">
        <v>67</v>
      </c>
      <c r="L498" s="82" t="s">
        <v>35</v>
      </c>
      <c r="M498" s="82" t="s">
        <v>37</v>
      </c>
      <c r="N498" s="82">
        <v>1</v>
      </c>
      <c r="O498" s="82"/>
      <c r="P498" s="82"/>
      <c r="Q498" s="82"/>
      <c r="R498" s="82"/>
      <c r="S498" s="97"/>
      <c r="T498" s="97"/>
      <c r="X498" s="94"/>
      <c r="Y498" s="95"/>
      <c r="Z498" s="95"/>
      <c r="AA498" s="94"/>
      <c r="AB498" s="94"/>
      <c r="AC498" s="94"/>
      <c r="AD498" s="94"/>
      <c r="AE498" s="94"/>
      <c r="AF498" s="94"/>
      <c r="AS498" s="94"/>
      <c r="AT498" s="94"/>
      <c r="AU498" s="94"/>
      <c r="AV498" s="94"/>
      <c r="BB498" s="108">
        <f>Schäden_Einband!X498+Schäden_Buchblock!AC498</f>
        <v>0</v>
      </c>
      <c r="BC498" s="95"/>
    </row>
    <row r="499" spans="1:55" ht="46" x14ac:dyDescent="0.25">
      <c r="A499" s="82">
        <v>476</v>
      </c>
      <c r="B499" s="64" t="s">
        <v>1095</v>
      </c>
      <c r="C499" s="64">
        <v>1066971870</v>
      </c>
      <c r="D499" s="84" t="str">
        <f t="shared" si="8"/>
        <v>https://portal.dnb.de/opac.htm?method=simpleSearch&amp;cqlMode=true&amp;query=idn%3D1066971870</v>
      </c>
      <c r="E499" s="64" t="s">
        <v>1096</v>
      </c>
      <c r="F499" s="82" t="s">
        <v>89</v>
      </c>
      <c r="G499" s="85" t="s">
        <v>1584</v>
      </c>
      <c r="H499" s="82" t="s">
        <v>51</v>
      </c>
      <c r="I499" s="85" t="s">
        <v>90</v>
      </c>
      <c r="J499" s="85" t="s">
        <v>1586</v>
      </c>
      <c r="K499" s="82" t="s">
        <v>67</v>
      </c>
      <c r="L499" s="82" t="s">
        <v>35</v>
      </c>
      <c r="M499" s="82" t="s">
        <v>37</v>
      </c>
      <c r="N499" s="82">
        <v>1</v>
      </c>
      <c r="O499" s="82"/>
      <c r="P499" s="82"/>
      <c r="Q499" s="82"/>
      <c r="R499" s="82"/>
      <c r="S499" s="97"/>
      <c r="T499" s="97"/>
      <c r="X499" s="94"/>
      <c r="Y499" s="95"/>
      <c r="Z499" s="95"/>
      <c r="AA499" s="94"/>
      <c r="AB499" s="94"/>
      <c r="AC499" s="94"/>
      <c r="AD499" s="94"/>
      <c r="AE499" s="94"/>
      <c r="AF499" s="94"/>
      <c r="AS499" s="94"/>
      <c r="AT499" s="94"/>
      <c r="AU499" s="94"/>
      <c r="AV499" s="94"/>
      <c r="BB499" s="108">
        <f>Schäden_Einband!X499+Schäden_Buchblock!AC499</f>
        <v>0</v>
      </c>
      <c r="BC499" s="95"/>
    </row>
    <row r="500" spans="1:55" ht="46" x14ac:dyDescent="0.25">
      <c r="A500" s="82">
        <v>477</v>
      </c>
      <c r="B500" s="64" t="s">
        <v>1097</v>
      </c>
      <c r="C500" s="64">
        <v>1066966214</v>
      </c>
      <c r="D500" s="84" t="str">
        <f t="shared" si="8"/>
        <v>https://portal.dnb.de/opac.htm?method=simpleSearch&amp;cqlMode=true&amp;query=idn%3D1066966214</v>
      </c>
      <c r="E500" s="64" t="s">
        <v>1098</v>
      </c>
      <c r="F500" s="82" t="s">
        <v>89</v>
      </c>
      <c r="G500" s="85" t="s">
        <v>1585</v>
      </c>
      <c r="H500" s="82" t="s">
        <v>51</v>
      </c>
      <c r="I500" s="85" t="s">
        <v>86</v>
      </c>
      <c r="J500" s="85" t="s">
        <v>1583</v>
      </c>
      <c r="K500" s="82" t="s">
        <v>67</v>
      </c>
      <c r="L500" s="82" t="s">
        <v>35</v>
      </c>
      <c r="M500" s="82" t="s">
        <v>37</v>
      </c>
      <c r="N500" s="82">
        <v>1</v>
      </c>
      <c r="O500" s="82"/>
      <c r="P500" s="82"/>
      <c r="Q500" s="82"/>
      <c r="R500" s="82"/>
      <c r="S500" s="97"/>
      <c r="T500" s="97"/>
      <c r="X500" s="94"/>
      <c r="Y500" s="95"/>
      <c r="Z500" s="95"/>
      <c r="AA500" s="94"/>
      <c r="AB500" s="94"/>
      <c r="AC500" s="94"/>
      <c r="AD500" s="94"/>
      <c r="AE500" s="94"/>
      <c r="AF500" s="94"/>
      <c r="AS500" s="94"/>
      <c r="AT500" s="94"/>
      <c r="AU500" s="94"/>
      <c r="AV500" s="94"/>
      <c r="BB500" s="108">
        <f>Schäden_Einband!X500+Schäden_Buchblock!AC500</f>
        <v>0</v>
      </c>
      <c r="BC500" s="95"/>
    </row>
    <row r="501" spans="1:55" ht="46" x14ac:dyDescent="0.25">
      <c r="A501" s="82">
        <v>478</v>
      </c>
      <c r="B501" s="64" t="s">
        <v>1099</v>
      </c>
      <c r="C501" s="64">
        <v>1066966311</v>
      </c>
      <c r="D501" s="84" t="str">
        <f t="shared" si="8"/>
        <v>https://portal.dnb.de/opac.htm?method=simpleSearch&amp;cqlMode=true&amp;query=idn%3D1066966311</v>
      </c>
      <c r="E501" s="64" t="s">
        <v>1100</v>
      </c>
      <c r="F501" s="82" t="s">
        <v>89</v>
      </c>
      <c r="G501" s="85" t="s">
        <v>1584</v>
      </c>
      <c r="H501" s="82" t="s">
        <v>51</v>
      </c>
      <c r="I501" s="85" t="s">
        <v>86</v>
      </c>
      <c r="J501" s="85" t="s">
        <v>1682</v>
      </c>
      <c r="K501" s="82" t="s">
        <v>67</v>
      </c>
      <c r="L501" s="82" t="s">
        <v>35</v>
      </c>
      <c r="M501" s="82" t="s">
        <v>37</v>
      </c>
      <c r="N501" s="82">
        <v>1</v>
      </c>
      <c r="O501" s="82"/>
      <c r="P501" s="82"/>
      <c r="Q501" s="82"/>
      <c r="R501" s="82"/>
      <c r="S501" s="97"/>
      <c r="T501" s="97"/>
      <c r="X501" s="94"/>
      <c r="Y501" s="95"/>
      <c r="Z501" s="95"/>
      <c r="AA501" s="94"/>
      <c r="AB501" s="94"/>
      <c r="AC501" s="94"/>
      <c r="AD501" s="94"/>
      <c r="AE501" s="94"/>
      <c r="AF501" s="94"/>
      <c r="AS501" s="94"/>
      <c r="AT501" s="94"/>
      <c r="AU501" s="94"/>
      <c r="AV501" s="94"/>
      <c r="BB501" s="108">
        <f>Schäden_Einband!X501+Schäden_Buchblock!AC501</f>
        <v>0</v>
      </c>
      <c r="BC501" s="95"/>
    </row>
    <row r="502" spans="1:55" ht="23" x14ac:dyDescent="0.25">
      <c r="A502" s="82">
        <v>479</v>
      </c>
      <c r="B502" s="64" t="s">
        <v>1101</v>
      </c>
      <c r="C502" s="64">
        <v>1072320894</v>
      </c>
      <c r="D502" s="84" t="str">
        <f t="shared" si="8"/>
        <v>https://portal.dnb.de/opac.htm?method=simpleSearch&amp;cqlMode=true&amp;query=idn%3D1072320894</v>
      </c>
      <c r="E502" s="64" t="s">
        <v>1102</v>
      </c>
      <c r="F502" s="82"/>
      <c r="G502" s="85" t="s">
        <v>4</v>
      </c>
      <c r="H502" s="82" t="s">
        <v>50</v>
      </c>
      <c r="I502" s="85" t="s">
        <v>90</v>
      </c>
      <c r="J502" s="85"/>
      <c r="K502" s="82"/>
      <c r="L502" s="82" t="s">
        <v>35</v>
      </c>
      <c r="M502" s="82" t="s">
        <v>37</v>
      </c>
      <c r="N502" s="82">
        <v>0</v>
      </c>
      <c r="O502" s="82"/>
      <c r="P502" s="82"/>
      <c r="Q502" s="82"/>
      <c r="R502" s="82"/>
      <c r="S502" s="97"/>
      <c r="T502" s="97"/>
      <c r="X502" s="94"/>
      <c r="Y502" s="95"/>
      <c r="Z502" s="95"/>
      <c r="AA502" s="94"/>
      <c r="AB502" s="94"/>
      <c r="AC502" s="94"/>
      <c r="AD502" s="94"/>
      <c r="AE502" s="94"/>
      <c r="AF502" s="94"/>
      <c r="AS502" s="94"/>
      <c r="AT502" s="94"/>
      <c r="AU502" s="94"/>
      <c r="AV502" s="94"/>
      <c r="BB502" s="108">
        <f>Schäden_Einband!X502+Schäden_Buchblock!AC502</f>
        <v>0</v>
      </c>
      <c r="BC502" s="95"/>
    </row>
    <row r="503" spans="1:55" ht="23" x14ac:dyDescent="0.25">
      <c r="A503" s="82">
        <v>480</v>
      </c>
      <c r="B503" s="64" t="s">
        <v>1103</v>
      </c>
      <c r="C503" s="64">
        <v>1072321378</v>
      </c>
      <c r="D503" s="84" t="str">
        <f t="shared" si="8"/>
        <v>https://portal.dnb.de/opac.htm?method=simpleSearch&amp;cqlMode=true&amp;query=idn%3D1072321378</v>
      </c>
      <c r="E503" s="64" t="s">
        <v>1104</v>
      </c>
      <c r="F503" s="82"/>
      <c r="G503" s="85" t="s">
        <v>4</v>
      </c>
      <c r="H503" s="82" t="s">
        <v>50</v>
      </c>
      <c r="I503" s="85" t="s">
        <v>86</v>
      </c>
      <c r="J503" s="85" t="s">
        <v>1627</v>
      </c>
      <c r="K503" s="82" t="s">
        <v>67</v>
      </c>
      <c r="L503" s="82" t="s">
        <v>35</v>
      </c>
      <c r="M503" s="82" t="s">
        <v>37</v>
      </c>
      <c r="N503" s="82">
        <v>0</v>
      </c>
      <c r="O503" s="82"/>
      <c r="P503" s="82" t="s">
        <v>1683</v>
      </c>
      <c r="Q503" s="82"/>
      <c r="R503" s="82"/>
      <c r="S503" s="97"/>
      <c r="T503" s="97"/>
      <c r="X503" s="94"/>
      <c r="Y503" s="95"/>
      <c r="Z503" s="95"/>
      <c r="AA503" s="94"/>
      <c r="AB503" s="94"/>
      <c r="AC503" s="94"/>
      <c r="AD503" s="94"/>
      <c r="AE503" s="94"/>
      <c r="AF503" s="94"/>
      <c r="AS503" s="94"/>
      <c r="AT503" s="94"/>
      <c r="AU503" s="94"/>
      <c r="AV503" s="94"/>
      <c r="BB503" s="108">
        <f>Schäden_Einband!X503+Schäden_Buchblock!AC503</f>
        <v>0</v>
      </c>
      <c r="BC503" s="95"/>
    </row>
    <row r="504" spans="1:55" x14ac:dyDescent="0.25">
      <c r="A504" s="82">
        <v>481</v>
      </c>
      <c r="B504" s="64" t="s">
        <v>1105</v>
      </c>
      <c r="C504" s="64">
        <v>1066967806</v>
      </c>
      <c r="D504" s="84" t="str">
        <f t="shared" si="8"/>
        <v>https://portal.dnb.de/opac.htm?method=simpleSearch&amp;cqlMode=true&amp;query=idn%3D1066967806</v>
      </c>
      <c r="E504" s="64" t="s">
        <v>1106</v>
      </c>
      <c r="F504" s="82"/>
      <c r="G504" s="85"/>
      <c r="H504" s="82"/>
      <c r="I504" s="85"/>
      <c r="J504" s="85"/>
      <c r="K504" s="82"/>
      <c r="L504" s="82"/>
      <c r="M504" s="82"/>
      <c r="N504" s="82"/>
      <c r="O504" s="82"/>
      <c r="P504" s="82"/>
      <c r="Q504" s="82"/>
      <c r="R504" s="82"/>
      <c r="S504" s="97"/>
      <c r="T504" s="97"/>
      <c r="X504" s="94"/>
      <c r="Y504" s="95"/>
      <c r="Z504" s="95"/>
      <c r="AA504" s="94"/>
      <c r="AB504" s="94"/>
      <c r="AC504" s="94"/>
      <c r="AD504" s="94"/>
      <c r="AE504" s="94"/>
      <c r="AF504" s="94"/>
      <c r="AS504" s="94"/>
      <c r="AT504" s="94"/>
      <c r="AU504" s="94"/>
      <c r="AV504" s="94"/>
      <c r="BB504" s="108">
        <f>Schäden_Einband!X504+Schäden_Buchblock!AC504</f>
        <v>0</v>
      </c>
      <c r="BC504" s="95"/>
    </row>
    <row r="505" spans="1:55" x14ac:dyDescent="0.25">
      <c r="A505" s="82">
        <v>482</v>
      </c>
      <c r="B505" s="64" t="s">
        <v>1107</v>
      </c>
      <c r="C505" s="64">
        <v>1066971323</v>
      </c>
      <c r="D505" s="84" t="str">
        <f t="shared" si="8"/>
        <v>https://portal.dnb.de/opac.htm?method=simpleSearch&amp;cqlMode=true&amp;query=idn%3D1066971323</v>
      </c>
      <c r="E505" s="64" t="s">
        <v>1108</v>
      </c>
      <c r="F505" s="82"/>
      <c r="G505" s="85"/>
      <c r="H505" s="82"/>
      <c r="I505" s="85"/>
      <c r="J505" s="85"/>
      <c r="K505" s="82"/>
      <c r="L505" s="82"/>
      <c r="M505" s="82"/>
      <c r="N505" s="82"/>
      <c r="O505" s="82"/>
      <c r="P505" s="82"/>
      <c r="Q505" s="82"/>
      <c r="R505" s="82"/>
      <c r="S505" s="97"/>
      <c r="T505" s="97"/>
      <c r="X505" s="94"/>
      <c r="Y505" s="95"/>
      <c r="Z505" s="95"/>
      <c r="AA505" s="94"/>
      <c r="AB505" s="94"/>
      <c r="AC505" s="94"/>
      <c r="AD505" s="94"/>
      <c r="AE505" s="94"/>
      <c r="AF505" s="94"/>
      <c r="AS505" s="94"/>
      <c r="AT505" s="94"/>
      <c r="AU505" s="94"/>
      <c r="AV505" s="94"/>
      <c r="BB505" s="108">
        <f>Schäden_Einband!X505+Schäden_Buchblock!AC505</f>
        <v>0</v>
      </c>
      <c r="BC505" s="95"/>
    </row>
    <row r="506" spans="1:55" x14ac:dyDescent="0.25">
      <c r="A506" s="82">
        <v>483</v>
      </c>
      <c r="B506" s="64" t="s">
        <v>1109</v>
      </c>
      <c r="C506" s="64">
        <v>1066966842</v>
      </c>
      <c r="D506" s="84" t="str">
        <f t="shared" si="8"/>
        <v>https://portal.dnb.de/opac.htm?method=simpleSearch&amp;cqlMode=true&amp;query=idn%3D1066966842</v>
      </c>
      <c r="E506" s="64" t="s">
        <v>1110</v>
      </c>
      <c r="F506" s="82"/>
      <c r="G506" s="85"/>
      <c r="H506" s="82"/>
      <c r="I506" s="85"/>
      <c r="J506" s="85"/>
      <c r="K506" s="82"/>
      <c r="L506" s="82"/>
      <c r="M506" s="82"/>
      <c r="N506" s="82"/>
      <c r="O506" s="82"/>
      <c r="P506" s="82"/>
      <c r="Q506" s="82"/>
      <c r="R506" s="82"/>
      <c r="S506" s="97"/>
      <c r="T506" s="97"/>
      <c r="X506" s="94"/>
      <c r="Y506" s="95"/>
      <c r="Z506" s="95"/>
      <c r="AA506" s="94"/>
      <c r="AB506" s="94"/>
      <c r="AC506" s="94"/>
      <c r="AD506" s="94"/>
      <c r="AE506" s="94"/>
      <c r="AF506" s="94"/>
      <c r="AS506" s="94"/>
      <c r="AT506" s="94"/>
      <c r="AU506" s="94"/>
      <c r="AV506" s="94"/>
      <c r="BB506" s="108">
        <f>Schäden_Einband!X506+Schäden_Buchblock!AC506</f>
        <v>0</v>
      </c>
      <c r="BC506" s="95"/>
    </row>
    <row r="507" spans="1:55" x14ac:dyDescent="0.25">
      <c r="A507" s="82">
        <v>484</v>
      </c>
      <c r="B507" s="64" t="s">
        <v>1111</v>
      </c>
      <c r="C507" s="64">
        <v>1066968977</v>
      </c>
      <c r="D507" s="84" t="str">
        <f t="shared" si="8"/>
        <v>https://portal.dnb.de/opac.htm?method=simpleSearch&amp;cqlMode=true&amp;query=idn%3D1066968977</v>
      </c>
      <c r="E507" s="64" t="s">
        <v>1112</v>
      </c>
      <c r="F507" s="82"/>
      <c r="G507" s="85"/>
      <c r="H507" s="82"/>
      <c r="I507" s="85"/>
      <c r="J507" s="85"/>
      <c r="K507" s="82"/>
      <c r="L507" s="82"/>
      <c r="M507" s="82"/>
      <c r="N507" s="82"/>
      <c r="O507" s="82"/>
      <c r="P507" s="82"/>
      <c r="Q507" s="82"/>
      <c r="R507" s="82"/>
      <c r="S507" s="97"/>
      <c r="T507" s="97"/>
      <c r="X507" s="94"/>
      <c r="Y507" s="95"/>
      <c r="Z507" s="95"/>
      <c r="AA507" s="94"/>
      <c r="AB507" s="94"/>
      <c r="AC507" s="94"/>
      <c r="AD507" s="94"/>
      <c r="AE507" s="94"/>
      <c r="AF507" s="94"/>
      <c r="AS507" s="94"/>
      <c r="AT507" s="94"/>
      <c r="AU507" s="94"/>
      <c r="AV507" s="94"/>
      <c r="BB507" s="108">
        <f>Schäden_Einband!X507+Schäden_Buchblock!AC507</f>
        <v>0</v>
      </c>
      <c r="BC507" s="95"/>
    </row>
    <row r="508" spans="1:55" x14ac:dyDescent="0.25">
      <c r="A508" s="82">
        <v>485</v>
      </c>
      <c r="B508" s="64" t="s">
        <v>1113</v>
      </c>
      <c r="C508" s="64">
        <v>1066966729</v>
      </c>
      <c r="D508" s="84" t="str">
        <f t="shared" si="8"/>
        <v>https://portal.dnb.de/opac.htm?method=simpleSearch&amp;cqlMode=true&amp;query=idn%3D1066966729</v>
      </c>
      <c r="E508" s="64" t="s">
        <v>1114</v>
      </c>
      <c r="F508" s="82"/>
      <c r="G508" s="85"/>
      <c r="H508" s="82"/>
      <c r="I508" s="85"/>
      <c r="J508" s="85"/>
      <c r="K508" s="82"/>
      <c r="L508" s="82"/>
      <c r="M508" s="82"/>
      <c r="N508" s="82"/>
      <c r="O508" s="82"/>
      <c r="P508" s="82"/>
      <c r="Q508" s="82"/>
      <c r="R508" s="82"/>
      <c r="S508" s="97"/>
      <c r="T508" s="97"/>
      <c r="X508" s="94"/>
      <c r="Y508" s="95"/>
      <c r="Z508" s="95"/>
      <c r="AA508" s="94"/>
      <c r="AB508" s="94"/>
      <c r="AC508" s="94"/>
      <c r="AD508" s="94"/>
      <c r="AE508" s="94"/>
      <c r="AF508" s="94"/>
      <c r="AS508" s="94"/>
      <c r="AT508" s="94"/>
      <c r="AU508" s="94"/>
      <c r="AV508" s="94"/>
      <c r="BB508" s="108">
        <f>Schäden_Einband!X508+Schäden_Buchblock!AC508</f>
        <v>0</v>
      </c>
      <c r="BC508" s="95"/>
    </row>
    <row r="509" spans="1:55" x14ac:dyDescent="0.25">
      <c r="A509" s="82">
        <v>486</v>
      </c>
      <c r="B509" s="64" t="s">
        <v>1115</v>
      </c>
      <c r="C509" s="64">
        <v>1066972354</v>
      </c>
      <c r="D509" s="84" t="str">
        <f t="shared" si="8"/>
        <v>https://portal.dnb.de/opac.htm?method=simpleSearch&amp;cqlMode=true&amp;query=idn%3D1066972354</v>
      </c>
      <c r="E509" s="64" t="s">
        <v>1116</v>
      </c>
      <c r="F509" s="82"/>
      <c r="G509" s="85"/>
      <c r="H509" s="82"/>
      <c r="I509" s="85"/>
      <c r="J509" s="85"/>
      <c r="K509" s="82"/>
      <c r="L509" s="82"/>
      <c r="M509" s="82"/>
      <c r="N509" s="82"/>
      <c r="O509" s="82"/>
      <c r="P509" s="82"/>
      <c r="Q509" s="82"/>
      <c r="R509" s="82"/>
      <c r="S509" s="97"/>
      <c r="T509" s="97"/>
      <c r="X509" s="94"/>
      <c r="Y509" s="95"/>
      <c r="Z509" s="95"/>
      <c r="AA509" s="94"/>
      <c r="AB509" s="94"/>
      <c r="AC509" s="94"/>
      <c r="AD509" s="94"/>
      <c r="AE509" s="94"/>
      <c r="AF509" s="94"/>
      <c r="AS509" s="94"/>
      <c r="AT509" s="94"/>
      <c r="AU509" s="94"/>
      <c r="AV509" s="94"/>
      <c r="BB509" s="108">
        <f>Schäden_Einband!X509+Schäden_Buchblock!AC509</f>
        <v>0</v>
      </c>
      <c r="BC509" s="95"/>
    </row>
    <row r="510" spans="1:55" x14ac:dyDescent="0.25">
      <c r="A510" s="82">
        <v>487</v>
      </c>
      <c r="B510" s="64" t="s">
        <v>1117</v>
      </c>
      <c r="C510" s="64">
        <v>1066966176</v>
      </c>
      <c r="D510" s="84" t="str">
        <f t="shared" si="8"/>
        <v>https://portal.dnb.de/opac.htm?method=simpleSearch&amp;cqlMode=true&amp;query=idn%3D1066966176</v>
      </c>
      <c r="E510" s="64" t="s">
        <v>1118</v>
      </c>
      <c r="F510" s="82"/>
      <c r="G510" s="85"/>
      <c r="H510" s="82"/>
      <c r="I510" s="85"/>
      <c r="J510" s="85"/>
      <c r="K510" s="82"/>
      <c r="L510" s="82"/>
      <c r="M510" s="82"/>
      <c r="N510" s="82"/>
      <c r="O510" s="82"/>
      <c r="P510" s="82"/>
      <c r="Q510" s="82"/>
      <c r="R510" s="82"/>
      <c r="S510" s="97"/>
      <c r="T510" s="97"/>
      <c r="X510" s="94"/>
      <c r="Y510" s="95"/>
      <c r="Z510" s="95"/>
      <c r="AA510" s="94"/>
      <c r="AB510" s="94"/>
      <c r="AC510" s="94"/>
      <c r="AD510" s="94"/>
      <c r="AE510" s="94"/>
      <c r="AF510" s="94"/>
      <c r="AS510" s="94"/>
      <c r="AT510" s="94"/>
      <c r="AU510" s="94"/>
      <c r="AV510" s="94"/>
      <c r="BB510" s="108">
        <f>Schäden_Einband!X510+Schäden_Buchblock!AC510</f>
        <v>0</v>
      </c>
      <c r="BC510" s="95"/>
    </row>
    <row r="511" spans="1:55" x14ac:dyDescent="0.25">
      <c r="A511" s="82">
        <v>488</v>
      </c>
      <c r="B511" s="64" t="s">
        <v>1119</v>
      </c>
      <c r="C511" s="64">
        <v>1066967911</v>
      </c>
      <c r="D511" s="84" t="str">
        <f t="shared" si="8"/>
        <v>https://portal.dnb.de/opac.htm?method=simpleSearch&amp;cqlMode=true&amp;query=idn%3D1066967911</v>
      </c>
      <c r="E511" s="64" t="s">
        <v>1120</v>
      </c>
      <c r="F511" s="82"/>
      <c r="G511" s="85"/>
      <c r="H511" s="82"/>
      <c r="I511" s="85"/>
      <c r="J511" s="85"/>
      <c r="K511" s="82"/>
      <c r="L511" s="82"/>
      <c r="M511" s="82"/>
      <c r="N511" s="82"/>
      <c r="O511" s="82"/>
      <c r="P511" s="82"/>
      <c r="Q511" s="82"/>
      <c r="R511" s="82"/>
      <c r="S511" s="97"/>
      <c r="T511" s="97"/>
      <c r="X511" s="94"/>
      <c r="Y511" s="95"/>
      <c r="Z511" s="95"/>
      <c r="AA511" s="94"/>
      <c r="AB511" s="94"/>
      <c r="AC511" s="94"/>
      <c r="AD511" s="94"/>
      <c r="AE511" s="94"/>
      <c r="AF511" s="94"/>
      <c r="AS511" s="94"/>
      <c r="AT511" s="94"/>
      <c r="AU511" s="94"/>
      <c r="AV511" s="94"/>
      <c r="BB511" s="108">
        <f>Schäden_Einband!X511+Schäden_Buchblock!AC511</f>
        <v>0</v>
      </c>
      <c r="BC511" s="95"/>
    </row>
    <row r="512" spans="1:55" x14ac:dyDescent="0.25">
      <c r="A512" s="82">
        <v>489</v>
      </c>
      <c r="B512" s="64" t="s">
        <v>1121</v>
      </c>
      <c r="C512" s="64" t="s">
        <v>1122</v>
      </c>
      <c r="D512" s="84" t="str">
        <f t="shared" si="8"/>
        <v>https://portal.dnb.de/opac.htm?method=simpleSearch&amp;cqlMode=true&amp;query=idn%3D106696792X</v>
      </c>
      <c r="E512" s="64" t="s">
        <v>1123</v>
      </c>
      <c r="F512" s="82"/>
      <c r="G512" s="85"/>
      <c r="H512" s="82"/>
      <c r="I512" s="85"/>
      <c r="J512" s="85"/>
      <c r="K512" s="82"/>
      <c r="L512" s="82"/>
      <c r="M512" s="82"/>
      <c r="N512" s="82"/>
      <c r="O512" s="82"/>
      <c r="P512" s="82"/>
      <c r="Q512" s="82"/>
      <c r="R512" s="82"/>
      <c r="S512" s="97"/>
      <c r="T512" s="97"/>
      <c r="X512" s="94"/>
      <c r="Y512" s="95"/>
      <c r="Z512" s="95"/>
      <c r="AA512" s="94"/>
      <c r="AB512" s="94"/>
      <c r="AC512" s="94"/>
      <c r="AD512" s="94"/>
      <c r="AE512" s="94"/>
      <c r="AF512" s="94"/>
      <c r="AS512" s="94"/>
      <c r="AT512" s="94"/>
      <c r="AU512" s="94"/>
      <c r="AV512" s="94"/>
      <c r="BB512" s="108">
        <f>Schäden_Einband!X512+Schäden_Buchblock!AC512</f>
        <v>0</v>
      </c>
      <c r="BC512" s="95"/>
    </row>
    <row r="513" spans="1:55" x14ac:dyDescent="0.25">
      <c r="A513" s="82">
        <v>490</v>
      </c>
      <c r="B513" s="64" t="s">
        <v>1124</v>
      </c>
      <c r="C513" s="64" t="s">
        <v>1122</v>
      </c>
      <c r="D513" s="84" t="str">
        <f t="shared" si="8"/>
        <v>https://portal.dnb.de/opac.htm?method=simpleSearch&amp;cqlMode=true&amp;query=idn%3D106696792X</v>
      </c>
      <c r="E513" s="64" t="s">
        <v>1125</v>
      </c>
      <c r="F513" s="82"/>
      <c r="G513" s="85"/>
      <c r="H513" s="82"/>
      <c r="I513" s="85"/>
      <c r="J513" s="85"/>
      <c r="K513" s="82"/>
      <c r="L513" s="82"/>
      <c r="M513" s="82"/>
      <c r="N513" s="82"/>
      <c r="O513" s="82"/>
      <c r="P513" s="82"/>
      <c r="Q513" s="82"/>
      <c r="R513" s="82"/>
      <c r="S513" s="97"/>
      <c r="T513" s="97"/>
      <c r="X513" s="94"/>
      <c r="Y513" s="95"/>
      <c r="Z513" s="95"/>
      <c r="AA513" s="94"/>
      <c r="AB513" s="94"/>
      <c r="AC513" s="94"/>
      <c r="AD513" s="94"/>
      <c r="AE513" s="94"/>
      <c r="AF513" s="94"/>
      <c r="AS513" s="94"/>
      <c r="AT513" s="94"/>
      <c r="AU513" s="94"/>
      <c r="AV513" s="94"/>
      <c r="BB513" s="108">
        <f>Schäden_Einband!X513+Schäden_Buchblock!AC513</f>
        <v>0</v>
      </c>
      <c r="BC513" s="95"/>
    </row>
    <row r="514" spans="1:55" x14ac:dyDescent="0.25">
      <c r="A514" s="82">
        <v>491</v>
      </c>
      <c r="B514" s="64" t="s">
        <v>1126</v>
      </c>
      <c r="C514" s="64">
        <v>1066966753</v>
      </c>
      <c r="D514" s="84" t="str">
        <f t="shared" si="8"/>
        <v>https://portal.dnb.de/opac.htm?method=simpleSearch&amp;cqlMode=true&amp;query=idn%3D1066966753</v>
      </c>
      <c r="E514" s="64" t="s">
        <v>1127</v>
      </c>
      <c r="F514" s="82"/>
      <c r="G514" s="85"/>
      <c r="H514" s="82"/>
      <c r="I514" s="85"/>
      <c r="J514" s="85"/>
      <c r="K514" s="82"/>
      <c r="L514" s="82"/>
      <c r="M514" s="82"/>
      <c r="N514" s="82"/>
      <c r="O514" s="82"/>
      <c r="P514" s="82"/>
      <c r="Q514" s="82"/>
      <c r="R514" s="82"/>
      <c r="S514" s="97"/>
      <c r="T514" s="97"/>
      <c r="X514" s="94"/>
      <c r="Y514" s="95"/>
      <c r="Z514" s="95"/>
      <c r="AA514" s="94"/>
      <c r="AB514" s="94"/>
      <c r="AC514" s="94"/>
      <c r="AD514" s="94"/>
      <c r="AE514" s="94"/>
      <c r="AF514" s="94"/>
      <c r="AS514" s="94"/>
      <c r="AT514" s="94"/>
      <c r="AU514" s="94"/>
      <c r="AV514" s="94"/>
      <c r="BB514" s="108">
        <f>Schäden_Einband!X514+Schäden_Buchblock!AC514</f>
        <v>0</v>
      </c>
      <c r="BC514" s="95"/>
    </row>
    <row r="515" spans="1:55" x14ac:dyDescent="0.25">
      <c r="A515" s="82">
        <v>492</v>
      </c>
      <c r="B515" s="64" t="s">
        <v>1128</v>
      </c>
      <c r="C515" s="64">
        <v>1066970130</v>
      </c>
      <c r="D515" s="84" t="str">
        <f t="shared" si="8"/>
        <v>https://portal.dnb.de/opac.htm?method=simpleSearch&amp;cqlMode=true&amp;query=idn%3D1066970130</v>
      </c>
      <c r="E515" s="64" t="s">
        <v>1129</v>
      </c>
      <c r="F515" s="82"/>
      <c r="G515" s="85"/>
      <c r="H515" s="82"/>
      <c r="I515" s="85"/>
      <c r="J515" s="85"/>
      <c r="K515" s="82"/>
      <c r="L515" s="82"/>
      <c r="M515" s="82"/>
      <c r="N515" s="82"/>
      <c r="O515" s="82"/>
      <c r="P515" s="82"/>
      <c r="Q515" s="82"/>
      <c r="R515" s="82"/>
      <c r="S515" s="97"/>
      <c r="T515" s="97"/>
      <c r="X515" s="94"/>
      <c r="Y515" s="95"/>
      <c r="Z515" s="95"/>
      <c r="AA515" s="94"/>
      <c r="AB515" s="94"/>
      <c r="AC515" s="94"/>
      <c r="AD515" s="94"/>
      <c r="AE515" s="94"/>
      <c r="AF515" s="94"/>
      <c r="AS515" s="94"/>
      <c r="AT515" s="94"/>
      <c r="AU515" s="94"/>
      <c r="AV515" s="94"/>
      <c r="BB515" s="108">
        <f>Schäden_Einband!X515+Schäden_Buchblock!AC515</f>
        <v>0</v>
      </c>
      <c r="BC515" s="95"/>
    </row>
    <row r="516" spans="1:55" x14ac:dyDescent="0.25">
      <c r="A516" s="82">
        <v>493</v>
      </c>
      <c r="B516" s="64" t="s">
        <v>1130</v>
      </c>
      <c r="C516" s="64">
        <v>1066972206</v>
      </c>
      <c r="D516" s="84" t="str">
        <f t="shared" si="8"/>
        <v>https://portal.dnb.de/opac.htm?method=simpleSearch&amp;cqlMode=true&amp;query=idn%3D1066972206</v>
      </c>
      <c r="E516" s="64" t="s">
        <v>1131</v>
      </c>
      <c r="F516" s="82"/>
      <c r="G516" s="85"/>
      <c r="H516" s="82"/>
      <c r="I516" s="85"/>
      <c r="J516" s="85"/>
      <c r="K516" s="82"/>
      <c r="L516" s="82"/>
      <c r="M516" s="82"/>
      <c r="N516" s="82"/>
      <c r="O516" s="82"/>
      <c r="P516" s="82"/>
      <c r="Q516" s="82"/>
      <c r="R516" s="82"/>
      <c r="S516" s="97"/>
      <c r="T516" s="97"/>
      <c r="X516" s="94"/>
      <c r="Y516" s="95"/>
      <c r="Z516" s="95"/>
      <c r="AA516" s="94"/>
      <c r="AB516" s="94"/>
      <c r="AC516" s="94"/>
      <c r="AD516" s="94"/>
      <c r="AE516" s="94"/>
      <c r="AF516" s="94"/>
      <c r="AS516" s="94"/>
      <c r="AT516" s="94"/>
      <c r="AU516" s="94"/>
      <c r="AV516" s="94"/>
      <c r="BB516" s="108">
        <f>Schäden_Einband!X516+Schäden_Buchblock!AC516</f>
        <v>0</v>
      </c>
      <c r="BC516" s="95"/>
    </row>
    <row r="517" spans="1:55" x14ac:dyDescent="0.25">
      <c r="A517" s="82">
        <v>494</v>
      </c>
      <c r="B517" s="64" t="s">
        <v>1132</v>
      </c>
      <c r="C517" s="64">
        <v>1066969949</v>
      </c>
      <c r="D517" s="84" t="str">
        <f t="shared" si="8"/>
        <v>https://portal.dnb.de/opac.htm?method=simpleSearch&amp;cqlMode=true&amp;query=idn%3D1066969949</v>
      </c>
      <c r="E517" s="64" t="s">
        <v>1133</v>
      </c>
      <c r="F517" s="82"/>
      <c r="G517" s="85"/>
      <c r="H517" s="82"/>
      <c r="I517" s="85"/>
      <c r="J517" s="85"/>
      <c r="K517" s="82"/>
      <c r="L517" s="82"/>
      <c r="M517" s="82"/>
      <c r="N517" s="82"/>
      <c r="O517" s="82"/>
      <c r="P517" s="82"/>
      <c r="Q517" s="82"/>
      <c r="R517" s="82"/>
      <c r="S517" s="97"/>
      <c r="T517" s="97"/>
      <c r="X517" s="94"/>
      <c r="Y517" s="95"/>
      <c r="Z517" s="95"/>
      <c r="AA517" s="94"/>
      <c r="AB517" s="94"/>
      <c r="AC517" s="94"/>
      <c r="AD517" s="94"/>
      <c r="AE517" s="94"/>
      <c r="AF517" s="94"/>
      <c r="AS517" s="94"/>
      <c r="AT517" s="94"/>
      <c r="AU517" s="94"/>
      <c r="AV517" s="94"/>
      <c r="BB517" s="108">
        <f>Schäden_Einband!X517+Schäden_Buchblock!AC517</f>
        <v>0</v>
      </c>
      <c r="BC517" s="95"/>
    </row>
    <row r="518" spans="1:55" x14ac:dyDescent="0.25">
      <c r="A518" s="82">
        <v>495</v>
      </c>
      <c r="B518" s="64" t="s">
        <v>1134</v>
      </c>
      <c r="C518" s="64">
        <v>1066969280</v>
      </c>
      <c r="D518" s="84" t="str">
        <f t="shared" si="8"/>
        <v>https://portal.dnb.de/opac.htm?method=simpleSearch&amp;cqlMode=true&amp;query=idn%3D1066969280</v>
      </c>
      <c r="E518" s="64" t="s">
        <v>1135</v>
      </c>
      <c r="F518" s="82"/>
      <c r="G518" s="85"/>
      <c r="H518" s="82"/>
      <c r="I518" s="85"/>
      <c r="J518" s="85"/>
      <c r="K518" s="82"/>
      <c r="L518" s="82"/>
      <c r="M518" s="82"/>
      <c r="N518" s="82"/>
      <c r="O518" s="82"/>
      <c r="P518" s="82"/>
      <c r="Q518" s="82"/>
      <c r="R518" s="82"/>
      <c r="S518" s="97"/>
      <c r="T518" s="97"/>
      <c r="X518" s="94"/>
      <c r="Y518" s="95"/>
      <c r="Z518" s="95"/>
      <c r="AA518" s="94"/>
      <c r="AB518" s="94"/>
      <c r="AC518" s="94"/>
      <c r="AD518" s="94"/>
      <c r="AE518" s="94"/>
      <c r="AF518" s="94"/>
      <c r="AS518" s="94"/>
      <c r="AT518" s="94"/>
      <c r="AU518" s="94"/>
      <c r="AV518" s="94"/>
      <c r="BB518" s="108">
        <f>Schäden_Einband!X518+Schäden_Buchblock!AC518</f>
        <v>0</v>
      </c>
      <c r="BC518" s="95"/>
    </row>
    <row r="519" spans="1:55" x14ac:dyDescent="0.25">
      <c r="A519" s="82">
        <v>496</v>
      </c>
      <c r="B519" s="64" t="s">
        <v>1136</v>
      </c>
      <c r="C519" s="64">
        <v>1066969965</v>
      </c>
      <c r="D519" s="84" t="str">
        <f t="shared" si="8"/>
        <v>https://portal.dnb.de/opac.htm?method=simpleSearch&amp;cqlMode=true&amp;query=idn%3D1066969965</v>
      </c>
      <c r="E519" s="64" t="s">
        <v>1137</v>
      </c>
      <c r="F519" s="82"/>
      <c r="G519" s="85"/>
      <c r="H519" s="82"/>
      <c r="I519" s="85"/>
      <c r="J519" s="85"/>
      <c r="K519" s="82"/>
      <c r="L519" s="82"/>
      <c r="M519" s="82"/>
      <c r="N519" s="82"/>
      <c r="O519" s="82"/>
      <c r="P519" s="82"/>
      <c r="Q519" s="82"/>
      <c r="R519" s="82"/>
      <c r="S519" s="97"/>
      <c r="T519" s="97"/>
      <c r="X519" s="94"/>
      <c r="Y519" s="95"/>
      <c r="Z519" s="95"/>
      <c r="AA519" s="94"/>
      <c r="AB519" s="94"/>
      <c r="AC519" s="94"/>
      <c r="AD519" s="94"/>
      <c r="AE519" s="94"/>
      <c r="AF519" s="94"/>
      <c r="AS519" s="94"/>
      <c r="AT519" s="94"/>
      <c r="AU519" s="94"/>
      <c r="AV519" s="94"/>
      <c r="BB519" s="108">
        <f>Schäden_Einband!X519+Schäden_Buchblock!AC519</f>
        <v>0</v>
      </c>
      <c r="BC519" s="95"/>
    </row>
    <row r="520" spans="1:55" x14ac:dyDescent="0.25">
      <c r="A520" s="82">
        <v>497</v>
      </c>
      <c r="B520" s="64" t="s">
        <v>1138</v>
      </c>
      <c r="C520" s="64">
        <v>1066968926</v>
      </c>
      <c r="D520" s="84" t="str">
        <f t="shared" si="8"/>
        <v>https://portal.dnb.de/opac.htm?method=simpleSearch&amp;cqlMode=true&amp;query=idn%3D1066968926</v>
      </c>
      <c r="E520" s="64" t="s">
        <v>1139</v>
      </c>
      <c r="F520" s="82"/>
      <c r="G520" s="85"/>
      <c r="H520" s="82"/>
      <c r="I520" s="85"/>
      <c r="J520" s="85"/>
      <c r="K520" s="82"/>
      <c r="L520" s="82"/>
      <c r="M520" s="82"/>
      <c r="N520" s="82"/>
      <c r="O520" s="82"/>
      <c r="P520" s="82"/>
      <c r="Q520" s="82"/>
      <c r="R520" s="82"/>
      <c r="S520" s="97"/>
      <c r="T520" s="97"/>
      <c r="X520" s="94"/>
      <c r="Y520" s="95"/>
      <c r="Z520" s="95"/>
      <c r="AA520" s="94"/>
      <c r="AB520" s="94"/>
      <c r="AC520" s="94"/>
      <c r="AD520" s="94"/>
      <c r="AE520" s="94"/>
      <c r="AF520" s="94"/>
      <c r="AS520" s="94"/>
      <c r="AT520" s="94"/>
      <c r="AU520" s="94"/>
      <c r="AV520" s="94"/>
      <c r="BB520" s="108">
        <f>Schäden_Einband!X520+Schäden_Buchblock!AC520</f>
        <v>0</v>
      </c>
      <c r="BC520" s="95"/>
    </row>
    <row r="521" spans="1:55" x14ac:dyDescent="0.25">
      <c r="A521" s="82">
        <v>498</v>
      </c>
      <c r="B521" s="64" t="s">
        <v>1140</v>
      </c>
      <c r="C521" s="64">
        <v>1066969760</v>
      </c>
      <c r="D521" s="84" t="str">
        <f t="shared" si="8"/>
        <v>https://portal.dnb.de/opac.htm?method=simpleSearch&amp;cqlMode=true&amp;query=idn%3D1066969760</v>
      </c>
      <c r="E521" s="64" t="s">
        <v>1141</v>
      </c>
      <c r="F521" s="82"/>
      <c r="G521" s="85"/>
      <c r="H521" s="82"/>
      <c r="I521" s="85"/>
      <c r="J521" s="85"/>
      <c r="K521" s="82"/>
      <c r="L521" s="82"/>
      <c r="M521" s="82"/>
      <c r="N521" s="82"/>
      <c r="O521" s="82"/>
      <c r="P521" s="82"/>
      <c r="Q521" s="82"/>
      <c r="R521" s="82"/>
      <c r="S521" s="97"/>
      <c r="T521" s="97"/>
      <c r="X521" s="94"/>
      <c r="Y521" s="95"/>
      <c r="Z521" s="95"/>
      <c r="AA521" s="94"/>
      <c r="AB521" s="94"/>
      <c r="AC521" s="94"/>
      <c r="AD521" s="94"/>
      <c r="AE521" s="94"/>
      <c r="AF521" s="94"/>
      <c r="AS521" s="94"/>
      <c r="AT521" s="94"/>
      <c r="AU521" s="94"/>
      <c r="AV521" s="94"/>
      <c r="BB521" s="108">
        <f>Schäden_Einband!X521+Schäden_Buchblock!AC521</f>
        <v>0</v>
      </c>
      <c r="BC521" s="95"/>
    </row>
    <row r="522" spans="1:55" x14ac:dyDescent="0.25">
      <c r="A522" s="82">
        <v>499</v>
      </c>
      <c r="B522" s="64" t="s">
        <v>1142</v>
      </c>
      <c r="C522" s="64">
        <v>1066969337</v>
      </c>
      <c r="D522" s="84" t="str">
        <f t="shared" si="8"/>
        <v>https://portal.dnb.de/opac.htm?method=simpleSearch&amp;cqlMode=true&amp;query=idn%3D1066969337</v>
      </c>
      <c r="E522" s="64" t="s">
        <v>1143</v>
      </c>
      <c r="F522" s="82"/>
      <c r="G522" s="85"/>
      <c r="H522" s="82"/>
      <c r="I522" s="85"/>
      <c r="J522" s="85"/>
      <c r="K522" s="82"/>
      <c r="L522" s="82"/>
      <c r="M522" s="82"/>
      <c r="N522" s="82"/>
      <c r="O522" s="82"/>
      <c r="P522" s="82"/>
      <c r="Q522" s="82"/>
      <c r="R522" s="82"/>
      <c r="S522" s="97"/>
      <c r="T522" s="97"/>
      <c r="X522" s="94"/>
      <c r="Y522" s="95"/>
      <c r="Z522" s="95"/>
      <c r="AA522" s="94"/>
      <c r="AB522" s="94"/>
      <c r="AC522" s="94"/>
      <c r="AD522" s="94"/>
      <c r="AE522" s="94"/>
      <c r="AF522" s="94"/>
      <c r="AS522" s="94"/>
      <c r="AT522" s="94"/>
      <c r="AU522" s="94"/>
      <c r="AV522" s="94"/>
      <c r="BB522" s="108">
        <f>Schäden_Einband!X522+Schäden_Buchblock!AC522</f>
        <v>0</v>
      </c>
      <c r="BC522" s="95"/>
    </row>
    <row r="523" spans="1:55" x14ac:dyDescent="0.25">
      <c r="A523" s="82">
        <v>500</v>
      </c>
      <c r="B523" s="64" t="s">
        <v>1144</v>
      </c>
      <c r="C523" s="64">
        <v>1066969337</v>
      </c>
      <c r="D523" s="84" t="str">
        <f t="shared" si="8"/>
        <v>https://portal.dnb.de/opac.htm?method=simpleSearch&amp;cqlMode=true&amp;query=idn%3D1066969337</v>
      </c>
      <c r="E523" s="64" t="s">
        <v>1145</v>
      </c>
      <c r="F523" s="82"/>
      <c r="G523" s="85"/>
      <c r="H523" s="82"/>
      <c r="I523" s="85"/>
      <c r="J523" s="85"/>
      <c r="K523" s="82"/>
      <c r="L523" s="82"/>
      <c r="M523" s="82"/>
      <c r="N523" s="82"/>
      <c r="O523" s="82"/>
      <c r="P523" s="82"/>
      <c r="Q523" s="82"/>
      <c r="R523" s="82"/>
      <c r="S523" s="97"/>
      <c r="T523" s="97"/>
      <c r="X523" s="94"/>
      <c r="Y523" s="95"/>
      <c r="Z523" s="95"/>
      <c r="AA523" s="94"/>
      <c r="AB523" s="94"/>
      <c r="AC523" s="94"/>
      <c r="AD523" s="94"/>
      <c r="AE523" s="94"/>
      <c r="AF523" s="94"/>
      <c r="AS523" s="94"/>
      <c r="AT523" s="94"/>
      <c r="AU523" s="94"/>
      <c r="AV523" s="94"/>
      <c r="BB523" s="108">
        <f>Schäden_Einband!X523+Schäden_Buchblock!AC523</f>
        <v>0</v>
      </c>
      <c r="BC523" s="95"/>
    </row>
    <row r="524" spans="1:55" ht="46" x14ac:dyDescent="0.25">
      <c r="A524" s="82">
        <v>501</v>
      </c>
      <c r="B524" s="64" t="s">
        <v>1146</v>
      </c>
      <c r="C524" s="64" t="s">
        <v>1147</v>
      </c>
      <c r="D524" s="84" t="str">
        <f t="shared" si="8"/>
        <v>https://portal.dnb.de/opac.htm?method=simpleSearch&amp;cqlMode=true&amp;query=idn%3D106697229X</v>
      </c>
      <c r="E524" s="64" t="s">
        <v>1148</v>
      </c>
      <c r="F524" s="82" t="s">
        <v>89</v>
      </c>
      <c r="G524" s="85" t="s">
        <v>1585</v>
      </c>
      <c r="H524" s="82" t="s">
        <v>50</v>
      </c>
      <c r="I524" s="85" t="s">
        <v>86</v>
      </c>
      <c r="J524" s="85" t="s">
        <v>1684</v>
      </c>
      <c r="K524" s="82"/>
      <c r="L524" s="82" t="s">
        <v>35</v>
      </c>
      <c r="M524" s="82" t="s">
        <v>37</v>
      </c>
      <c r="N524" s="82">
        <v>0</v>
      </c>
      <c r="O524" s="82"/>
      <c r="P524" s="82"/>
      <c r="Q524" s="82"/>
      <c r="R524" s="82"/>
      <c r="S524" s="97"/>
      <c r="T524" s="97"/>
      <c r="X524" s="94"/>
      <c r="Y524" s="95"/>
      <c r="Z524" s="95"/>
      <c r="AA524" s="94"/>
      <c r="AB524" s="94"/>
      <c r="AC524" s="94"/>
      <c r="AD524" s="94"/>
      <c r="AE524" s="94"/>
      <c r="AF524" s="94"/>
      <c r="AS524" s="94"/>
      <c r="AT524" s="94"/>
      <c r="AU524" s="94"/>
      <c r="AV524" s="94"/>
      <c r="BB524" s="108">
        <f>Schäden_Einband!X524+Schäden_Buchblock!AC524</f>
        <v>0</v>
      </c>
      <c r="BC524" s="95"/>
    </row>
    <row r="525" spans="1:55" x14ac:dyDescent="0.25">
      <c r="A525" s="82">
        <v>502</v>
      </c>
      <c r="B525" s="64" t="s">
        <v>1149</v>
      </c>
      <c r="C525" s="64">
        <v>1066970742</v>
      </c>
      <c r="D525" s="84" t="str">
        <f t="shared" si="8"/>
        <v>https://portal.dnb.de/opac.htm?method=simpleSearch&amp;cqlMode=true&amp;query=idn%3D1066970742</v>
      </c>
      <c r="E525" s="64" t="s">
        <v>1150</v>
      </c>
      <c r="F525" s="82"/>
      <c r="G525" s="85"/>
      <c r="H525" s="82"/>
      <c r="I525" s="85"/>
      <c r="J525" s="85"/>
      <c r="K525" s="82"/>
      <c r="L525" s="82"/>
      <c r="M525" s="82"/>
      <c r="N525" s="82"/>
      <c r="O525" s="82"/>
      <c r="P525" s="82"/>
      <c r="Q525" s="82"/>
      <c r="R525" s="82"/>
      <c r="S525" s="97"/>
      <c r="T525" s="97"/>
      <c r="X525" s="94"/>
      <c r="Y525" s="95"/>
      <c r="Z525" s="95"/>
      <c r="AA525" s="94"/>
      <c r="AB525" s="94"/>
      <c r="AC525" s="94"/>
      <c r="AD525" s="94"/>
      <c r="AE525" s="94"/>
      <c r="AF525" s="94"/>
      <c r="AS525" s="94"/>
      <c r="AT525" s="94"/>
      <c r="AU525" s="94"/>
      <c r="AV525" s="94"/>
      <c r="BB525" s="108">
        <f>Schäden_Einband!X525+Schäden_Buchblock!AC525</f>
        <v>0</v>
      </c>
      <c r="BC525" s="95"/>
    </row>
    <row r="526" spans="1:55" ht="46" x14ac:dyDescent="0.25">
      <c r="A526" s="82">
        <v>503</v>
      </c>
      <c r="B526" s="64" t="s">
        <v>1151</v>
      </c>
      <c r="C526" s="64">
        <v>1066970246</v>
      </c>
      <c r="D526" s="84" t="str">
        <f t="shared" si="8"/>
        <v>https://portal.dnb.de/opac.htm?method=simpleSearch&amp;cqlMode=true&amp;query=idn%3D1066970246</v>
      </c>
      <c r="E526" s="64" t="s">
        <v>1152</v>
      </c>
      <c r="F526" s="82" t="s">
        <v>1633</v>
      </c>
      <c r="G526" s="85" t="s">
        <v>1584</v>
      </c>
      <c r="H526" s="82" t="s">
        <v>50</v>
      </c>
      <c r="I526" s="85" t="s">
        <v>55</v>
      </c>
      <c r="J526" s="85" t="s">
        <v>81</v>
      </c>
      <c r="K526" s="82"/>
      <c r="L526" s="82" t="s">
        <v>35</v>
      </c>
      <c r="M526" s="82" t="s">
        <v>37</v>
      </c>
      <c r="N526" s="82">
        <v>0</v>
      </c>
      <c r="O526" s="82"/>
      <c r="P526" s="82"/>
      <c r="Q526" s="82"/>
      <c r="R526" s="82"/>
      <c r="S526" s="97"/>
      <c r="T526" s="97"/>
      <c r="X526" s="94"/>
      <c r="Y526" s="95"/>
      <c r="Z526" s="95"/>
      <c r="AA526" s="94"/>
      <c r="AB526" s="94"/>
      <c r="AC526" s="94"/>
      <c r="AD526" s="94"/>
      <c r="AE526" s="94"/>
      <c r="AF526" s="94"/>
      <c r="AS526" s="94"/>
      <c r="AT526" s="94"/>
      <c r="AU526" s="94"/>
      <c r="AV526" s="94"/>
      <c r="BB526" s="108">
        <f>Schäden_Einband!X526+Schäden_Buchblock!AC526</f>
        <v>0</v>
      </c>
      <c r="BC526" s="95"/>
    </row>
    <row r="527" spans="1:55" x14ac:dyDescent="0.25">
      <c r="A527" s="82">
        <v>504</v>
      </c>
      <c r="B527" s="64" t="s">
        <v>1153</v>
      </c>
      <c r="C527" s="64">
        <v>1066965137</v>
      </c>
      <c r="D527" s="84" t="str">
        <f t="shared" si="8"/>
        <v>https://portal.dnb.de/opac.htm?method=simpleSearch&amp;cqlMode=true&amp;query=idn%3D1066965137</v>
      </c>
      <c r="E527" s="64" t="s">
        <v>1154</v>
      </c>
      <c r="F527" s="82"/>
      <c r="G527" s="85"/>
      <c r="H527" s="82"/>
      <c r="I527" s="85"/>
      <c r="J527" s="85"/>
      <c r="K527" s="82"/>
      <c r="L527" s="82"/>
      <c r="M527" s="82"/>
      <c r="N527" s="82"/>
      <c r="O527" s="82"/>
      <c r="P527" s="82"/>
      <c r="Q527" s="82"/>
      <c r="R527" s="82"/>
      <c r="S527" s="97"/>
      <c r="T527" s="97"/>
      <c r="X527" s="94"/>
      <c r="Y527" s="95"/>
      <c r="Z527" s="95"/>
      <c r="AA527" s="94"/>
      <c r="AB527" s="94"/>
      <c r="AC527" s="94"/>
      <c r="AD527" s="94"/>
      <c r="AE527" s="94"/>
      <c r="AF527" s="94"/>
      <c r="AS527" s="94"/>
      <c r="AT527" s="94"/>
      <c r="AU527" s="94"/>
      <c r="AV527" s="94"/>
      <c r="BB527" s="108">
        <f>Schäden_Einband!X527+Schäden_Buchblock!AC527</f>
        <v>0</v>
      </c>
      <c r="BC527" s="95"/>
    </row>
    <row r="528" spans="1:55" x14ac:dyDescent="0.25">
      <c r="A528" s="82">
        <v>505</v>
      </c>
      <c r="B528" s="64" t="s">
        <v>1155</v>
      </c>
      <c r="C528" s="64">
        <v>1067439234</v>
      </c>
      <c r="D528" s="84" t="str">
        <f t="shared" si="8"/>
        <v>https://portal.dnb.de/opac.htm?method=simpleSearch&amp;cqlMode=true&amp;query=idn%3D1067439234</v>
      </c>
      <c r="E528" s="64" t="s">
        <v>1156</v>
      </c>
      <c r="F528" s="82"/>
      <c r="G528" s="85"/>
      <c r="H528" s="82"/>
      <c r="I528" s="85"/>
      <c r="J528" s="85"/>
      <c r="K528" s="82"/>
      <c r="L528" s="82"/>
      <c r="M528" s="82"/>
      <c r="N528" s="82"/>
      <c r="O528" s="82"/>
      <c r="P528" s="82"/>
      <c r="Q528" s="82"/>
      <c r="R528" s="82"/>
      <c r="S528" s="97"/>
      <c r="T528" s="97"/>
      <c r="X528" s="94"/>
      <c r="Y528" s="95"/>
      <c r="Z528" s="95"/>
      <c r="AA528" s="94"/>
      <c r="AB528" s="94"/>
      <c r="AC528" s="94"/>
      <c r="AD528" s="94"/>
      <c r="AE528" s="94"/>
      <c r="AF528" s="94"/>
      <c r="AS528" s="94"/>
      <c r="AT528" s="94"/>
      <c r="AU528" s="94"/>
      <c r="AV528" s="94"/>
      <c r="BB528" s="108">
        <f>Schäden_Einband!X528+Schäden_Buchblock!AC528</f>
        <v>0</v>
      </c>
      <c r="BC528" s="95"/>
    </row>
    <row r="529" spans="1:55" x14ac:dyDescent="0.25">
      <c r="A529" s="82">
        <v>506</v>
      </c>
      <c r="B529" s="64" t="s">
        <v>1157</v>
      </c>
      <c r="C529" s="64">
        <v>1067439250</v>
      </c>
      <c r="D529" s="84" t="str">
        <f t="shared" si="8"/>
        <v>https://portal.dnb.de/opac.htm?method=simpleSearch&amp;cqlMode=true&amp;query=idn%3D1067439250</v>
      </c>
      <c r="E529" s="64" t="s">
        <v>1158</v>
      </c>
      <c r="F529" s="82"/>
      <c r="G529" s="85"/>
      <c r="H529" s="82"/>
      <c r="I529" s="85"/>
      <c r="J529" s="85"/>
      <c r="K529" s="82"/>
      <c r="L529" s="82"/>
      <c r="M529" s="82"/>
      <c r="N529" s="82"/>
      <c r="O529" s="82"/>
      <c r="P529" s="82"/>
      <c r="Q529" s="82"/>
      <c r="R529" s="82"/>
      <c r="S529" s="97"/>
      <c r="T529" s="97"/>
      <c r="X529" s="94"/>
      <c r="Y529" s="95"/>
      <c r="Z529" s="95"/>
      <c r="AA529" s="94"/>
      <c r="AB529" s="94"/>
      <c r="AC529" s="94"/>
      <c r="AD529" s="94"/>
      <c r="AE529" s="94"/>
      <c r="AF529" s="94"/>
      <c r="AS529" s="94"/>
      <c r="AT529" s="94"/>
      <c r="AU529" s="94"/>
      <c r="AV529" s="94"/>
      <c r="BB529" s="108">
        <f>Schäden_Einband!X529+Schäden_Buchblock!AC529</f>
        <v>0</v>
      </c>
      <c r="BC529" s="95"/>
    </row>
    <row r="530" spans="1:55" x14ac:dyDescent="0.25">
      <c r="A530" s="82">
        <v>507</v>
      </c>
      <c r="B530" s="64" t="s">
        <v>1159</v>
      </c>
      <c r="C530" s="64">
        <v>1066965277</v>
      </c>
      <c r="D530" s="84" t="str">
        <f t="shared" si="8"/>
        <v>https://portal.dnb.de/opac.htm?method=simpleSearch&amp;cqlMode=true&amp;query=idn%3D1066965277</v>
      </c>
      <c r="E530" s="64" t="s">
        <v>1160</v>
      </c>
      <c r="F530" s="82" t="s">
        <v>1633</v>
      </c>
      <c r="G530" s="85" t="s">
        <v>3</v>
      </c>
      <c r="H530" s="82" t="s">
        <v>50</v>
      </c>
      <c r="I530" s="85" t="s">
        <v>55</v>
      </c>
      <c r="J530" s="85" t="s">
        <v>81</v>
      </c>
      <c r="K530" s="82"/>
      <c r="L530" s="82" t="s">
        <v>35</v>
      </c>
      <c r="M530" s="82" t="s">
        <v>37</v>
      </c>
      <c r="N530" s="82">
        <v>0</v>
      </c>
      <c r="O530" s="82"/>
      <c r="P530" s="82"/>
      <c r="Q530" s="82"/>
      <c r="R530" s="82"/>
      <c r="S530" s="97"/>
      <c r="T530" s="97"/>
      <c r="X530" s="94"/>
      <c r="Y530" s="95"/>
      <c r="Z530" s="95"/>
      <c r="AA530" s="94"/>
      <c r="AB530" s="94"/>
      <c r="AC530" s="94"/>
      <c r="AD530" s="94"/>
      <c r="AE530" s="94"/>
      <c r="AF530" s="94"/>
      <c r="AS530" s="94"/>
      <c r="AT530" s="94"/>
      <c r="AU530" s="94"/>
      <c r="AV530" s="94"/>
      <c r="BB530" s="108">
        <f>Schäden_Einband!X530+Schäden_Buchblock!AC530</f>
        <v>0</v>
      </c>
      <c r="BC530" s="95"/>
    </row>
    <row r="531" spans="1:55" x14ac:dyDescent="0.25">
      <c r="A531" s="82"/>
      <c r="B531" s="64"/>
      <c r="C531" s="64"/>
      <c r="D531" s="84"/>
      <c r="E531" s="64" t="s">
        <v>1685</v>
      </c>
      <c r="F531" s="82" t="s">
        <v>1633</v>
      </c>
      <c r="G531" s="85" t="s">
        <v>4</v>
      </c>
      <c r="H531" s="82" t="s">
        <v>50</v>
      </c>
      <c r="I531" s="85" t="s">
        <v>55</v>
      </c>
      <c r="J531" s="85" t="s">
        <v>81</v>
      </c>
      <c r="K531" s="82"/>
      <c r="L531" s="82" t="s">
        <v>35</v>
      </c>
      <c r="M531" s="82" t="s">
        <v>37</v>
      </c>
      <c r="N531" s="82">
        <v>0</v>
      </c>
      <c r="O531" s="82"/>
      <c r="P531" s="82"/>
      <c r="Q531" s="82"/>
      <c r="R531" s="82"/>
      <c r="S531" s="97"/>
      <c r="T531" s="97"/>
      <c r="X531" s="94"/>
      <c r="Y531" s="95"/>
      <c r="Z531" s="95"/>
      <c r="AA531" s="94"/>
      <c r="AB531" s="94"/>
      <c r="AC531" s="94"/>
      <c r="AD531" s="94"/>
      <c r="AE531" s="94"/>
      <c r="AF531" s="94"/>
      <c r="AS531" s="94"/>
      <c r="AT531" s="94"/>
      <c r="AU531" s="94"/>
      <c r="AV531" s="94"/>
      <c r="BB531" s="108">
        <f>Schäden_Einband!X531+Schäden_Buchblock!AC531</f>
        <v>0</v>
      </c>
      <c r="BC531" s="95"/>
    </row>
    <row r="532" spans="1:55" x14ac:dyDescent="0.25">
      <c r="A532" s="82">
        <v>508</v>
      </c>
      <c r="B532" s="64" t="s">
        <v>1161</v>
      </c>
      <c r="C532" s="64">
        <v>1200511840</v>
      </c>
      <c r="D532" s="84" t="str">
        <f t="shared" si="8"/>
        <v>https://portal.dnb.de/opac.htm?method=simpleSearch&amp;cqlMode=true&amp;query=idn%3D1200511840</v>
      </c>
      <c r="E532" s="64" t="s">
        <v>1162</v>
      </c>
      <c r="F532" s="82"/>
      <c r="G532" s="85"/>
      <c r="H532" s="82"/>
      <c r="I532" s="85"/>
      <c r="J532" s="85"/>
      <c r="K532" s="82"/>
      <c r="L532" s="82"/>
      <c r="M532" s="82"/>
      <c r="N532" s="82"/>
      <c r="O532" s="82"/>
      <c r="P532" s="82"/>
      <c r="Q532" s="82"/>
      <c r="R532" s="82"/>
      <c r="S532" s="97"/>
      <c r="T532" s="97"/>
      <c r="X532" s="94"/>
      <c r="Y532" s="95"/>
      <c r="Z532" s="95"/>
      <c r="AA532" s="94"/>
      <c r="AB532" s="94"/>
      <c r="AC532" s="94"/>
      <c r="AD532" s="94"/>
      <c r="AE532" s="94"/>
      <c r="AF532" s="94"/>
      <c r="AS532" s="94"/>
      <c r="AT532" s="94"/>
      <c r="AU532" s="94"/>
      <c r="AV532" s="94"/>
      <c r="BB532" s="108">
        <f>Schäden_Einband!X532+Schäden_Buchblock!AC532</f>
        <v>0</v>
      </c>
      <c r="BC532" s="95"/>
    </row>
    <row r="533" spans="1:55" ht="23" x14ac:dyDescent="0.25">
      <c r="A533" s="82">
        <v>509</v>
      </c>
      <c r="B533" s="64" t="s">
        <v>1163</v>
      </c>
      <c r="C533" s="64">
        <v>1072321904</v>
      </c>
      <c r="D533" s="84" t="str">
        <f t="shared" si="8"/>
        <v>https://portal.dnb.de/opac.htm?method=simpleSearch&amp;cqlMode=true&amp;query=idn%3D1072321904</v>
      </c>
      <c r="E533" s="64" t="s">
        <v>1164</v>
      </c>
      <c r="F533" s="82" t="s">
        <v>1633</v>
      </c>
      <c r="G533" s="85" t="s">
        <v>16</v>
      </c>
      <c r="H533" s="82" t="s">
        <v>50</v>
      </c>
      <c r="I533" s="85" t="s">
        <v>86</v>
      </c>
      <c r="J533" s="85" t="s">
        <v>1652</v>
      </c>
      <c r="K533" s="82" t="s">
        <v>67</v>
      </c>
      <c r="L533" s="82" t="s">
        <v>35</v>
      </c>
      <c r="M533" s="82" t="s">
        <v>37</v>
      </c>
      <c r="N533" s="82">
        <v>1</v>
      </c>
      <c r="O533" s="82"/>
      <c r="P533" s="82"/>
      <c r="Q533" s="82"/>
      <c r="R533" s="82"/>
      <c r="S533" s="97"/>
      <c r="T533" s="97"/>
      <c r="X533" s="94"/>
      <c r="Y533" s="95"/>
      <c r="Z533" s="95"/>
      <c r="AA533" s="94"/>
      <c r="AB533" s="94"/>
      <c r="AC533" s="94"/>
      <c r="AD533" s="94"/>
      <c r="AE533" s="94"/>
      <c r="AF533" s="94"/>
      <c r="AS533" s="94"/>
      <c r="AT533" s="94"/>
      <c r="AU533" s="94"/>
      <c r="AV533" s="94"/>
      <c r="BB533" s="108">
        <f>Schäden_Einband!X533+Schäden_Buchblock!AC533</f>
        <v>0</v>
      </c>
      <c r="BC533" s="95"/>
    </row>
    <row r="534" spans="1:55" x14ac:dyDescent="0.25">
      <c r="A534" s="82">
        <v>510</v>
      </c>
      <c r="B534" s="64" t="s">
        <v>1165</v>
      </c>
      <c r="C534" s="64">
        <v>1066966877</v>
      </c>
      <c r="D534" s="84" t="str">
        <f t="shared" si="8"/>
        <v>https://portal.dnb.de/opac.htm?method=simpleSearch&amp;cqlMode=true&amp;query=idn%3D1066966877</v>
      </c>
      <c r="E534" s="64" t="s">
        <v>1166</v>
      </c>
      <c r="F534" s="82"/>
      <c r="G534" s="85"/>
      <c r="H534" s="82"/>
      <c r="I534" s="85"/>
      <c r="J534" s="85"/>
      <c r="K534" s="82"/>
      <c r="L534" s="82"/>
      <c r="M534" s="82"/>
      <c r="N534" s="82"/>
      <c r="O534" s="82"/>
      <c r="P534" s="82"/>
      <c r="Q534" s="82"/>
      <c r="R534" s="82"/>
      <c r="S534" s="97"/>
      <c r="T534" s="97"/>
      <c r="X534" s="94"/>
      <c r="Y534" s="95"/>
      <c r="Z534" s="95"/>
      <c r="AA534" s="94"/>
      <c r="AB534" s="94"/>
      <c r="AC534" s="94"/>
      <c r="AD534" s="94"/>
      <c r="AE534" s="94"/>
      <c r="AF534" s="94"/>
      <c r="AS534" s="94"/>
      <c r="AT534" s="94"/>
      <c r="AU534" s="94"/>
      <c r="AV534" s="94"/>
      <c r="BB534" s="108">
        <f>Schäden_Einband!X534+Schäden_Buchblock!AC534</f>
        <v>0</v>
      </c>
      <c r="BC534" s="95"/>
    </row>
    <row r="535" spans="1:55" x14ac:dyDescent="0.25">
      <c r="A535" s="82">
        <v>511</v>
      </c>
      <c r="B535" s="64" t="s">
        <v>1167</v>
      </c>
      <c r="C535" s="64">
        <v>1066965196</v>
      </c>
      <c r="D535" s="84" t="str">
        <f t="shared" si="8"/>
        <v>https://portal.dnb.de/opac.htm?method=simpleSearch&amp;cqlMode=true&amp;query=idn%3D1066965196</v>
      </c>
      <c r="E535" s="64" t="s">
        <v>1168</v>
      </c>
      <c r="F535" s="82"/>
      <c r="G535" s="85"/>
      <c r="H535" s="82"/>
      <c r="I535" s="85"/>
      <c r="J535" s="85"/>
      <c r="K535" s="82"/>
      <c r="L535" s="82"/>
      <c r="M535" s="82"/>
      <c r="N535" s="82"/>
      <c r="O535" s="82"/>
      <c r="P535" s="82"/>
      <c r="Q535" s="82"/>
      <c r="R535" s="82"/>
      <c r="S535" s="97"/>
      <c r="T535" s="97"/>
      <c r="X535" s="94"/>
      <c r="Y535" s="95"/>
      <c r="Z535" s="95"/>
      <c r="AA535" s="94"/>
      <c r="AB535" s="94"/>
      <c r="AC535" s="94"/>
      <c r="AD535" s="94"/>
      <c r="AE535" s="94"/>
      <c r="AF535" s="94"/>
      <c r="AS535" s="94"/>
      <c r="AT535" s="94"/>
      <c r="AU535" s="94"/>
      <c r="AV535" s="94"/>
      <c r="BB535" s="108">
        <f>Schäden_Einband!X535+Schäden_Buchblock!AC535</f>
        <v>0</v>
      </c>
      <c r="BC535" s="95"/>
    </row>
    <row r="536" spans="1:55" x14ac:dyDescent="0.25">
      <c r="A536" s="82">
        <v>512</v>
      </c>
      <c r="B536" s="64" t="s">
        <v>1169</v>
      </c>
      <c r="C536" s="64">
        <v>1067439293</v>
      </c>
      <c r="D536" s="84" t="str">
        <f t="shared" si="8"/>
        <v>https://portal.dnb.de/opac.htm?method=simpleSearch&amp;cqlMode=true&amp;query=idn%3D1067439293</v>
      </c>
      <c r="E536" s="64" t="s">
        <v>1170</v>
      </c>
      <c r="F536" s="82"/>
      <c r="G536" s="85"/>
      <c r="H536" s="82"/>
      <c r="I536" s="85"/>
      <c r="J536" s="85"/>
      <c r="K536" s="82"/>
      <c r="L536" s="82"/>
      <c r="M536" s="82"/>
      <c r="N536" s="82"/>
      <c r="O536" s="82"/>
      <c r="P536" s="82"/>
      <c r="Q536" s="82"/>
      <c r="R536" s="82"/>
      <c r="S536" s="97"/>
      <c r="T536" s="97"/>
      <c r="X536" s="94"/>
      <c r="Y536" s="95"/>
      <c r="Z536" s="95"/>
      <c r="AA536" s="94"/>
      <c r="AB536" s="94"/>
      <c r="AC536" s="94"/>
      <c r="AD536" s="94"/>
      <c r="AE536" s="94"/>
      <c r="AF536" s="94"/>
      <c r="AS536" s="94"/>
      <c r="AT536" s="94"/>
      <c r="AU536" s="94"/>
      <c r="AV536" s="94"/>
      <c r="BB536" s="108">
        <f>Schäden_Einband!X536+Schäden_Buchblock!AC536</f>
        <v>0</v>
      </c>
      <c r="BC536" s="95"/>
    </row>
    <row r="537" spans="1:55" ht="46" x14ac:dyDescent="0.25">
      <c r="A537" s="82">
        <v>513</v>
      </c>
      <c r="B537" s="64" t="s">
        <v>1171</v>
      </c>
      <c r="C537" s="64">
        <v>1066966362</v>
      </c>
      <c r="D537" s="84" t="str">
        <f t="shared" si="8"/>
        <v>https://portal.dnb.de/opac.htm?method=simpleSearch&amp;cqlMode=true&amp;query=idn%3D1066966362</v>
      </c>
      <c r="E537" s="64" t="s">
        <v>1172</v>
      </c>
      <c r="F537" s="82" t="s">
        <v>1633</v>
      </c>
      <c r="G537" s="85" t="s">
        <v>1607</v>
      </c>
      <c r="H537" s="82" t="s">
        <v>50</v>
      </c>
      <c r="I537" s="85" t="s">
        <v>86</v>
      </c>
      <c r="J537" s="85" t="s">
        <v>81</v>
      </c>
      <c r="K537" s="82"/>
      <c r="L537" s="82" t="s">
        <v>35</v>
      </c>
      <c r="M537" s="82" t="s">
        <v>37</v>
      </c>
      <c r="N537" s="82">
        <v>0</v>
      </c>
      <c r="O537" s="82"/>
      <c r="P537" s="82"/>
      <c r="Q537" s="82"/>
      <c r="R537" s="82"/>
      <c r="S537" s="97"/>
      <c r="T537" s="97"/>
      <c r="X537" s="94"/>
      <c r="Y537" s="95"/>
      <c r="Z537" s="95"/>
      <c r="AA537" s="94"/>
      <c r="AB537" s="94"/>
      <c r="AC537" s="94"/>
      <c r="AD537" s="94"/>
      <c r="AE537" s="94"/>
      <c r="AF537" s="94"/>
      <c r="AS537" s="94"/>
      <c r="AT537" s="94"/>
      <c r="AU537" s="94"/>
      <c r="AV537" s="94"/>
      <c r="BB537" s="108">
        <f>Schäden_Einband!X537+Schäden_Buchblock!AC537</f>
        <v>0</v>
      </c>
      <c r="BC537" s="95"/>
    </row>
    <row r="538" spans="1:55" x14ac:dyDescent="0.25">
      <c r="A538" s="82">
        <v>514</v>
      </c>
      <c r="B538" s="64" t="s">
        <v>1173</v>
      </c>
      <c r="C538" s="64">
        <v>1066966346</v>
      </c>
      <c r="D538" s="84" t="str">
        <f t="shared" ref="D538:D601" si="9">HYPERLINK(CONCATENATE("https://portal.dnb.de/opac.htm?method=simpleSearch&amp;cqlMode=true&amp;query=idn%3D",C538))</f>
        <v>https://portal.dnb.de/opac.htm?method=simpleSearch&amp;cqlMode=true&amp;query=idn%3D1066966346</v>
      </c>
      <c r="E538" s="64" t="s">
        <v>1174</v>
      </c>
      <c r="F538" s="82"/>
      <c r="G538" s="85"/>
      <c r="H538" s="82"/>
      <c r="I538" s="85"/>
      <c r="J538" s="85"/>
      <c r="K538" s="82"/>
      <c r="L538" s="82"/>
      <c r="M538" s="82"/>
      <c r="N538" s="82"/>
      <c r="O538" s="82"/>
      <c r="P538" s="82"/>
      <c r="Q538" s="82"/>
      <c r="R538" s="82"/>
      <c r="S538" s="97"/>
      <c r="T538" s="97"/>
      <c r="X538" s="94"/>
      <c r="Y538" s="95"/>
      <c r="Z538" s="95"/>
      <c r="AA538" s="94"/>
      <c r="AB538" s="94"/>
      <c r="AC538" s="94"/>
      <c r="AD538" s="94"/>
      <c r="AE538" s="94"/>
      <c r="AF538" s="94"/>
      <c r="AS538" s="94"/>
      <c r="AT538" s="94"/>
      <c r="AU538" s="94"/>
      <c r="AV538" s="94"/>
      <c r="BB538" s="108">
        <f>Schäden_Einband!X538+Schäden_Buchblock!AC538</f>
        <v>0</v>
      </c>
      <c r="BC538" s="95"/>
    </row>
    <row r="539" spans="1:55" ht="46" x14ac:dyDescent="0.25">
      <c r="A539" s="82">
        <v>515</v>
      </c>
      <c r="B539" s="64" t="s">
        <v>1175</v>
      </c>
      <c r="C539" s="64">
        <v>1066968349</v>
      </c>
      <c r="D539" s="84" t="str">
        <f t="shared" si="9"/>
        <v>https://portal.dnb.de/opac.htm?method=simpleSearch&amp;cqlMode=true&amp;query=idn%3D1066968349</v>
      </c>
      <c r="E539" s="64" t="s">
        <v>1176</v>
      </c>
      <c r="F539" s="82" t="s">
        <v>1633</v>
      </c>
      <c r="G539" s="85" t="s">
        <v>1585</v>
      </c>
      <c r="H539" s="82" t="s">
        <v>51</v>
      </c>
      <c r="I539" s="85" t="s">
        <v>90</v>
      </c>
      <c r="J539" s="85" t="s">
        <v>1641</v>
      </c>
      <c r="K539" s="82" t="s">
        <v>67</v>
      </c>
      <c r="L539" s="82" t="s">
        <v>35</v>
      </c>
      <c r="M539" s="82" t="s">
        <v>37</v>
      </c>
      <c r="N539" s="82">
        <v>0</v>
      </c>
      <c r="O539" s="82"/>
      <c r="P539" s="82"/>
      <c r="Q539" s="82"/>
      <c r="R539" s="82"/>
      <c r="S539" s="97"/>
      <c r="T539" s="97"/>
      <c r="X539" s="94"/>
      <c r="Y539" s="95"/>
      <c r="Z539" s="95"/>
      <c r="AA539" s="94"/>
      <c r="AB539" s="94"/>
      <c r="AC539" s="94"/>
      <c r="AD539" s="94"/>
      <c r="AE539" s="94"/>
      <c r="AF539" s="94"/>
      <c r="AS539" s="94"/>
      <c r="AT539" s="94"/>
      <c r="AU539" s="94"/>
      <c r="AV539" s="94"/>
      <c r="BB539" s="108">
        <f>Schäden_Einband!X539+Schäden_Buchblock!AC539</f>
        <v>0</v>
      </c>
      <c r="BC539" s="95"/>
    </row>
    <row r="540" spans="1:55" ht="23" x14ac:dyDescent="0.25">
      <c r="A540" s="82">
        <v>516</v>
      </c>
      <c r="B540" s="64" t="s">
        <v>1177</v>
      </c>
      <c r="C540" s="64">
        <v>1066965897</v>
      </c>
      <c r="D540" s="84" t="str">
        <f t="shared" si="9"/>
        <v>https://portal.dnb.de/opac.htm?method=simpleSearch&amp;cqlMode=true&amp;query=idn%3D1066965897</v>
      </c>
      <c r="E540" s="64" t="s">
        <v>1178</v>
      </c>
      <c r="F540" s="82"/>
      <c r="G540" s="85" t="s">
        <v>4</v>
      </c>
      <c r="H540" s="82" t="s">
        <v>50</v>
      </c>
      <c r="I540" s="85" t="s">
        <v>90</v>
      </c>
      <c r="J540" s="85" t="s">
        <v>81</v>
      </c>
      <c r="K540" s="82"/>
      <c r="L540" s="82" t="s">
        <v>35</v>
      </c>
      <c r="M540" s="82" t="s">
        <v>37</v>
      </c>
      <c r="N540" s="82">
        <v>0</v>
      </c>
      <c r="O540" s="82"/>
      <c r="P540" s="82"/>
      <c r="Q540" s="82"/>
      <c r="R540" s="82"/>
      <c r="S540" s="97"/>
      <c r="T540" s="97"/>
      <c r="X540" s="94"/>
      <c r="Y540" s="95"/>
      <c r="Z540" s="95"/>
      <c r="AA540" s="94"/>
      <c r="AB540" s="94"/>
      <c r="AC540" s="94"/>
      <c r="AD540" s="94"/>
      <c r="AE540" s="94"/>
      <c r="AF540" s="94"/>
      <c r="AS540" s="94"/>
      <c r="AT540" s="94"/>
      <c r="AU540" s="94"/>
      <c r="AV540" s="94"/>
      <c r="BB540" s="108">
        <f>Schäden_Einband!X540+Schäden_Buchblock!AC540</f>
        <v>0</v>
      </c>
      <c r="BC540" s="95"/>
    </row>
    <row r="541" spans="1:55" x14ac:dyDescent="0.25">
      <c r="A541" s="82">
        <v>517</v>
      </c>
      <c r="B541" s="64" t="s">
        <v>1179</v>
      </c>
      <c r="C541" s="64">
        <v>1072322234</v>
      </c>
      <c r="D541" s="84" t="str">
        <f t="shared" si="9"/>
        <v>https://portal.dnb.de/opac.htm?method=simpleSearch&amp;cqlMode=true&amp;query=idn%3D1072322234</v>
      </c>
      <c r="E541" s="64" t="s">
        <v>1180</v>
      </c>
      <c r="F541" s="82"/>
      <c r="G541" s="85"/>
      <c r="H541" s="82"/>
      <c r="I541" s="85"/>
      <c r="J541" s="85"/>
      <c r="K541" s="82"/>
      <c r="L541" s="82"/>
      <c r="M541" s="82"/>
      <c r="N541" s="82"/>
      <c r="O541" s="82"/>
      <c r="P541" s="82"/>
      <c r="Q541" s="82"/>
      <c r="R541" s="82"/>
      <c r="S541" s="97"/>
      <c r="T541" s="97"/>
      <c r="X541" s="94"/>
      <c r="Y541" s="95"/>
      <c r="Z541" s="95"/>
      <c r="AA541" s="94"/>
      <c r="AB541" s="94"/>
      <c r="AC541" s="94"/>
      <c r="AD541" s="94"/>
      <c r="AE541" s="94"/>
      <c r="AF541" s="94"/>
      <c r="AS541" s="94"/>
      <c r="AT541" s="94"/>
      <c r="AU541" s="94"/>
      <c r="AV541" s="94"/>
      <c r="BB541" s="108">
        <f>Schäden_Einband!X541+Schäden_Buchblock!AC541</f>
        <v>0</v>
      </c>
      <c r="BC541" s="95"/>
    </row>
    <row r="542" spans="1:55" ht="46" x14ac:dyDescent="0.25">
      <c r="A542" s="82">
        <v>518</v>
      </c>
      <c r="B542" s="64" t="s">
        <v>1181</v>
      </c>
      <c r="C542" s="64">
        <v>1066963800</v>
      </c>
      <c r="D542" s="84" t="str">
        <f t="shared" si="9"/>
        <v>https://portal.dnb.de/opac.htm?method=simpleSearch&amp;cqlMode=true&amp;query=idn%3D1066963800</v>
      </c>
      <c r="E542" s="64" t="s">
        <v>1182</v>
      </c>
      <c r="F542" s="82" t="s">
        <v>1633</v>
      </c>
      <c r="G542" s="85" t="s">
        <v>1584</v>
      </c>
      <c r="H542" s="82" t="s">
        <v>50</v>
      </c>
      <c r="I542" s="85" t="s">
        <v>90</v>
      </c>
      <c r="J542" s="85" t="s">
        <v>94</v>
      </c>
      <c r="K542" s="82"/>
      <c r="L542" s="82" t="s">
        <v>35</v>
      </c>
      <c r="M542" s="82" t="s">
        <v>37</v>
      </c>
      <c r="N542" s="82">
        <v>0</v>
      </c>
      <c r="O542" s="82"/>
      <c r="P542" s="82"/>
      <c r="Q542" s="82"/>
      <c r="R542" s="82"/>
      <c r="S542" s="97"/>
      <c r="T542" s="97"/>
      <c r="X542" s="94"/>
      <c r="Y542" s="95"/>
      <c r="Z542" s="95"/>
      <c r="AA542" s="94"/>
      <c r="AB542" s="94"/>
      <c r="AC542" s="94"/>
      <c r="AD542" s="94"/>
      <c r="AE542" s="94"/>
      <c r="AF542" s="94"/>
      <c r="AS542" s="94"/>
      <c r="AT542" s="94"/>
      <c r="AU542" s="94"/>
      <c r="AV542" s="94"/>
      <c r="BB542" s="108">
        <f>Schäden_Einband!X542+Schäden_Buchblock!AC542</f>
        <v>0</v>
      </c>
      <c r="BC542" s="95"/>
    </row>
    <row r="543" spans="1:55" x14ac:dyDescent="0.25">
      <c r="A543" s="82">
        <v>519</v>
      </c>
      <c r="B543" s="64" t="s">
        <v>1183</v>
      </c>
      <c r="C543" s="64">
        <v>1072097877</v>
      </c>
      <c r="D543" s="84" t="str">
        <f t="shared" si="9"/>
        <v>https://portal.dnb.de/opac.htm?method=simpleSearch&amp;cqlMode=true&amp;query=idn%3D1072097877</v>
      </c>
      <c r="E543" s="64" t="s">
        <v>1184</v>
      </c>
      <c r="F543" s="82"/>
      <c r="G543" s="85"/>
      <c r="H543" s="82"/>
      <c r="I543" s="85"/>
      <c r="J543" s="85"/>
      <c r="K543" s="82"/>
      <c r="L543" s="82"/>
      <c r="M543" s="82"/>
      <c r="N543" s="82"/>
      <c r="O543" s="82"/>
      <c r="P543" s="82"/>
      <c r="Q543" s="82"/>
      <c r="R543" s="82"/>
      <c r="S543" s="97"/>
      <c r="T543" s="97"/>
      <c r="X543" s="94"/>
      <c r="Y543" s="95"/>
      <c r="Z543" s="95"/>
      <c r="AA543" s="94"/>
      <c r="AB543" s="94"/>
      <c r="AC543" s="94"/>
      <c r="AD543" s="94"/>
      <c r="AE543" s="94"/>
      <c r="AF543" s="94"/>
      <c r="AS543" s="94"/>
      <c r="AT543" s="94"/>
      <c r="AU543" s="94"/>
      <c r="AV543" s="94"/>
      <c r="BB543" s="108">
        <f>Schäden_Einband!X543+Schäden_Buchblock!AC543</f>
        <v>0</v>
      </c>
      <c r="BC543" s="95"/>
    </row>
    <row r="544" spans="1:55" ht="46" x14ac:dyDescent="0.25">
      <c r="A544" s="82">
        <v>520</v>
      </c>
      <c r="B544" s="64" t="s">
        <v>1185</v>
      </c>
      <c r="C544" s="64">
        <v>1066967830</v>
      </c>
      <c r="D544" s="84" t="str">
        <f t="shared" si="9"/>
        <v>https://portal.dnb.de/opac.htm?method=simpleSearch&amp;cqlMode=true&amp;query=idn%3D1066967830</v>
      </c>
      <c r="E544" s="64" t="s">
        <v>1186</v>
      </c>
      <c r="F544" s="82" t="s">
        <v>1633</v>
      </c>
      <c r="G544" s="85" t="s">
        <v>1585</v>
      </c>
      <c r="H544" s="82" t="s">
        <v>51</v>
      </c>
      <c r="I544" s="85" t="s">
        <v>90</v>
      </c>
      <c r="J544" s="85" t="s">
        <v>1604</v>
      </c>
      <c r="K544" s="82"/>
      <c r="L544" s="82" t="s">
        <v>35</v>
      </c>
      <c r="M544" s="82" t="s">
        <v>37</v>
      </c>
      <c r="N544" s="82">
        <v>3</v>
      </c>
      <c r="O544" s="82"/>
      <c r="P544" s="82"/>
      <c r="Q544" s="82"/>
      <c r="R544" s="82"/>
      <c r="S544" s="97"/>
      <c r="T544" s="97"/>
      <c r="X544" s="94"/>
      <c r="Y544" s="95"/>
      <c r="Z544" s="95"/>
      <c r="AA544" s="94"/>
      <c r="AB544" s="94"/>
      <c r="AC544" s="94"/>
      <c r="AD544" s="94"/>
      <c r="AE544" s="94"/>
      <c r="AF544" s="94"/>
      <c r="AS544" s="94"/>
      <c r="AT544" s="94"/>
      <c r="AU544" s="94"/>
      <c r="AV544" s="94"/>
      <c r="BB544" s="108">
        <f>Schäden_Einband!X544+Schäden_Buchblock!AC544</f>
        <v>0</v>
      </c>
      <c r="BC544" s="95"/>
    </row>
    <row r="545" spans="1:55" x14ac:dyDescent="0.25">
      <c r="A545" s="82">
        <v>521</v>
      </c>
      <c r="B545" s="64" t="s">
        <v>1187</v>
      </c>
      <c r="C545" s="64">
        <v>1066965560</v>
      </c>
      <c r="D545" s="84" t="str">
        <f t="shared" si="9"/>
        <v>https://portal.dnb.de/opac.htm?method=simpleSearch&amp;cqlMode=true&amp;query=idn%3D1066965560</v>
      </c>
      <c r="E545" s="64" t="s">
        <v>1188</v>
      </c>
      <c r="F545" s="82"/>
      <c r="G545" s="85"/>
      <c r="H545" s="82"/>
      <c r="I545" s="85"/>
      <c r="J545" s="85"/>
      <c r="K545" s="82"/>
      <c r="L545" s="82"/>
      <c r="M545" s="82"/>
      <c r="N545" s="82"/>
      <c r="O545" s="82"/>
      <c r="P545" s="82"/>
      <c r="Q545" s="82"/>
      <c r="R545" s="82"/>
      <c r="S545" s="97"/>
      <c r="T545" s="97"/>
      <c r="X545" s="94"/>
      <c r="Y545" s="95"/>
      <c r="Z545" s="95"/>
      <c r="AA545" s="94"/>
      <c r="AB545" s="94"/>
      <c r="AC545" s="94"/>
      <c r="AD545" s="94"/>
      <c r="AE545" s="94"/>
      <c r="AF545" s="94"/>
      <c r="AS545" s="94"/>
      <c r="AT545" s="94"/>
      <c r="AU545" s="94"/>
      <c r="AV545" s="94"/>
      <c r="BB545" s="108">
        <f>Schäden_Einband!X545+Schäden_Buchblock!AC545</f>
        <v>0</v>
      </c>
      <c r="BC545" s="95"/>
    </row>
    <row r="546" spans="1:55" ht="34.5" x14ac:dyDescent="0.25">
      <c r="A546" s="82">
        <v>522</v>
      </c>
      <c r="B546" s="64" t="s">
        <v>1189</v>
      </c>
      <c r="C546" s="64">
        <v>1066966265</v>
      </c>
      <c r="D546" s="84" t="str">
        <f t="shared" si="9"/>
        <v>https://portal.dnb.de/opac.htm?method=simpleSearch&amp;cqlMode=true&amp;query=idn%3D1066966265</v>
      </c>
      <c r="E546" s="64" t="s">
        <v>1190</v>
      </c>
      <c r="F546" s="82" t="s">
        <v>1633</v>
      </c>
      <c r="G546" s="85" t="s">
        <v>4</v>
      </c>
      <c r="H546" s="82" t="s">
        <v>51</v>
      </c>
      <c r="I546" s="85" t="s">
        <v>90</v>
      </c>
      <c r="J546" s="85" t="s">
        <v>1591</v>
      </c>
      <c r="K546" s="82" t="s">
        <v>67</v>
      </c>
      <c r="L546" s="82" t="s">
        <v>35</v>
      </c>
      <c r="M546" s="82" t="s">
        <v>37</v>
      </c>
      <c r="N546" s="82">
        <v>3</v>
      </c>
      <c r="O546" s="82"/>
      <c r="P546" s="82"/>
      <c r="Q546" s="82"/>
      <c r="R546" s="82"/>
      <c r="S546" s="97"/>
      <c r="T546" s="97"/>
      <c r="X546" s="94"/>
      <c r="Y546" s="95"/>
      <c r="Z546" s="95"/>
      <c r="AA546" s="94"/>
      <c r="AB546" s="94"/>
      <c r="AC546" s="94"/>
      <c r="AD546" s="94"/>
      <c r="AE546" s="94"/>
      <c r="AF546" s="94"/>
      <c r="AS546" s="94"/>
      <c r="AT546" s="94"/>
      <c r="AU546" s="94"/>
      <c r="AV546" s="94"/>
      <c r="BB546" s="108">
        <f>Schäden_Einband!X546+Schäden_Buchblock!AC546</f>
        <v>0</v>
      </c>
      <c r="BC546" s="95"/>
    </row>
    <row r="547" spans="1:55" x14ac:dyDescent="0.25">
      <c r="A547" s="82">
        <v>523</v>
      </c>
      <c r="B547" s="64" t="s">
        <v>1191</v>
      </c>
      <c r="C547" s="64">
        <v>1072098342</v>
      </c>
      <c r="D547" s="84" t="str">
        <f t="shared" si="9"/>
        <v>https://portal.dnb.de/opac.htm?method=simpleSearch&amp;cqlMode=true&amp;query=idn%3D1072098342</v>
      </c>
      <c r="E547" s="64" t="s">
        <v>1192</v>
      </c>
      <c r="F547" s="82"/>
      <c r="G547" s="85"/>
      <c r="H547" s="82"/>
      <c r="I547" s="85"/>
      <c r="J547" s="85"/>
      <c r="K547" s="82"/>
      <c r="L547" s="82"/>
      <c r="M547" s="82"/>
      <c r="N547" s="82"/>
      <c r="O547" s="82"/>
      <c r="P547" s="82"/>
      <c r="Q547" s="82"/>
      <c r="R547" s="82"/>
      <c r="S547" s="97"/>
      <c r="T547" s="97"/>
      <c r="X547" s="94"/>
      <c r="Y547" s="95"/>
      <c r="Z547" s="95"/>
      <c r="AA547" s="94"/>
      <c r="AB547" s="94"/>
      <c r="AC547" s="94"/>
      <c r="AD547" s="94"/>
      <c r="AE547" s="94"/>
      <c r="AF547" s="94"/>
      <c r="AS547" s="94"/>
      <c r="AT547" s="94"/>
      <c r="AU547" s="94"/>
      <c r="AV547" s="94"/>
      <c r="BB547" s="108">
        <f>Schäden_Einband!X547+Schäden_Buchblock!AC547</f>
        <v>0</v>
      </c>
      <c r="BC547" s="95"/>
    </row>
    <row r="548" spans="1:55" x14ac:dyDescent="0.25">
      <c r="A548" s="82">
        <v>524</v>
      </c>
      <c r="B548" s="64" t="s">
        <v>1193</v>
      </c>
      <c r="C548" s="64">
        <v>1066971625</v>
      </c>
      <c r="D548" s="84" t="str">
        <f t="shared" si="9"/>
        <v>https://portal.dnb.de/opac.htm?method=simpleSearch&amp;cqlMode=true&amp;query=idn%3D1066971625</v>
      </c>
      <c r="E548" s="64" t="s">
        <v>1194</v>
      </c>
      <c r="F548" s="82"/>
      <c r="G548" s="85"/>
      <c r="H548" s="82"/>
      <c r="I548" s="85"/>
      <c r="J548" s="85"/>
      <c r="K548" s="82"/>
      <c r="L548" s="82"/>
      <c r="M548" s="82"/>
      <c r="N548" s="82"/>
      <c r="O548" s="82"/>
      <c r="P548" s="82"/>
      <c r="Q548" s="82"/>
      <c r="R548" s="82"/>
      <c r="S548" s="97"/>
      <c r="T548" s="97"/>
      <c r="X548" s="94"/>
      <c r="Y548" s="95"/>
      <c r="Z548" s="95"/>
      <c r="AA548" s="94"/>
      <c r="AB548" s="94"/>
      <c r="AC548" s="94"/>
      <c r="AD548" s="94"/>
      <c r="AE548" s="94"/>
      <c r="AF548" s="94"/>
      <c r="AS548" s="94"/>
      <c r="AT548" s="94"/>
      <c r="AU548" s="94"/>
      <c r="AV548" s="94"/>
      <c r="BB548" s="108">
        <f>Schäden_Einband!X548+Schäden_Buchblock!AC548</f>
        <v>0</v>
      </c>
      <c r="BC548" s="95"/>
    </row>
    <row r="549" spans="1:55" x14ac:dyDescent="0.25">
      <c r="A549" s="82">
        <v>525</v>
      </c>
      <c r="B549" s="64" t="s">
        <v>1195</v>
      </c>
      <c r="C549" s="64">
        <v>1066971390</v>
      </c>
      <c r="D549" s="84" t="str">
        <f t="shared" si="9"/>
        <v>https://portal.dnb.de/opac.htm?method=simpleSearch&amp;cqlMode=true&amp;query=idn%3D1066971390</v>
      </c>
      <c r="E549" s="64" t="s">
        <v>1196</v>
      </c>
      <c r="F549" s="82"/>
      <c r="G549" s="85"/>
      <c r="H549" s="82"/>
      <c r="I549" s="85"/>
      <c r="J549" s="85"/>
      <c r="K549" s="82"/>
      <c r="L549" s="82"/>
      <c r="M549" s="82"/>
      <c r="N549" s="82"/>
      <c r="O549" s="82"/>
      <c r="P549" s="82"/>
      <c r="Q549" s="82"/>
      <c r="R549" s="82"/>
      <c r="S549" s="97"/>
      <c r="T549" s="97"/>
      <c r="X549" s="94"/>
      <c r="Y549" s="95"/>
      <c r="Z549" s="95"/>
      <c r="AA549" s="94"/>
      <c r="AB549" s="94"/>
      <c r="AC549" s="94"/>
      <c r="AD549" s="94"/>
      <c r="AE549" s="94"/>
      <c r="AF549" s="94"/>
      <c r="AS549" s="94"/>
      <c r="AT549" s="94"/>
      <c r="AU549" s="94"/>
      <c r="AV549" s="94"/>
      <c r="BB549" s="108">
        <f>Schäden_Einband!X549+Schäden_Buchblock!AC549</f>
        <v>0</v>
      </c>
      <c r="BC549" s="95"/>
    </row>
    <row r="550" spans="1:55" x14ac:dyDescent="0.25">
      <c r="A550" s="82">
        <v>526</v>
      </c>
      <c r="B550" s="64" t="s">
        <v>1197</v>
      </c>
      <c r="C550" s="64">
        <v>1072322579</v>
      </c>
      <c r="D550" s="84" t="str">
        <f t="shared" si="9"/>
        <v>https://portal.dnb.de/opac.htm?method=simpleSearch&amp;cqlMode=true&amp;query=idn%3D1072322579</v>
      </c>
      <c r="E550" s="64" t="s">
        <v>1198</v>
      </c>
      <c r="F550" s="82"/>
      <c r="G550" s="85"/>
      <c r="H550" s="82"/>
      <c r="I550" s="85"/>
      <c r="J550" s="85"/>
      <c r="K550" s="82"/>
      <c r="L550" s="82"/>
      <c r="M550" s="82"/>
      <c r="N550" s="82"/>
      <c r="O550" s="82"/>
      <c r="P550" s="82"/>
      <c r="Q550" s="82"/>
      <c r="R550" s="82"/>
      <c r="S550" s="97"/>
      <c r="T550" s="97"/>
      <c r="X550" s="94"/>
      <c r="Y550" s="95"/>
      <c r="Z550" s="95"/>
      <c r="AA550" s="94"/>
      <c r="AB550" s="94"/>
      <c r="AC550" s="94"/>
      <c r="AD550" s="94"/>
      <c r="AE550" s="94"/>
      <c r="AF550" s="94"/>
      <c r="AS550" s="94"/>
      <c r="AT550" s="94"/>
      <c r="AU550" s="94"/>
      <c r="AV550" s="94"/>
      <c r="BB550" s="108">
        <f>Schäden_Einband!X550+Schäden_Buchblock!AC550</f>
        <v>0</v>
      </c>
      <c r="BC550" s="95"/>
    </row>
    <row r="551" spans="1:55" x14ac:dyDescent="0.25">
      <c r="A551" s="82">
        <v>527</v>
      </c>
      <c r="B551" s="64" t="s">
        <v>1199</v>
      </c>
      <c r="C551" s="64">
        <v>1072322838</v>
      </c>
      <c r="D551" s="84" t="str">
        <f t="shared" si="9"/>
        <v>https://portal.dnb.de/opac.htm?method=simpleSearch&amp;cqlMode=true&amp;query=idn%3D1072322838</v>
      </c>
      <c r="E551" s="64" t="s">
        <v>1200</v>
      </c>
      <c r="F551" s="82"/>
      <c r="G551" s="85"/>
      <c r="H551" s="82"/>
      <c r="I551" s="85"/>
      <c r="J551" s="85"/>
      <c r="K551" s="82"/>
      <c r="L551" s="82"/>
      <c r="M551" s="82"/>
      <c r="N551" s="82"/>
      <c r="O551" s="82"/>
      <c r="P551" s="82"/>
      <c r="Q551" s="82"/>
      <c r="R551" s="82"/>
      <c r="S551" s="97"/>
      <c r="T551" s="97"/>
      <c r="X551" s="94"/>
      <c r="Y551" s="95"/>
      <c r="Z551" s="95"/>
      <c r="AA551" s="94"/>
      <c r="AB551" s="94"/>
      <c r="AC551" s="94"/>
      <c r="AD551" s="94"/>
      <c r="AE551" s="94"/>
      <c r="AF551" s="94"/>
      <c r="AS551" s="94"/>
      <c r="AT551" s="94"/>
      <c r="AU551" s="94"/>
      <c r="AV551" s="94"/>
      <c r="BB551" s="108">
        <f>Schäden_Einband!X551+Schäden_Buchblock!AC551</f>
        <v>0</v>
      </c>
      <c r="BC551" s="95"/>
    </row>
    <row r="552" spans="1:55" x14ac:dyDescent="0.25">
      <c r="A552" s="82">
        <v>528</v>
      </c>
      <c r="B552" s="64" t="s">
        <v>1201</v>
      </c>
      <c r="C552" s="64">
        <v>1066967709</v>
      </c>
      <c r="D552" s="84" t="str">
        <f t="shared" si="9"/>
        <v>https://portal.dnb.de/opac.htm?method=simpleSearch&amp;cqlMode=true&amp;query=idn%3D1066967709</v>
      </c>
      <c r="E552" s="64" t="s">
        <v>1202</v>
      </c>
      <c r="F552" s="82"/>
      <c r="G552" s="85"/>
      <c r="H552" s="82"/>
      <c r="I552" s="85"/>
      <c r="J552" s="85"/>
      <c r="K552" s="82"/>
      <c r="L552" s="82"/>
      <c r="M552" s="82"/>
      <c r="N552" s="82"/>
      <c r="O552" s="82"/>
      <c r="P552" s="82"/>
      <c r="Q552" s="82"/>
      <c r="R552" s="82"/>
      <c r="S552" s="97"/>
      <c r="T552" s="97"/>
      <c r="X552" s="94"/>
      <c r="Y552" s="95"/>
      <c r="Z552" s="95"/>
      <c r="AA552" s="94"/>
      <c r="AB552" s="94"/>
      <c r="AC552" s="94"/>
      <c r="AD552" s="94"/>
      <c r="AE552" s="94"/>
      <c r="AF552" s="94"/>
      <c r="AS552" s="94"/>
      <c r="AT552" s="94"/>
      <c r="AU552" s="94"/>
      <c r="AV552" s="94"/>
      <c r="BB552" s="108">
        <f>Schäden_Einband!X552+Schäden_Buchblock!AC552</f>
        <v>0</v>
      </c>
      <c r="BC552" s="95"/>
    </row>
    <row r="553" spans="1:55" x14ac:dyDescent="0.25">
      <c r="A553" s="82">
        <v>529</v>
      </c>
      <c r="B553" s="64" t="s">
        <v>1203</v>
      </c>
      <c r="C553" s="64">
        <v>1066971889</v>
      </c>
      <c r="D553" s="84" t="str">
        <f t="shared" si="9"/>
        <v>https://portal.dnb.de/opac.htm?method=simpleSearch&amp;cqlMode=true&amp;query=idn%3D1066971889</v>
      </c>
      <c r="E553" s="64" t="s">
        <v>1204</v>
      </c>
      <c r="F553" s="82"/>
      <c r="G553" s="85"/>
      <c r="H553" s="82"/>
      <c r="I553" s="85"/>
      <c r="J553" s="85"/>
      <c r="K553" s="82"/>
      <c r="L553" s="82"/>
      <c r="M553" s="82"/>
      <c r="N553" s="82"/>
      <c r="O553" s="82"/>
      <c r="P553" s="82"/>
      <c r="Q553" s="82"/>
      <c r="R553" s="82"/>
      <c r="S553" s="97"/>
      <c r="T553" s="97"/>
      <c r="X553" s="94"/>
      <c r="Y553" s="95"/>
      <c r="Z553" s="95"/>
      <c r="AA553" s="94"/>
      <c r="AB553" s="94"/>
      <c r="AC553" s="94"/>
      <c r="AD553" s="94"/>
      <c r="AE553" s="94"/>
      <c r="AF553" s="94"/>
      <c r="AS553" s="94"/>
      <c r="AT553" s="94"/>
      <c r="AU553" s="94"/>
      <c r="AV553" s="94"/>
      <c r="BB553" s="108">
        <f>Schäden_Einband!X553+Schäden_Buchblock!AC553</f>
        <v>0</v>
      </c>
      <c r="BC553" s="95"/>
    </row>
    <row r="554" spans="1:55" x14ac:dyDescent="0.25">
      <c r="A554" s="82">
        <v>530</v>
      </c>
      <c r="B554" s="64" t="s">
        <v>1205</v>
      </c>
      <c r="C554" s="64" t="s">
        <v>1206</v>
      </c>
      <c r="D554" s="84" t="str">
        <f t="shared" si="9"/>
        <v>https://portal.dnb.de/opac.htm?method=simpleSearch&amp;cqlMode=true&amp;query=idn%3D106697134X</v>
      </c>
      <c r="E554" s="64" t="s">
        <v>1207</v>
      </c>
      <c r="F554" s="82"/>
      <c r="G554" s="85"/>
      <c r="H554" s="82"/>
      <c r="I554" s="85"/>
      <c r="J554" s="85"/>
      <c r="K554" s="82"/>
      <c r="L554" s="82"/>
      <c r="M554" s="82"/>
      <c r="N554" s="82"/>
      <c r="O554" s="82"/>
      <c r="P554" s="82"/>
      <c r="Q554" s="82"/>
      <c r="R554" s="82"/>
      <c r="S554" s="97"/>
      <c r="T554" s="97"/>
      <c r="X554" s="94"/>
      <c r="Y554" s="95"/>
      <c r="Z554" s="95"/>
      <c r="AA554" s="94"/>
      <c r="AB554" s="94"/>
      <c r="AC554" s="94"/>
      <c r="AD554" s="94"/>
      <c r="AE554" s="94"/>
      <c r="AF554" s="94"/>
      <c r="AS554" s="94"/>
      <c r="AT554" s="94"/>
      <c r="AU554" s="94"/>
      <c r="AV554" s="94"/>
      <c r="BB554" s="108">
        <f>Schäden_Einband!X554+Schäden_Buchblock!AC554</f>
        <v>0</v>
      </c>
      <c r="BC554" s="95"/>
    </row>
    <row r="555" spans="1:55" x14ac:dyDescent="0.25">
      <c r="A555" s="82">
        <v>531</v>
      </c>
      <c r="B555" s="64" t="s">
        <v>1208</v>
      </c>
      <c r="C555" s="64" t="s">
        <v>1209</v>
      </c>
      <c r="D555" s="84" t="str">
        <f t="shared" si="9"/>
        <v>https://portal.dnb.de/opac.htm?method=simpleSearch&amp;cqlMode=true&amp;query=idn%3D106696520X</v>
      </c>
      <c r="E555" s="64" t="s">
        <v>1210</v>
      </c>
      <c r="F555" s="82"/>
      <c r="G555" s="85"/>
      <c r="H555" s="82"/>
      <c r="I555" s="85"/>
      <c r="J555" s="85"/>
      <c r="K555" s="82"/>
      <c r="L555" s="82"/>
      <c r="M555" s="82"/>
      <c r="N555" s="82"/>
      <c r="O555" s="82"/>
      <c r="P555" s="82"/>
      <c r="Q555" s="82"/>
      <c r="R555" s="82"/>
      <c r="S555" s="97"/>
      <c r="T555" s="97"/>
      <c r="X555" s="94"/>
      <c r="Y555" s="95"/>
      <c r="Z555" s="95"/>
      <c r="AA555" s="94"/>
      <c r="AB555" s="94"/>
      <c r="AC555" s="94"/>
      <c r="AD555" s="94"/>
      <c r="AE555" s="94"/>
      <c r="AF555" s="94"/>
      <c r="AS555" s="94"/>
      <c r="AT555" s="94"/>
      <c r="AU555" s="94"/>
      <c r="AV555" s="94"/>
      <c r="BB555" s="108">
        <f>Schäden_Einband!X555+Schäden_Buchblock!AC555</f>
        <v>0</v>
      </c>
      <c r="BC555" s="95"/>
    </row>
    <row r="556" spans="1:55" x14ac:dyDescent="0.25">
      <c r="A556" s="82">
        <v>532</v>
      </c>
      <c r="B556" s="64" t="s">
        <v>1211</v>
      </c>
      <c r="C556" s="64">
        <v>1066967229</v>
      </c>
      <c r="D556" s="84" t="str">
        <f t="shared" si="9"/>
        <v>https://portal.dnb.de/opac.htm?method=simpleSearch&amp;cqlMode=true&amp;query=idn%3D1066967229</v>
      </c>
      <c r="E556" s="64" t="s">
        <v>1212</v>
      </c>
      <c r="F556" s="82"/>
      <c r="G556" s="85"/>
      <c r="H556" s="82"/>
      <c r="I556" s="85"/>
      <c r="J556" s="85"/>
      <c r="K556" s="82"/>
      <c r="L556" s="82"/>
      <c r="M556" s="82"/>
      <c r="N556" s="82"/>
      <c r="O556" s="82"/>
      <c r="P556" s="82"/>
      <c r="Q556" s="82"/>
      <c r="R556" s="82"/>
      <c r="S556" s="97"/>
      <c r="T556" s="97"/>
      <c r="X556" s="94"/>
      <c r="Y556" s="95"/>
      <c r="Z556" s="95"/>
      <c r="AA556" s="94"/>
      <c r="AB556" s="94"/>
      <c r="AC556" s="94"/>
      <c r="AD556" s="94"/>
      <c r="AE556" s="94"/>
      <c r="AF556" s="94"/>
      <c r="AS556" s="94"/>
      <c r="AT556" s="94"/>
      <c r="AU556" s="94"/>
      <c r="AV556" s="94"/>
      <c r="BB556" s="108">
        <f>Schäden_Einband!X556+Schäden_Buchblock!AC556</f>
        <v>0</v>
      </c>
      <c r="BC556" s="95"/>
    </row>
    <row r="557" spans="1:55" x14ac:dyDescent="0.25">
      <c r="A557" s="82">
        <v>533</v>
      </c>
      <c r="B557" s="64" t="s">
        <v>1213</v>
      </c>
      <c r="C557" s="64">
        <v>1072098903</v>
      </c>
      <c r="D557" s="84" t="str">
        <f t="shared" si="9"/>
        <v>https://portal.dnb.de/opac.htm?method=simpleSearch&amp;cqlMode=true&amp;query=idn%3D1072098903</v>
      </c>
      <c r="E557" s="64" t="s">
        <v>1214</v>
      </c>
      <c r="F557" s="82"/>
      <c r="G557" s="85"/>
      <c r="H557" s="82"/>
      <c r="I557" s="85"/>
      <c r="J557" s="85"/>
      <c r="K557" s="82"/>
      <c r="L557" s="82"/>
      <c r="M557" s="82"/>
      <c r="N557" s="82"/>
      <c r="O557" s="82"/>
      <c r="P557" s="82"/>
      <c r="Q557" s="82"/>
      <c r="R557" s="82"/>
      <c r="S557" s="97"/>
      <c r="T557" s="97"/>
      <c r="X557" s="94"/>
      <c r="Y557" s="95"/>
      <c r="Z557" s="95"/>
      <c r="AA557" s="94"/>
      <c r="AB557" s="94"/>
      <c r="AC557" s="94"/>
      <c r="AD557" s="94"/>
      <c r="AE557" s="94"/>
      <c r="AF557" s="94"/>
      <c r="AS557" s="94"/>
      <c r="AT557" s="94"/>
      <c r="AU557" s="94"/>
      <c r="AV557" s="94"/>
      <c r="BB557" s="108">
        <f>Schäden_Einband!X557+Schäden_Buchblock!AC557</f>
        <v>0</v>
      </c>
      <c r="BC557" s="95"/>
    </row>
    <row r="558" spans="1:55" x14ac:dyDescent="0.25">
      <c r="A558" s="82">
        <v>534</v>
      </c>
      <c r="B558" s="64" t="s">
        <v>1215</v>
      </c>
      <c r="C558" s="64">
        <v>1072099748</v>
      </c>
      <c r="D558" s="84" t="str">
        <f t="shared" si="9"/>
        <v>https://portal.dnb.de/opac.htm?method=simpleSearch&amp;cqlMode=true&amp;query=idn%3D1072099748</v>
      </c>
      <c r="E558" s="64" t="s">
        <v>1216</v>
      </c>
      <c r="F558" s="82"/>
      <c r="G558" s="85"/>
      <c r="H558" s="82"/>
      <c r="I558" s="85"/>
      <c r="J558" s="85"/>
      <c r="K558" s="82"/>
      <c r="L558" s="82"/>
      <c r="M558" s="82"/>
      <c r="N558" s="82"/>
      <c r="O558" s="82"/>
      <c r="P558" s="82"/>
      <c r="Q558" s="82"/>
      <c r="R558" s="82"/>
      <c r="S558" s="97"/>
      <c r="T558" s="97"/>
      <c r="X558" s="94"/>
      <c r="Y558" s="95"/>
      <c r="Z558" s="95"/>
      <c r="AA558" s="94"/>
      <c r="AB558" s="94"/>
      <c r="AC558" s="94"/>
      <c r="AD558" s="94"/>
      <c r="AE558" s="94"/>
      <c r="AF558" s="94"/>
      <c r="AS558" s="94"/>
      <c r="AT558" s="94"/>
      <c r="AU558" s="94"/>
      <c r="AV558" s="94"/>
      <c r="BB558" s="108">
        <f>Schäden_Einband!X558+Schäden_Buchblock!AC558</f>
        <v>0</v>
      </c>
      <c r="BC558" s="95"/>
    </row>
    <row r="559" spans="1:55" x14ac:dyDescent="0.25">
      <c r="A559" s="82">
        <v>535</v>
      </c>
      <c r="B559" s="64" t="s">
        <v>1217</v>
      </c>
      <c r="C559" s="64">
        <v>1066966001</v>
      </c>
      <c r="D559" s="84" t="str">
        <f t="shared" si="9"/>
        <v>https://portal.dnb.de/opac.htm?method=simpleSearch&amp;cqlMode=true&amp;query=idn%3D1066966001</v>
      </c>
      <c r="E559" s="64" t="s">
        <v>1218</v>
      </c>
      <c r="F559" s="82"/>
      <c r="G559" s="85"/>
      <c r="H559" s="82"/>
      <c r="I559" s="85"/>
      <c r="J559" s="85"/>
      <c r="K559" s="82"/>
      <c r="L559" s="82"/>
      <c r="M559" s="82"/>
      <c r="N559" s="82"/>
      <c r="O559" s="82"/>
      <c r="P559" s="82"/>
      <c r="Q559" s="82"/>
      <c r="R559" s="82"/>
      <c r="S559" s="97"/>
      <c r="T559" s="97"/>
      <c r="X559" s="94"/>
      <c r="Y559" s="95"/>
      <c r="Z559" s="95"/>
      <c r="AA559" s="94"/>
      <c r="AB559" s="94"/>
      <c r="AC559" s="94"/>
      <c r="AD559" s="94"/>
      <c r="AE559" s="94"/>
      <c r="AF559" s="94"/>
      <c r="AS559" s="94"/>
      <c r="AT559" s="94"/>
      <c r="AU559" s="94"/>
      <c r="AV559" s="94"/>
      <c r="BB559" s="108">
        <f>Schäden_Einband!X559+Schäden_Buchblock!AC559</f>
        <v>0</v>
      </c>
      <c r="BC559" s="95"/>
    </row>
    <row r="560" spans="1:55" x14ac:dyDescent="0.25">
      <c r="A560" s="82">
        <v>536</v>
      </c>
      <c r="B560" s="64" t="s">
        <v>1219</v>
      </c>
      <c r="C560" s="64">
        <v>1066969507</v>
      </c>
      <c r="D560" s="84" t="str">
        <f t="shared" si="9"/>
        <v>https://portal.dnb.de/opac.htm?method=simpleSearch&amp;cqlMode=true&amp;query=idn%3D1066969507</v>
      </c>
      <c r="E560" s="64" t="s">
        <v>1220</v>
      </c>
      <c r="F560" s="82"/>
      <c r="G560" s="85"/>
      <c r="H560" s="82"/>
      <c r="I560" s="85"/>
      <c r="J560" s="85"/>
      <c r="K560" s="82"/>
      <c r="L560" s="82"/>
      <c r="M560" s="82"/>
      <c r="N560" s="82"/>
      <c r="O560" s="82"/>
      <c r="P560" s="82"/>
      <c r="Q560" s="82"/>
      <c r="R560" s="82"/>
      <c r="S560" s="97"/>
      <c r="T560" s="97"/>
      <c r="X560" s="94"/>
      <c r="Y560" s="95"/>
      <c r="Z560" s="95"/>
      <c r="AA560" s="94"/>
      <c r="AB560" s="94"/>
      <c r="AC560" s="94"/>
      <c r="AD560" s="94"/>
      <c r="AE560" s="94"/>
      <c r="AF560" s="94"/>
      <c r="AS560" s="94"/>
      <c r="AT560" s="94"/>
      <c r="AU560" s="94"/>
      <c r="AV560" s="94"/>
      <c r="BB560" s="108">
        <f>Schäden_Einband!X560+Schäden_Buchblock!AC560</f>
        <v>0</v>
      </c>
      <c r="BC560" s="95"/>
    </row>
    <row r="561" spans="1:63" x14ac:dyDescent="0.25">
      <c r="A561" s="82">
        <v>537</v>
      </c>
      <c r="B561" s="64" t="s">
        <v>1221</v>
      </c>
      <c r="C561" s="64">
        <v>1066972982</v>
      </c>
      <c r="D561" s="84" t="str">
        <f t="shared" si="9"/>
        <v>https://portal.dnb.de/opac.htm?method=simpleSearch&amp;cqlMode=true&amp;query=idn%3D1066972982</v>
      </c>
      <c r="E561" s="64" t="s">
        <v>1222</v>
      </c>
      <c r="F561" s="82"/>
      <c r="G561" s="85"/>
      <c r="H561" s="82"/>
      <c r="I561" s="85"/>
      <c r="J561" s="85"/>
      <c r="K561" s="82"/>
      <c r="L561" s="82"/>
      <c r="M561" s="82"/>
      <c r="N561" s="82"/>
      <c r="O561" s="82"/>
      <c r="P561" s="82"/>
      <c r="Q561" s="82"/>
      <c r="R561" s="82"/>
      <c r="S561" s="97"/>
      <c r="T561" s="97"/>
      <c r="X561" s="94"/>
      <c r="Y561" s="95"/>
      <c r="Z561" s="95"/>
      <c r="AA561" s="94"/>
      <c r="AB561" s="94"/>
      <c r="AC561" s="94"/>
      <c r="AD561" s="94"/>
      <c r="AE561" s="94"/>
      <c r="AF561" s="94"/>
      <c r="AS561" s="94"/>
      <c r="AT561" s="94"/>
      <c r="AU561" s="94"/>
      <c r="AV561" s="94"/>
      <c r="BB561" s="108">
        <f>Schäden_Einband!X561+Schäden_Buchblock!AC561</f>
        <v>0</v>
      </c>
      <c r="BC561" s="95"/>
    </row>
    <row r="562" spans="1:63" x14ac:dyDescent="0.25">
      <c r="A562" s="82">
        <v>538</v>
      </c>
      <c r="B562" s="64" t="s">
        <v>1223</v>
      </c>
      <c r="C562" s="64">
        <v>1072100134</v>
      </c>
      <c r="D562" s="84" t="str">
        <f t="shared" si="9"/>
        <v>https://portal.dnb.de/opac.htm?method=simpleSearch&amp;cqlMode=true&amp;query=idn%3D1072100134</v>
      </c>
      <c r="E562" s="64" t="s">
        <v>1224</v>
      </c>
      <c r="F562" s="82"/>
      <c r="G562" s="85"/>
      <c r="H562" s="82"/>
      <c r="I562" s="85"/>
      <c r="J562" s="85"/>
      <c r="K562" s="82"/>
      <c r="L562" s="82"/>
      <c r="M562" s="82"/>
      <c r="N562" s="82"/>
      <c r="O562" s="82"/>
      <c r="P562" s="82"/>
      <c r="Q562" s="82"/>
      <c r="R562" s="82"/>
      <c r="S562" s="97"/>
      <c r="T562" s="97"/>
      <c r="X562" s="94"/>
      <c r="Y562" s="95"/>
      <c r="Z562" s="95"/>
      <c r="AA562" s="94"/>
      <c r="AB562" s="94"/>
      <c r="AC562" s="94"/>
      <c r="AD562" s="94"/>
      <c r="AE562" s="94"/>
      <c r="AF562" s="94"/>
      <c r="AS562" s="94"/>
      <c r="AT562" s="94"/>
      <c r="AU562" s="94"/>
      <c r="AV562" s="94"/>
      <c r="BB562" s="108">
        <f>Schäden_Einband!X562+Schäden_Buchblock!AC562</f>
        <v>0</v>
      </c>
      <c r="BC562" s="95"/>
    </row>
    <row r="563" spans="1:63" x14ac:dyDescent="0.25">
      <c r="A563" s="82">
        <v>539</v>
      </c>
      <c r="B563" s="64" t="s">
        <v>1225</v>
      </c>
      <c r="C563" s="64">
        <v>1066965854</v>
      </c>
      <c r="D563" s="84" t="str">
        <f t="shared" si="9"/>
        <v>https://portal.dnb.de/opac.htm?method=simpleSearch&amp;cqlMode=true&amp;query=idn%3D1066965854</v>
      </c>
      <c r="E563" s="64" t="s">
        <v>1226</v>
      </c>
      <c r="F563" s="82"/>
      <c r="G563" s="85"/>
      <c r="H563" s="82"/>
      <c r="I563" s="85"/>
      <c r="J563" s="85"/>
      <c r="K563" s="82"/>
      <c r="L563" s="82"/>
      <c r="M563" s="82"/>
      <c r="N563" s="82"/>
      <c r="O563" s="82"/>
      <c r="P563" s="82"/>
      <c r="Q563" s="82"/>
      <c r="R563" s="82"/>
      <c r="S563" s="97"/>
      <c r="T563" s="97"/>
      <c r="X563" s="94"/>
      <c r="Y563" s="95"/>
      <c r="Z563" s="95"/>
      <c r="AA563" s="94"/>
      <c r="AB563" s="94"/>
      <c r="AC563" s="94"/>
      <c r="AD563" s="94"/>
      <c r="AE563" s="94"/>
      <c r="AF563" s="94"/>
      <c r="AS563" s="94"/>
      <c r="AT563" s="94"/>
      <c r="AU563" s="94"/>
      <c r="AV563" s="94"/>
      <c r="BB563" s="108">
        <f>Schäden_Einband!X563+Schäden_Buchblock!AC563</f>
        <v>0</v>
      </c>
      <c r="BC563" s="95"/>
    </row>
    <row r="564" spans="1:63" x14ac:dyDescent="0.25">
      <c r="A564" s="82">
        <v>540</v>
      </c>
      <c r="B564" s="64" t="s">
        <v>1227</v>
      </c>
      <c r="C564" s="64">
        <v>1072323095</v>
      </c>
      <c r="D564" s="84" t="str">
        <f t="shared" si="9"/>
        <v>https://portal.dnb.de/opac.htm?method=simpleSearch&amp;cqlMode=true&amp;query=idn%3D1072323095</v>
      </c>
      <c r="E564" s="64" t="s">
        <v>1228</v>
      </c>
      <c r="F564" s="82"/>
      <c r="G564" s="85"/>
      <c r="H564" s="82"/>
      <c r="I564" s="85"/>
      <c r="J564" s="85"/>
      <c r="K564" s="82"/>
      <c r="L564" s="82"/>
      <c r="M564" s="82"/>
      <c r="N564" s="82"/>
      <c r="O564" s="82"/>
      <c r="P564" s="82"/>
      <c r="Q564" s="82"/>
      <c r="R564" s="82"/>
      <c r="S564" s="97"/>
      <c r="T564" s="97"/>
      <c r="X564" s="94"/>
      <c r="Y564" s="95"/>
      <c r="Z564" s="95"/>
      <c r="AA564" s="94"/>
      <c r="AB564" s="94"/>
      <c r="AC564" s="94"/>
      <c r="AD564" s="94"/>
      <c r="AE564" s="94"/>
      <c r="AF564" s="94"/>
      <c r="AS564" s="94"/>
      <c r="AT564" s="94"/>
      <c r="AU564" s="94"/>
      <c r="AV564" s="94"/>
      <c r="BB564" s="108">
        <f>Schäden_Einband!X564+Schäden_Buchblock!AC564</f>
        <v>0</v>
      </c>
      <c r="BC564" s="95"/>
    </row>
    <row r="565" spans="1:63" ht="34.5" x14ac:dyDescent="0.25">
      <c r="A565" s="82">
        <v>541</v>
      </c>
      <c r="B565" s="64" t="s">
        <v>1229</v>
      </c>
      <c r="C565" s="64" t="s">
        <v>1230</v>
      </c>
      <c r="D565" s="84" t="str">
        <f t="shared" si="9"/>
        <v>https://portal.dnb.de/opac.htm?method=simpleSearch&amp;cqlMode=true&amp;query=idn%3D107237806X</v>
      </c>
      <c r="E565" s="140" t="s">
        <v>1964</v>
      </c>
      <c r="F565" s="82"/>
      <c r="G565" s="85"/>
      <c r="H565" s="82" t="s">
        <v>51</v>
      </c>
      <c r="I565" s="85"/>
      <c r="J565" s="85"/>
      <c r="K565" s="82"/>
      <c r="L565" s="82"/>
      <c r="M565" s="82"/>
      <c r="N565" s="82"/>
      <c r="O565" s="82"/>
      <c r="P565" s="82"/>
      <c r="Q565" s="82"/>
      <c r="R565" s="82"/>
      <c r="S565" s="97"/>
      <c r="T565" s="97"/>
      <c r="X565" s="94" t="s">
        <v>1728</v>
      </c>
      <c r="Y565" s="95" t="s">
        <v>1633</v>
      </c>
      <c r="Z565" s="95"/>
      <c r="AA565" s="94" t="s">
        <v>1723</v>
      </c>
      <c r="AB565" s="94"/>
      <c r="AC565" s="94"/>
      <c r="AD565" s="94"/>
      <c r="AE565" s="94"/>
      <c r="AF565" s="94"/>
      <c r="AG565" s="93" t="s">
        <v>1724</v>
      </c>
      <c r="AS565" s="94"/>
      <c r="AT565" s="94"/>
      <c r="AU565" s="94">
        <v>60</v>
      </c>
      <c r="AV565" s="94"/>
      <c r="BA565" s="94" t="s">
        <v>1727</v>
      </c>
      <c r="BB565" s="108">
        <f>Schäden_Einband!X565+Schäden_Buchblock!AC565</f>
        <v>0</v>
      </c>
      <c r="BC565" s="95"/>
      <c r="BD565" s="93" t="s">
        <v>1951</v>
      </c>
      <c r="BJ565" s="81" t="s">
        <v>1965</v>
      </c>
      <c r="BK565" s="63" t="s">
        <v>1966</v>
      </c>
    </row>
    <row r="566" spans="1:63" x14ac:dyDescent="0.25">
      <c r="A566" s="82">
        <v>542</v>
      </c>
      <c r="B566" s="64" t="s">
        <v>1231</v>
      </c>
      <c r="C566" s="64">
        <v>1066967474</v>
      </c>
      <c r="D566" s="84" t="str">
        <f t="shared" si="9"/>
        <v>https://portal.dnb.de/opac.htm?method=simpleSearch&amp;cqlMode=true&amp;query=idn%3D1066967474</v>
      </c>
      <c r="E566" s="64" t="s">
        <v>1232</v>
      </c>
      <c r="F566" s="82"/>
      <c r="G566" s="85"/>
      <c r="H566" s="82"/>
      <c r="I566" s="85"/>
      <c r="J566" s="85"/>
      <c r="K566" s="82"/>
      <c r="L566" s="82"/>
      <c r="M566" s="82"/>
      <c r="N566" s="82"/>
      <c r="O566" s="82"/>
      <c r="P566" s="82"/>
      <c r="Q566" s="82"/>
      <c r="R566" s="82"/>
      <c r="S566" s="97"/>
      <c r="T566" s="97"/>
      <c r="X566" s="94"/>
      <c r="Y566" s="95"/>
      <c r="Z566" s="95"/>
      <c r="AA566" s="94"/>
      <c r="AB566" s="94"/>
      <c r="AC566" s="94"/>
      <c r="AD566" s="94"/>
      <c r="AE566" s="94"/>
      <c r="AF566" s="94"/>
      <c r="AS566" s="94"/>
      <c r="AT566" s="94"/>
      <c r="AU566" s="94"/>
      <c r="AV566" s="94"/>
      <c r="BB566" s="108">
        <f>Schäden_Einband!X566+Schäden_Buchblock!AC566</f>
        <v>0</v>
      </c>
      <c r="BC566" s="95"/>
    </row>
    <row r="567" spans="1:63" x14ac:dyDescent="0.25">
      <c r="A567" s="82">
        <v>543</v>
      </c>
      <c r="B567" s="64" t="s">
        <v>1233</v>
      </c>
      <c r="C567" s="64">
        <v>1066970696</v>
      </c>
      <c r="D567" s="84" t="str">
        <f t="shared" si="9"/>
        <v>https://portal.dnb.de/opac.htm?method=simpleSearch&amp;cqlMode=true&amp;query=idn%3D1066970696</v>
      </c>
      <c r="E567" s="64" t="s">
        <v>1234</v>
      </c>
      <c r="F567" s="82"/>
      <c r="G567" s="85"/>
      <c r="H567" s="82"/>
      <c r="I567" s="85"/>
      <c r="J567" s="85"/>
      <c r="K567" s="82"/>
      <c r="L567" s="82"/>
      <c r="M567" s="82"/>
      <c r="N567" s="82"/>
      <c r="O567" s="82"/>
      <c r="P567" s="82"/>
      <c r="Q567" s="82"/>
      <c r="R567" s="82"/>
      <c r="S567" s="97"/>
      <c r="T567" s="97"/>
      <c r="X567" s="94"/>
      <c r="Y567" s="95"/>
      <c r="Z567" s="95"/>
      <c r="AA567" s="94"/>
      <c r="AB567" s="94"/>
      <c r="AC567" s="94"/>
      <c r="AD567" s="94"/>
      <c r="AE567" s="94"/>
      <c r="AF567" s="94"/>
      <c r="AS567" s="94"/>
      <c r="AT567" s="94"/>
      <c r="AU567" s="94"/>
      <c r="AV567" s="94"/>
      <c r="BB567" s="108">
        <f>Schäden_Einband!X567+Schäden_Buchblock!AC567</f>
        <v>0</v>
      </c>
      <c r="BC567" s="95"/>
    </row>
    <row r="568" spans="1:63" x14ac:dyDescent="0.25">
      <c r="A568" s="82">
        <v>544</v>
      </c>
      <c r="B568" s="64" t="s">
        <v>1235</v>
      </c>
      <c r="C568" s="64">
        <v>1072100355</v>
      </c>
      <c r="D568" s="84" t="str">
        <f t="shared" si="9"/>
        <v>https://portal.dnb.de/opac.htm?method=simpleSearch&amp;cqlMode=true&amp;query=idn%3D1072100355</v>
      </c>
      <c r="E568" s="64" t="s">
        <v>1236</v>
      </c>
      <c r="F568" s="82"/>
      <c r="G568" s="85"/>
      <c r="H568" s="82"/>
      <c r="I568" s="85"/>
      <c r="J568" s="85"/>
      <c r="K568" s="82"/>
      <c r="L568" s="82"/>
      <c r="M568" s="82"/>
      <c r="N568" s="82"/>
      <c r="O568" s="82"/>
      <c r="P568" s="82"/>
      <c r="Q568" s="82"/>
      <c r="R568" s="82"/>
      <c r="S568" s="97"/>
      <c r="T568" s="97"/>
      <c r="X568" s="94"/>
      <c r="Y568" s="95"/>
      <c r="Z568" s="95"/>
      <c r="AA568" s="94"/>
      <c r="AB568" s="94"/>
      <c r="AC568" s="94"/>
      <c r="AD568" s="94"/>
      <c r="AE568" s="94"/>
      <c r="AF568" s="94"/>
      <c r="AS568" s="94"/>
      <c r="AT568" s="94"/>
      <c r="AU568" s="94"/>
      <c r="AV568" s="94"/>
      <c r="BB568" s="108">
        <f>Schäden_Einband!X568+Schäden_Buchblock!AC568</f>
        <v>0</v>
      </c>
      <c r="BC568" s="95"/>
    </row>
    <row r="569" spans="1:63" x14ac:dyDescent="0.25">
      <c r="A569" s="82">
        <v>545</v>
      </c>
      <c r="B569" s="64" t="s">
        <v>1237</v>
      </c>
      <c r="C569" s="64">
        <v>1072101181</v>
      </c>
      <c r="D569" s="84" t="str">
        <f t="shared" si="9"/>
        <v>https://portal.dnb.de/opac.htm?method=simpleSearch&amp;cqlMode=true&amp;query=idn%3D1072101181</v>
      </c>
      <c r="E569" s="64" t="s">
        <v>1238</v>
      </c>
      <c r="F569" s="82"/>
      <c r="G569" s="85"/>
      <c r="H569" s="82"/>
      <c r="I569" s="85"/>
      <c r="J569" s="85"/>
      <c r="K569" s="82"/>
      <c r="L569" s="82"/>
      <c r="M569" s="82"/>
      <c r="N569" s="82"/>
      <c r="O569" s="82"/>
      <c r="P569" s="82"/>
      <c r="Q569" s="82"/>
      <c r="R569" s="82"/>
      <c r="S569" s="97"/>
      <c r="T569" s="97"/>
      <c r="X569" s="94"/>
      <c r="Y569" s="95"/>
      <c r="Z569" s="95"/>
      <c r="AA569" s="94"/>
      <c r="AB569" s="94"/>
      <c r="AC569" s="94"/>
      <c r="AD569" s="94"/>
      <c r="AE569" s="94"/>
      <c r="AF569" s="94"/>
      <c r="AS569" s="94"/>
      <c r="AT569" s="94"/>
      <c r="AU569" s="94"/>
      <c r="AV569" s="94"/>
      <c r="BB569" s="108">
        <f>Schäden_Einband!X569+Schäden_Buchblock!AC569</f>
        <v>0</v>
      </c>
      <c r="BC569" s="95"/>
    </row>
    <row r="570" spans="1:63" x14ac:dyDescent="0.25">
      <c r="A570" s="82">
        <v>546</v>
      </c>
      <c r="B570" s="64" t="s">
        <v>1239</v>
      </c>
      <c r="C570" s="64">
        <v>1066971374</v>
      </c>
      <c r="D570" s="84" t="str">
        <f t="shared" si="9"/>
        <v>https://portal.dnb.de/opac.htm?method=simpleSearch&amp;cqlMode=true&amp;query=idn%3D1066971374</v>
      </c>
      <c r="E570" s="64" t="s">
        <v>1240</v>
      </c>
      <c r="F570" s="82"/>
      <c r="G570" s="85"/>
      <c r="H570" s="82"/>
      <c r="I570" s="85"/>
      <c r="J570" s="85"/>
      <c r="K570" s="82"/>
      <c r="L570" s="82"/>
      <c r="M570" s="82"/>
      <c r="N570" s="82"/>
      <c r="O570" s="82"/>
      <c r="P570" s="82"/>
      <c r="Q570" s="82"/>
      <c r="R570" s="82"/>
      <c r="S570" s="97"/>
      <c r="T570" s="97"/>
      <c r="X570" s="94"/>
      <c r="Y570" s="95"/>
      <c r="Z570" s="95"/>
      <c r="AA570" s="94"/>
      <c r="AB570" s="94"/>
      <c r="AC570" s="94"/>
      <c r="AD570" s="94"/>
      <c r="AE570" s="94"/>
      <c r="AF570" s="94"/>
      <c r="AS570" s="94"/>
      <c r="AT570" s="94"/>
      <c r="AU570" s="94"/>
      <c r="AV570" s="94"/>
      <c r="BB570" s="108">
        <f>Schäden_Einband!X570+Schäden_Buchblock!AC570</f>
        <v>0</v>
      </c>
      <c r="BC570" s="95"/>
    </row>
    <row r="571" spans="1:63" x14ac:dyDescent="0.25">
      <c r="A571" s="82">
        <v>547</v>
      </c>
      <c r="B571" s="64" t="s">
        <v>1241</v>
      </c>
      <c r="C571" s="64">
        <v>1066965943</v>
      </c>
      <c r="D571" s="84" t="str">
        <f t="shared" si="9"/>
        <v>https://portal.dnb.de/opac.htm?method=simpleSearch&amp;cqlMode=true&amp;query=idn%3D1066965943</v>
      </c>
      <c r="E571" s="64" t="s">
        <v>1242</v>
      </c>
      <c r="F571" s="82"/>
      <c r="G571" s="85"/>
      <c r="H571" s="82"/>
      <c r="I571" s="85"/>
      <c r="J571" s="85"/>
      <c r="K571" s="82"/>
      <c r="L571" s="82"/>
      <c r="M571" s="82"/>
      <c r="N571" s="82"/>
      <c r="O571" s="82"/>
      <c r="P571" s="82"/>
      <c r="Q571" s="82"/>
      <c r="R571" s="82"/>
      <c r="S571" s="97"/>
      <c r="T571" s="97"/>
      <c r="X571" s="94"/>
      <c r="Y571" s="95"/>
      <c r="Z571" s="95"/>
      <c r="AA571" s="94"/>
      <c r="AB571" s="94"/>
      <c r="AC571" s="94"/>
      <c r="AD571" s="94"/>
      <c r="AE571" s="94"/>
      <c r="AF571" s="94"/>
      <c r="AS571" s="94"/>
      <c r="AT571" s="94"/>
      <c r="AU571" s="94"/>
      <c r="AV571" s="94"/>
      <c r="BB571" s="108">
        <f>Schäden_Einband!X571+Schäden_Buchblock!AC571</f>
        <v>0</v>
      </c>
      <c r="BC571" s="95"/>
    </row>
    <row r="572" spans="1:63" x14ac:dyDescent="0.25">
      <c r="A572" s="82">
        <v>548</v>
      </c>
      <c r="B572" s="64" t="s">
        <v>1243</v>
      </c>
      <c r="C572" s="64">
        <v>1066965544</v>
      </c>
      <c r="D572" s="84" t="str">
        <f t="shared" si="9"/>
        <v>https://portal.dnb.de/opac.htm?method=simpleSearch&amp;cqlMode=true&amp;query=idn%3D1066965544</v>
      </c>
      <c r="E572" s="64" t="s">
        <v>1244</v>
      </c>
      <c r="F572" s="82"/>
      <c r="G572" s="85"/>
      <c r="H572" s="82"/>
      <c r="I572" s="85"/>
      <c r="J572" s="85"/>
      <c r="K572" s="82"/>
      <c r="L572" s="82"/>
      <c r="M572" s="82"/>
      <c r="N572" s="82"/>
      <c r="O572" s="82"/>
      <c r="P572" s="82"/>
      <c r="Q572" s="82"/>
      <c r="R572" s="82"/>
      <c r="S572" s="97"/>
      <c r="T572" s="97"/>
      <c r="X572" s="94"/>
      <c r="Y572" s="95"/>
      <c r="Z572" s="95"/>
      <c r="AA572" s="94"/>
      <c r="AB572" s="94"/>
      <c r="AC572" s="94"/>
      <c r="AD572" s="94"/>
      <c r="AE572" s="94"/>
      <c r="AF572" s="94"/>
      <c r="AS572" s="94"/>
      <c r="AT572" s="94"/>
      <c r="AU572" s="94"/>
      <c r="AV572" s="94"/>
      <c r="BB572" s="108">
        <f>Schäden_Einband!X572+Schäden_Buchblock!AC572</f>
        <v>0</v>
      </c>
      <c r="BC572" s="95"/>
    </row>
    <row r="573" spans="1:63" x14ac:dyDescent="0.25">
      <c r="A573" s="82">
        <v>549</v>
      </c>
      <c r="B573" s="64" t="s">
        <v>1245</v>
      </c>
      <c r="C573" s="64">
        <v>1066966087</v>
      </c>
      <c r="D573" s="84" t="str">
        <f t="shared" si="9"/>
        <v>https://portal.dnb.de/opac.htm?method=simpleSearch&amp;cqlMode=true&amp;query=idn%3D1066966087</v>
      </c>
      <c r="E573" s="64" t="s">
        <v>1246</v>
      </c>
      <c r="F573" s="82"/>
      <c r="G573" s="85"/>
      <c r="H573" s="82"/>
      <c r="I573" s="85"/>
      <c r="J573" s="85"/>
      <c r="K573" s="82"/>
      <c r="L573" s="82"/>
      <c r="M573" s="82"/>
      <c r="N573" s="82"/>
      <c r="O573" s="82"/>
      <c r="P573" s="82"/>
      <c r="Q573" s="82"/>
      <c r="R573" s="82"/>
      <c r="S573" s="97"/>
      <c r="T573" s="97"/>
      <c r="X573" s="94"/>
      <c r="Y573" s="95"/>
      <c r="Z573" s="95"/>
      <c r="AA573" s="94"/>
      <c r="AB573" s="94"/>
      <c r="AC573" s="94"/>
      <c r="AD573" s="94"/>
      <c r="AE573" s="94"/>
      <c r="AF573" s="94"/>
      <c r="AS573" s="94"/>
      <c r="AT573" s="94"/>
      <c r="AU573" s="94"/>
      <c r="AV573" s="94"/>
      <c r="BB573" s="108">
        <f>Schäden_Einband!X573+Schäden_Buchblock!AC573</f>
        <v>0</v>
      </c>
      <c r="BC573" s="95"/>
    </row>
    <row r="574" spans="1:63" x14ac:dyDescent="0.25">
      <c r="A574" s="82">
        <v>550</v>
      </c>
      <c r="B574" s="64" t="s">
        <v>1247</v>
      </c>
      <c r="C574" s="64">
        <v>1072101475</v>
      </c>
      <c r="D574" s="84" t="str">
        <f t="shared" si="9"/>
        <v>https://portal.dnb.de/opac.htm?method=simpleSearch&amp;cqlMode=true&amp;query=idn%3D1072101475</v>
      </c>
      <c r="E574" s="64" t="s">
        <v>1248</v>
      </c>
      <c r="F574" s="82"/>
      <c r="G574" s="85"/>
      <c r="H574" s="82"/>
      <c r="I574" s="85"/>
      <c r="J574" s="85"/>
      <c r="K574" s="82"/>
      <c r="L574" s="82"/>
      <c r="M574" s="82"/>
      <c r="N574" s="82"/>
      <c r="O574" s="82"/>
      <c r="P574" s="82"/>
      <c r="Q574" s="82"/>
      <c r="R574" s="82"/>
      <c r="S574" s="97"/>
      <c r="T574" s="97"/>
      <c r="X574" s="94"/>
      <c r="Y574" s="95"/>
      <c r="Z574" s="95"/>
      <c r="AA574" s="94"/>
      <c r="AB574" s="94"/>
      <c r="AC574" s="94"/>
      <c r="AD574" s="94"/>
      <c r="AE574" s="94"/>
      <c r="AF574" s="94"/>
      <c r="AS574" s="94"/>
      <c r="AT574" s="94"/>
      <c r="AU574" s="94"/>
      <c r="AV574" s="94"/>
      <c r="BB574" s="108">
        <f>Schäden_Einband!X574+Schäden_Buchblock!AC574</f>
        <v>0</v>
      </c>
      <c r="BC574" s="95"/>
    </row>
    <row r="575" spans="1:63" ht="23" x14ac:dyDescent="0.25">
      <c r="A575" s="82">
        <v>551</v>
      </c>
      <c r="B575" s="64" t="s">
        <v>1249</v>
      </c>
      <c r="C575" s="64">
        <v>1066971862</v>
      </c>
      <c r="D575" s="84" t="str">
        <f t="shared" si="9"/>
        <v>https://portal.dnb.de/opac.htm?method=simpleSearch&amp;cqlMode=true&amp;query=idn%3D1066971862</v>
      </c>
      <c r="E575" s="64" t="s">
        <v>1250</v>
      </c>
      <c r="F575" s="82" t="s">
        <v>89</v>
      </c>
      <c r="G575" s="85" t="s">
        <v>4</v>
      </c>
      <c r="H575" s="82" t="s">
        <v>50</v>
      </c>
      <c r="I575" s="85" t="s">
        <v>90</v>
      </c>
      <c r="J575" s="85" t="s">
        <v>81</v>
      </c>
      <c r="K575" s="82"/>
      <c r="L575" s="82" t="s">
        <v>35</v>
      </c>
      <c r="M575" s="82" t="s">
        <v>37</v>
      </c>
      <c r="N575" s="82">
        <v>1</v>
      </c>
      <c r="O575" s="82"/>
      <c r="P575" s="82"/>
      <c r="Q575" s="82"/>
      <c r="R575" s="82"/>
      <c r="S575" s="97"/>
      <c r="T575" s="97"/>
      <c r="X575" s="94"/>
      <c r="Y575" s="95"/>
      <c r="Z575" s="95"/>
      <c r="AA575" s="94"/>
      <c r="AB575" s="94"/>
      <c r="AC575" s="94"/>
      <c r="AD575" s="94"/>
      <c r="AE575" s="94"/>
      <c r="AF575" s="94"/>
      <c r="AS575" s="94"/>
      <c r="AT575" s="94"/>
      <c r="AU575" s="94"/>
      <c r="AV575" s="94"/>
      <c r="BB575" s="108">
        <f>Schäden_Einband!X575+Schäden_Buchblock!AC575</f>
        <v>0</v>
      </c>
      <c r="BC575" s="95"/>
    </row>
    <row r="576" spans="1:63" ht="46" x14ac:dyDescent="0.25">
      <c r="A576" s="82">
        <v>552</v>
      </c>
      <c r="B576" s="64" t="s">
        <v>1251</v>
      </c>
      <c r="C576" s="64">
        <v>1072105233</v>
      </c>
      <c r="D576" s="84" t="str">
        <f t="shared" si="9"/>
        <v>https://portal.dnb.de/opac.htm?method=simpleSearch&amp;cqlMode=true&amp;query=idn%3D1072105233</v>
      </c>
      <c r="E576" s="64" t="s">
        <v>1252</v>
      </c>
      <c r="F576" s="82" t="s">
        <v>89</v>
      </c>
      <c r="G576" s="85" t="s">
        <v>1584</v>
      </c>
      <c r="H576" s="82" t="s">
        <v>50</v>
      </c>
      <c r="I576" s="85" t="s">
        <v>90</v>
      </c>
      <c r="J576" s="85" t="s">
        <v>81</v>
      </c>
      <c r="K576" s="82"/>
      <c r="L576" s="82" t="s">
        <v>35</v>
      </c>
      <c r="M576" s="82" t="s">
        <v>37</v>
      </c>
      <c r="N576" s="82">
        <v>0</v>
      </c>
      <c r="O576" s="82"/>
      <c r="P576" s="82"/>
      <c r="Q576" s="82"/>
      <c r="R576" s="82"/>
      <c r="S576" s="97"/>
      <c r="T576" s="97"/>
      <c r="X576" s="94"/>
      <c r="Y576" s="95"/>
      <c r="Z576" s="95"/>
      <c r="AA576" s="94"/>
      <c r="AB576" s="94"/>
      <c r="AC576" s="94"/>
      <c r="AD576" s="94"/>
      <c r="AE576" s="94"/>
      <c r="AF576" s="94"/>
      <c r="AS576" s="94"/>
      <c r="AT576" s="94"/>
      <c r="AU576" s="94"/>
      <c r="AV576" s="94"/>
      <c r="BB576" s="108">
        <f>Schäden_Einband!X576+Schäden_Buchblock!AC576</f>
        <v>0</v>
      </c>
      <c r="BC576" s="95"/>
    </row>
    <row r="577" spans="1:55" ht="46" x14ac:dyDescent="0.25">
      <c r="A577" s="82">
        <v>553</v>
      </c>
      <c r="B577" s="64" t="s">
        <v>1253</v>
      </c>
      <c r="C577" s="64">
        <v>1066970939</v>
      </c>
      <c r="D577" s="84" t="str">
        <f t="shared" si="9"/>
        <v>https://portal.dnb.de/opac.htm?method=simpleSearch&amp;cqlMode=true&amp;query=idn%3D1066970939</v>
      </c>
      <c r="E577" s="64" t="s">
        <v>1254</v>
      </c>
      <c r="F577" s="82" t="s">
        <v>89</v>
      </c>
      <c r="G577" s="85" t="s">
        <v>1585</v>
      </c>
      <c r="H577" s="82" t="s">
        <v>50</v>
      </c>
      <c r="I577" s="85" t="s">
        <v>86</v>
      </c>
      <c r="J577" s="85" t="s">
        <v>1691</v>
      </c>
      <c r="K577" s="82"/>
      <c r="L577" s="82" t="s">
        <v>35</v>
      </c>
      <c r="M577" s="82" t="s">
        <v>37</v>
      </c>
      <c r="N577" s="82">
        <v>2</v>
      </c>
      <c r="O577" s="82"/>
      <c r="P577" s="82"/>
      <c r="Q577" s="82"/>
      <c r="R577" s="82"/>
      <c r="S577" s="97"/>
      <c r="T577" s="97"/>
      <c r="X577" s="94"/>
      <c r="Y577" s="95"/>
      <c r="Z577" s="95"/>
      <c r="AA577" s="94"/>
      <c r="AB577" s="94"/>
      <c r="AC577" s="94"/>
      <c r="AD577" s="94"/>
      <c r="AE577" s="94"/>
      <c r="AF577" s="94"/>
      <c r="AS577" s="94"/>
      <c r="AT577" s="94"/>
      <c r="AU577" s="94"/>
      <c r="AV577" s="94"/>
      <c r="BB577" s="108">
        <f>Schäden_Einband!X577+Schäden_Buchblock!AC577</f>
        <v>0</v>
      </c>
      <c r="BC577" s="95"/>
    </row>
    <row r="578" spans="1:55" ht="46" x14ac:dyDescent="0.25">
      <c r="A578" s="82">
        <v>554</v>
      </c>
      <c r="B578" s="64" t="s">
        <v>1255</v>
      </c>
      <c r="C578" s="64" t="s">
        <v>1256</v>
      </c>
      <c r="D578" s="84" t="str">
        <f t="shared" si="9"/>
        <v>https://portal.dnb.de/opac.htm?method=simpleSearch&amp;cqlMode=true&amp;query=idn%3D106696811X</v>
      </c>
      <c r="E578" s="64" t="s">
        <v>1257</v>
      </c>
      <c r="F578" s="82" t="s">
        <v>89</v>
      </c>
      <c r="G578" s="85" t="s">
        <v>1607</v>
      </c>
      <c r="H578" s="82" t="s">
        <v>51</v>
      </c>
      <c r="I578" s="85" t="s">
        <v>90</v>
      </c>
      <c r="J578" s="85" t="s">
        <v>81</v>
      </c>
      <c r="K578" s="82"/>
      <c r="L578" s="82" t="s">
        <v>35</v>
      </c>
      <c r="M578" s="82" t="s">
        <v>37</v>
      </c>
      <c r="N578" s="82">
        <v>0</v>
      </c>
      <c r="O578" s="82"/>
      <c r="P578" s="82"/>
      <c r="Q578" s="82"/>
      <c r="R578" s="82"/>
      <c r="S578" s="97"/>
      <c r="T578" s="97"/>
      <c r="X578" s="94"/>
      <c r="Y578" s="95"/>
      <c r="Z578" s="95"/>
      <c r="AA578" s="94"/>
      <c r="AB578" s="94"/>
      <c r="AC578" s="94"/>
      <c r="AD578" s="94"/>
      <c r="AE578" s="94"/>
      <c r="AF578" s="94"/>
      <c r="AS578" s="94"/>
      <c r="AT578" s="94"/>
      <c r="AU578" s="94"/>
      <c r="AV578" s="94"/>
      <c r="BB578" s="108">
        <f>Schäden_Einband!X578+Schäden_Buchblock!AC578</f>
        <v>0</v>
      </c>
      <c r="BC578" s="95"/>
    </row>
    <row r="579" spans="1:55" ht="46" x14ac:dyDescent="0.25">
      <c r="A579" s="82">
        <v>555</v>
      </c>
      <c r="B579" s="64" t="s">
        <v>1258</v>
      </c>
      <c r="C579" s="64">
        <v>1072105721</v>
      </c>
      <c r="D579" s="84" t="str">
        <f t="shared" si="9"/>
        <v>https://portal.dnb.de/opac.htm?method=simpleSearch&amp;cqlMode=true&amp;query=idn%3D1072105721</v>
      </c>
      <c r="E579" s="64" t="s">
        <v>1259</v>
      </c>
      <c r="F579" s="82" t="s">
        <v>89</v>
      </c>
      <c r="G579" s="85" t="s">
        <v>1584</v>
      </c>
      <c r="H579" s="82" t="s">
        <v>51</v>
      </c>
      <c r="I579" s="85" t="s">
        <v>55</v>
      </c>
      <c r="J579" s="85" t="s">
        <v>81</v>
      </c>
      <c r="K579" s="82"/>
      <c r="L579" s="82" t="s">
        <v>35</v>
      </c>
      <c r="M579" s="82" t="s">
        <v>37</v>
      </c>
      <c r="N579" s="82">
        <v>1</v>
      </c>
      <c r="O579" s="82"/>
      <c r="P579" s="82"/>
      <c r="Q579" s="82"/>
      <c r="R579" s="82"/>
      <c r="S579" s="97"/>
      <c r="T579" s="97"/>
      <c r="X579" s="94"/>
      <c r="Y579" s="95"/>
      <c r="Z579" s="95"/>
      <c r="AA579" s="94"/>
      <c r="AB579" s="94"/>
      <c r="AC579" s="94"/>
      <c r="AD579" s="94"/>
      <c r="AE579" s="94"/>
      <c r="AF579" s="94"/>
      <c r="AS579" s="94"/>
      <c r="AT579" s="94"/>
      <c r="AU579" s="94"/>
      <c r="AV579" s="94"/>
      <c r="BB579" s="108">
        <f>Schäden_Einband!X579+Schäden_Buchblock!AC579</f>
        <v>0</v>
      </c>
      <c r="BC579" s="95"/>
    </row>
    <row r="580" spans="1:55" ht="46" x14ac:dyDescent="0.25">
      <c r="A580" s="82">
        <v>556</v>
      </c>
      <c r="B580" s="64" t="s">
        <v>1260</v>
      </c>
      <c r="C580" s="64">
        <v>1072172607</v>
      </c>
      <c r="D580" s="84" t="str">
        <f t="shared" si="9"/>
        <v>https://portal.dnb.de/opac.htm?method=simpleSearch&amp;cqlMode=true&amp;query=idn%3D1072172607</v>
      </c>
      <c r="E580" s="64" t="s">
        <v>1261</v>
      </c>
      <c r="F580" s="82" t="s">
        <v>89</v>
      </c>
      <c r="G580" s="85" t="s">
        <v>1607</v>
      </c>
      <c r="H580" s="82" t="s">
        <v>50</v>
      </c>
      <c r="I580" s="85" t="s">
        <v>55</v>
      </c>
      <c r="J580" s="85" t="s">
        <v>1586</v>
      </c>
      <c r="K580" s="82" t="s">
        <v>67</v>
      </c>
      <c r="L580" s="82" t="s">
        <v>35</v>
      </c>
      <c r="M580" s="82" t="s">
        <v>37</v>
      </c>
      <c r="N580" s="82">
        <v>2</v>
      </c>
      <c r="O580" s="82"/>
      <c r="P580" s="82"/>
      <c r="Q580" s="82"/>
      <c r="R580" s="82"/>
      <c r="S580" s="97"/>
      <c r="T580" s="97"/>
      <c r="X580" s="94"/>
      <c r="Y580" s="95"/>
      <c r="Z580" s="95"/>
      <c r="AA580" s="94"/>
      <c r="AB580" s="94"/>
      <c r="AC580" s="94"/>
      <c r="AD580" s="94"/>
      <c r="AE580" s="94"/>
      <c r="AF580" s="94"/>
      <c r="AS580" s="94"/>
      <c r="AT580" s="94"/>
      <c r="AU580" s="94"/>
      <c r="AV580" s="94"/>
      <c r="BB580" s="108">
        <f>Schäden_Einband!X580+Schäden_Buchblock!AC580</f>
        <v>0</v>
      </c>
      <c r="BC580" s="95"/>
    </row>
    <row r="581" spans="1:55" ht="46" x14ac:dyDescent="0.25">
      <c r="A581" s="82">
        <v>557</v>
      </c>
      <c r="B581" s="64" t="s">
        <v>1262</v>
      </c>
      <c r="C581" s="64">
        <v>1066968225</v>
      </c>
      <c r="D581" s="84" t="str">
        <f t="shared" si="9"/>
        <v>https://portal.dnb.de/opac.htm?method=simpleSearch&amp;cqlMode=true&amp;query=idn%3D1066968225</v>
      </c>
      <c r="E581" s="64" t="s">
        <v>1263</v>
      </c>
      <c r="F581" s="82" t="s">
        <v>89</v>
      </c>
      <c r="G581" s="85" t="s">
        <v>1584</v>
      </c>
      <c r="H581" s="82" t="s">
        <v>51</v>
      </c>
      <c r="I581" s="85" t="s">
        <v>90</v>
      </c>
      <c r="J581" s="85" t="s">
        <v>1625</v>
      </c>
      <c r="K581" s="82" t="s">
        <v>67</v>
      </c>
      <c r="L581" s="82" t="s">
        <v>35</v>
      </c>
      <c r="M581" s="82" t="s">
        <v>37</v>
      </c>
      <c r="N581" s="82">
        <v>3</v>
      </c>
      <c r="O581" s="82"/>
      <c r="P581" s="82" t="s">
        <v>1638</v>
      </c>
      <c r="Q581" s="82"/>
      <c r="R581" s="82"/>
      <c r="S581" s="97"/>
      <c r="T581" s="97"/>
      <c r="X581" s="94"/>
      <c r="Y581" s="95"/>
      <c r="Z581" s="95"/>
      <c r="AA581" s="94"/>
      <c r="AB581" s="94"/>
      <c r="AC581" s="94"/>
      <c r="AD581" s="94"/>
      <c r="AE581" s="94"/>
      <c r="AF581" s="94"/>
      <c r="AS581" s="94"/>
      <c r="AT581" s="94"/>
      <c r="AU581" s="94"/>
      <c r="AV581" s="94"/>
      <c r="BB581" s="108">
        <f>Schäden_Einband!X581+Schäden_Buchblock!AC581</f>
        <v>0</v>
      </c>
      <c r="BC581" s="95"/>
    </row>
    <row r="582" spans="1:55" x14ac:dyDescent="0.25">
      <c r="A582" s="82">
        <v>558</v>
      </c>
      <c r="B582" s="64" t="s">
        <v>1264</v>
      </c>
      <c r="C582" s="64">
        <v>1066967679</v>
      </c>
      <c r="D582" s="84" t="str">
        <f t="shared" si="9"/>
        <v>https://portal.dnb.de/opac.htm?method=simpleSearch&amp;cqlMode=true&amp;query=idn%3D1066967679</v>
      </c>
      <c r="E582" s="64" t="s">
        <v>1265</v>
      </c>
      <c r="F582" s="82"/>
      <c r="G582" s="85"/>
      <c r="H582" s="82"/>
      <c r="I582" s="85"/>
      <c r="J582" s="85"/>
      <c r="K582" s="82"/>
      <c r="L582" s="82"/>
      <c r="M582" s="82"/>
      <c r="N582" s="82"/>
      <c r="O582" s="82"/>
      <c r="P582" s="82"/>
      <c r="Q582" s="82"/>
      <c r="R582" s="82"/>
      <c r="S582" s="97"/>
      <c r="T582" s="97"/>
      <c r="X582" s="94"/>
      <c r="Y582" s="95"/>
      <c r="Z582" s="95"/>
      <c r="AA582" s="94"/>
      <c r="AB582" s="94"/>
      <c r="AC582" s="94"/>
      <c r="AD582" s="94"/>
      <c r="AE582" s="94"/>
      <c r="AF582" s="94"/>
      <c r="AS582" s="94"/>
      <c r="AT582" s="94"/>
      <c r="AU582" s="94"/>
      <c r="AV582" s="94"/>
      <c r="BB582" s="108">
        <f>Schäden_Einband!X582+Schäden_Buchblock!AC582</f>
        <v>0</v>
      </c>
      <c r="BC582" s="95"/>
    </row>
    <row r="583" spans="1:55" ht="46" x14ac:dyDescent="0.25">
      <c r="A583" s="82">
        <v>559</v>
      </c>
      <c r="B583" s="64" t="s">
        <v>1266</v>
      </c>
      <c r="C583" s="64" t="s">
        <v>1267</v>
      </c>
      <c r="D583" s="84" t="str">
        <f t="shared" si="9"/>
        <v>https://portal.dnb.de/opac.htm?method=simpleSearch&amp;cqlMode=true&amp;query=idn%3D107237840X</v>
      </c>
      <c r="E583" s="64" t="s">
        <v>1268</v>
      </c>
      <c r="F583" s="82" t="s">
        <v>89</v>
      </c>
      <c r="G583" s="85" t="s">
        <v>1607</v>
      </c>
      <c r="H583" s="82" t="s">
        <v>50</v>
      </c>
      <c r="I583" s="85" t="s">
        <v>90</v>
      </c>
      <c r="J583" s="85" t="s">
        <v>81</v>
      </c>
      <c r="K583" s="82"/>
      <c r="L583" s="82" t="s">
        <v>35</v>
      </c>
      <c r="M583" s="82" t="s">
        <v>37</v>
      </c>
      <c r="N583" s="82">
        <v>0</v>
      </c>
      <c r="O583" s="82"/>
      <c r="P583" s="82"/>
      <c r="Q583" s="82"/>
      <c r="R583" s="82"/>
      <c r="S583" s="97"/>
      <c r="T583" s="97"/>
      <c r="X583" s="94"/>
      <c r="Y583" s="95"/>
      <c r="Z583" s="95"/>
      <c r="AA583" s="94"/>
      <c r="AB583" s="94"/>
      <c r="AC583" s="94"/>
      <c r="AD583" s="94"/>
      <c r="AE583" s="94"/>
      <c r="AF583" s="94"/>
      <c r="AS583" s="94"/>
      <c r="AT583" s="94"/>
      <c r="AU583" s="94"/>
      <c r="AV583" s="94"/>
      <c r="BB583" s="108">
        <f>Schäden_Einband!X583+Schäden_Buchblock!AC583</f>
        <v>0</v>
      </c>
      <c r="BC583" s="95"/>
    </row>
    <row r="584" spans="1:55" ht="23" x14ac:dyDescent="0.25">
      <c r="A584" s="82">
        <v>560</v>
      </c>
      <c r="B584" s="64" t="s">
        <v>1269</v>
      </c>
      <c r="C584" s="64">
        <v>1072106345</v>
      </c>
      <c r="D584" s="84" t="str">
        <f t="shared" si="9"/>
        <v>https://portal.dnb.de/opac.htm?method=simpleSearch&amp;cqlMode=true&amp;query=idn%3D1072106345</v>
      </c>
      <c r="E584" s="64" t="s">
        <v>1270</v>
      </c>
      <c r="F584" s="82" t="s">
        <v>89</v>
      </c>
      <c r="G584" s="85" t="s">
        <v>4</v>
      </c>
      <c r="H584" s="82" t="s">
        <v>50</v>
      </c>
      <c r="I584" s="85" t="s">
        <v>55</v>
      </c>
      <c r="J584" s="85" t="s">
        <v>1583</v>
      </c>
      <c r="K584" s="82" t="s">
        <v>67</v>
      </c>
      <c r="L584" s="82" t="s">
        <v>35</v>
      </c>
      <c r="M584" s="82" t="s">
        <v>37</v>
      </c>
      <c r="N584" s="82">
        <v>1</v>
      </c>
      <c r="O584" s="82"/>
      <c r="P584" s="82"/>
      <c r="Q584" s="82"/>
      <c r="R584" s="82"/>
      <c r="S584" s="97"/>
      <c r="T584" s="97"/>
      <c r="X584" s="94"/>
      <c r="Y584" s="95"/>
      <c r="Z584" s="95"/>
      <c r="AA584" s="94"/>
      <c r="AB584" s="94"/>
      <c r="AC584" s="94"/>
      <c r="AD584" s="94"/>
      <c r="AE584" s="94"/>
      <c r="AF584" s="94"/>
      <c r="AS584" s="94"/>
      <c r="AT584" s="94"/>
      <c r="AU584" s="94"/>
      <c r="AV584" s="94"/>
      <c r="BB584" s="108">
        <f>Schäden_Einband!X584+Schäden_Buchblock!AC584</f>
        <v>0</v>
      </c>
      <c r="BC584" s="95"/>
    </row>
    <row r="585" spans="1:55" ht="46" x14ac:dyDescent="0.25">
      <c r="A585" s="82">
        <v>561</v>
      </c>
      <c r="B585" s="64" t="s">
        <v>1271</v>
      </c>
      <c r="C585" s="64">
        <v>1072106558</v>
      </c>
      <c r="D585" s="84" t="str">
        <f t="shared" si="9"/>
        <v>https://portal.dnb.de/opac.htm?method=simpleSearch&amp;cqlMode=true&amp;query=idn%3D1072106558</v>
      </c>
      <c r="E585" s="64" t="s">
        <v>1272</v>
      </c>
      <c r="F585" s="82" t="s">
        <v>89</v>
      </c>
      <c r="G585" s="85" t="s">
        <v>1584</v>
      </c>
      <c r="H585" s="82" t="s">
        <v>50</v>
      </c>
      <c r="I585" s="85" t="s">
        <v>90</v>
      </c>
      <c r="J585" s="85" t="s">
        <v>81</v>
      </c>
      <c r="K585" s="82"/>
      <c r="L585" s="82" t="s">
        <v>35</v>
      </c>
      <c r="M585" s="82" t="s">
        <v>37</v>
      </c>
      <c r="N585" s="82">
        <v>1</v>
      </c>
      <c r="O585" s="82"/>
      <c r="P585" s="82"/>
      <c r="Q585" s="82"/>
      <c r="R585" s="82"/>
      <c r="S585" s="97"/>
      <c r="T585" s="97"/>
      <c r="X585" s="94"/>
      <c r="Y585" s="95"/>
      <c r="Z585" s="95"/>
      <c r="AA585" s="94"/>
      <c r="AB585" s="94"/>
      <c r="AC585" s="94"/>
      <c r="AD585" s="94"/>
      <c r="AE585" s="94"/>
      <c r="AF585" s="94"/>
      <c r="AS585" s="94"/>
      <c r="AT585" s="94"/>
      <c r="AU585" s="94"/>
      <c r="AV585" s="94"/>
      <c r="BB585" s="108">
        <f>Schäden_Einband!X585+Schäden_Buchblock!AC585</f>
        <v>0</v>
      </c>
      <c r="BC585" s="95"/>
    </row>
    <row r="586" spans="1:55" ht="46" x14ac:dyDescent="0.25">
      <c r="A586" s="82">
        <v>562</v>
      </c>
      <c r="B586" s="64" t="s">
        <v>1273</v>
      </c>
      <c r="C586" s="64">
        <v>1066965803</v>
      </c>
      <c r="D586" s="84" t="str">
        <f t="shared" si="9"/>
        <v>https://portal.dnb.de/opac.htm?method=simpleSearch&amp;cqlMode=true&amp;query=idn%3D1066965803</v>
      </c>
      <c r="E586" s="64" t="s">
        <v>1274</v>
      </c>
      <c r="F586" s="82" t="s">
        <v>89</v>
      </c>
      <c r="G586" s="85" t="s">
        <v>1607</v>
      </c>
      <c r="H586" s="82" t="s">
        <v>50</v>
      </c>
      <c r="I586" s="85" t="s">
        <v>55</v>
      </c>
      <c r="J586" s="85" t="s">
        <v>81</v>
      </c>
      <c r="K586" s="82"/>
      <c r="L586" s="82" t="s">
        <v>35</v>
      </c>
      <c r="M586" s="82" t="s">
        <v>37</v>
      </c>
      <c r="N586" s="82">
        <v>0</v>
      </c>
      <c r="O586" s="82"/>
      <c r="P586" s="82"/>
      <c r="Q586" s="82"/>
      <c r="R586" s="82"/>
      <c r="S586" s="97"/>
      <c r="T586" s="97"/>
      <c r="X586" s="94"/>
      <c r="Y586" s="95"/>
      <c r="Z586" s="95"/>
      <c r="AA586" s="94"/>
      <c r="AB586" s="94"/>
      <c r="AC586" s="94"/>
      <c r="AD586" s="94"/>
      <c r="AE586" s="94"/>
      <c r="AF586" s="94"/>
      <c r="AS586" s="94"/>
      <c r="AT586" s="94"/>
      <c r="AU586" s="94"/>
      <c r="AV586" s="94"/>
      <c r="BB586" s="108">
        <f>Schäden_Einband!X586+Schäden_Buchblock!AC586</f>
        <v>0</v>
      </c>
      <c r="BC586" s="95"/>
    </row>
    <row r="587" spans="1:55" x14ac:dyDescent="0.25">
      <c r="A587" s="82">
        <v>563</v>
      </c>
      <c r="B587" s="64" t="s">
        <v>1275</v>
      </c>
      <c r="C587" s="64">
        <v>1072106795</v>
      </c>
      <c r="D587" s="84" t="str">
        <f t="shared" si="9"/>
        <v>https://portal.dnb.de/opac.htm?method=simpleSearch&amp;cqlMode=true&amp;query=idn%3D1072106795</v>
      </c>
      <c r="E587" s="64" t="s">
        <v>1276</v>
      </c>
      <c r="F587" s="82"/>
      <c r="G587" s="85"/>
      <c r="H587" s="82"/>
      <c r="I587" s="85"/>
      <c r="J587" s="85"/>
      <c r="K587" s="82"/>
      <c r="L587" s="82"/>
      <c r="M587" s="82"/>
      <c r="N587" s="82"/>
      <c r="O587" s="82"/>
      <c r="P587" s="82"/>
      <c r="Q587" s="82"/>
      <c r="R587" s="82"/>
      <c r="S587" s="97"/>
      <c r="T587" s="97"/>
      <c r="X587" s="94"/>
      <c r="Y587" s="95"/>
      <c r="Z587" s="95"/>
      <c r="AA587" s="94"/>
      <c r="AB587" s="94"/>
      <c r="AC587" s="94"/>
      <c r="AD587" s="94"/>
      <c r="AE587" s="94"/>
      <c r="AF587" s="94"/>
      <c r="AS587" s="94"/>
      <c r="AT587" s="94"/>
      <c r="AU587" s="94"/>
      <c r="AV587" s="94"/>
      <c r="BB587" s="108">
        <f>Schäden_Einband!X587+Schäden_Buchblock!AC587</f>
        <v>0</v>
      </c>
      <c r="BC587" s="95"/>
    </row>
    <row r="588" spans="1:55" x14ac:dyDescent="0.25">
      <c r="A588" s="82">
        <v>564</v>
      </c>
      <c r="B588" s="64" t="s">
        <v>1277</v>
      </c>
      <c r="C588" s="64">
        <v>1066965935</v>
      </c>
      <c r="D588" s="84" t="str">
        <f t="shared" si="9"/>
        <v>https://portal.dnb.de/opac.htm?method=simpleSearch&amp;cqlMode=true&amp;query=idn%3D1066965935</v>
      </c>
      <c r="E588" s="64" t="s">
        <v>1278</v>
      </c>
      <c r="F588" s="82"/>
      <c r="G588" s="85"/>
      <c r="H588" s="82"/>
      <c r="I588" s="85"/>
      <c r="J588" s="85"/>
      <c r="K588" s="82"/>
      <c r="L588" s="82"/>
      <c r="M588" s="82"/>
      <c r="N588" s="82"/>
      <c r="O588" s="82"/>
      <c r="P588" s="82"/>
      <c r="Q588" s="82"/>
      <c r="R588" s="82"/>
      <c r="S588" s="97"/>
      <c r="T588" s="97"/>
      <c r="X588" s="94"/>
      <c r="Y588" s="95"/>
      <c r="Z588" s="95"/>
      <c r="AA588" s="94"/>
      <c r="AB588" s="94"/>
      <c r="AC588" s="94"/>
      <c r="AD588" s="94"/>
      <c r="AE588" s="94"/>
      <c r="AF588" s="94"/>
      <c r="AS588" s="94"/>
      <c r="AT588" s="94"/>
      <c r="AU588" s="94"/>
      <c r="AV588" s="94"/>
      <c r="BB588" s="108">
        <f>Schäden_Einband!X588+Schäden_Buchblock!AC588</f>
        <v>0</v>
      </c>
      <c r="BC588" s="95"/>
    </row>
    <row r="589" spans="1:55" x14ac:dyDescent="0.25">
      <c r="A589" s="82">
        <v>565</v>
      </c>
      <c r="B589" s="64" t="s">
        <v>1279</v>
      </c>
      <c r="C589" s="64">
        <v>1066971080</v>
      </c>
      <c r="D589" s="84" t="str">
        <f t="shared" si="9"/>
        <v>https://portal.dnb.de/opac.htm?method=simpleSearch&amp;cqlMode=true&amp;query=idn%3D1066971080</v>
      </c>
      <c r="E589" s="64" t="s">
        <v>1280</v>
      </c>
      <c r="F589" s="82"/>
      <c r="G589" s="85"/>
      <c r="H589" s="82"/>
      <c r="I589" s="85"/>
      <c r="J589" s="85"/>
      <c r="K589" s="82"/>
      <c r="L589" s="82"/>
      <c r="M589" s="82"/>
      <c r="N589" s="82"/>
      <c r="O589" s="82"/>
      <c r="P589" s="82"/>
      <c r="Q589" s="82"/>
      <c r="R589" s="82"/>
      <c r="S589" s="97"/>
      <c r="T589" s="97"/>
      <c r="X589" s="94"/>
      <c r="Y589" s="95"/>
      <c r="Z589" s="95"/>
      <c r="AA589" s="94"/>
      <c r="AB589" s="94"/>
      <c r="AC589" s="94"/>
      <c r="AD589" s="94"/>
      <c r="AE589" s="94"/>
      <c r="AF589" s="94"/>
      <c r="AS589" s="94"/>
      <c r="AT589" s="94"/>
      <c r="AU589" s="94"/>
      <c r="AV589" s="94"/>
      <c r="BB589" s="108">
        <f>Schäden_Einband!X589+Schäden_Buchblock!AC589</f>
        <v>0</v>
      </c>
      <c r="BC589" s="95"/>
    </row>
    <row r="590" spans="1:55" ht="46" x14ac:dyDescent="0.25">
      <c r="A590" s="82">
        <v>566</v>
      </c>
      <c r="B590" s="64" t="s">
        <v>1281</v>
      </c>
      <c r="C590" s="64">
        <v>1066965218</v>
      </c>
      <c r="D590" s="84" t="str">
        <f t="shared" si="9"/>
        <v>https://portal.dnb.de/opac.htm?method=simpleSearch&amp;cqlMode=true&amp;query=idn%3D1066965218</v>
      </c>
      <c r="E590" s="64" t="s">
        <v>1282</v>
      </c>
      <c r="F590" s="82" t="s">
        <v>1633</v>
      </c>
      <c r="G590" s="85" t="s">
        <v>1585</v>
      </c>
      <c r="H590" s="82" t="s">
        <v>50</v>
      </c>
      <c r="I590" s="85" t="s">
        <v>90</v>
      </c>
      <c r="J590" s="85" t="s">
        <v>1604</v>
      </c>
      <c r="K590" s="82"/>
      <c r="L590" s="82" t="s">
        <v>35</v>
      </c>
      <c r="M590" s="82" t="s">
        <v>37</v>
      </c>
      <c r="N590" s="82">
        <v>3</v>
      </c>
      <c r="O590" s="82"/>
      <c r="P590" s="82"/>
      <c r="Q590" s="82"/>
      <c r="R590" s="82"/>
      <c r="S590" s="97"/>
      <c r="T590" s="97"/>
      <c r="X590" s="94"/>
      <c r="Y590" s="95"/>
      <c r="Z590" s="95"/>
      <c r="AA590" s="94"/>
      <c r="AB590" s="94"/>
      <c r="AC590" s="94"/>
      <c r="AD590" s="94"/>
      <c r="AE590" s="94"/>
      <c r="AF590" s="94"/>
      <c r="AS590" s="94"/>
      <c r="AT590" s="94"/>
      <c r="AU590" s="94"/>
      <c r="AV590" s="94"/>
      <c r="BB590" s="108">
        <f>Schäden_Einband!X590+Schäden_Buchblock!AC590</f>
        <v>0</v>
      </c>
      <c r="BC590" s="95"/>
    </row>
    <row r="591" spans="1:55" ht="46" x14ac:dyDescent="0.25">
      <c r="A591" s="82">
        <v>567</v>
      </c>
      <c r="B591" s="64" t="s">
        <v>1283</v>
      </c>
      <c r="C591" s="64">
        <v>1072378566</v>
      </c>
      <c r="D591" s="84" t="str">
        <f t="shared" si="9"/>
        <v>https://portal.dnb.de/opac.htm?method=simpleSearch&amp;cqlMode=true&amp;query=idn%3D1072378566</v>
      </c>
      <c r="E591" s="64" t="s">
        <v>1284</v>
      </c>
      <c r="F591" s="82" t="s">
        <v>1633</v>
      </c>
      <c r="G591" s="85" t="s">
        <v>1585</v>
      </c>
      <c r="H591" s="82" t="s">
        <v>50</v>
      </c>
      <c r="I591" s="85" t="s">
        <v>90</v>
      </c>
      <c r="J591" s="85" t="s">
        <v>1604</v>
      </c>
      <c r="K591" s="82"/>
      <c r="L591" s="82" t="s">
        <v>35</v>
      </c>
      <c r="M591" s="82" t="s">
        <v>37</v>
      </c>
      <c r="N591" s="82">
        <v>3</v>
      </c>
      <c r="O591" s="82"/>
      <c r="P591" s="82"/>
      <c r="Q591" s="82"/>
      <c r="R591" s="82"/>
      <c r="S591" s="97"/>
      <c r="T591" s="97"/>
      <c r="X591" s="94"/>
      <c r="Y591" s="95"/>
      <c r="Z591" s="95"/>
      <c r="AA591" s="94"/>
      <c r="AB591" s="94"/>
      <c r="AC591" s="94"/>
      <c r="AD591" s="94"/>
      <c r="AE591" s="94"/>
      <c r="AF591" s="94"/>
      <c r="AS591" s="94"/>
      <c r="AT591" s="94"/>
      <c r="AU591" s="94"/>
      <c r="AV591" s="94"/>
      <c r="BB591" s="108">
        <f>Schäden_Einband!X591+Schäden_Buchblock!AC591</f>
        <v>0</v>
      </c>
      <c r="BC591" s="95"/>
    </row>
    <row r="592" spans="1:55" ht="23" x14ac:dyDescent="0.25">
      <c r="A592" s="82">
        <v>568</v>
      </c>
      <c r="B592" s="64" t="s">
        <v>1285</v>
      </c>
      <c r="C592" s="64">
        <v>1072378760</v>
      </c>
      <c r="D592" s="84" t="str">
        <f t="shared" si="9"/>
        <v>https://portal.dnb.de/opac.htm?method=simpleSearch&amp;cqlMode=true&amp;query=idn%3D1072378760</v>
      </c>
      <c r="E592" s="64" t="s">
        <v>1286</v>
      </c>
      <c r="F592" s="82" t="s">
        <v>1633</v>
      </c>
      <c r="G592" s="85" t="s">
        <v>4</v>
      </c>
      <c r="H592" s="82" t="s">
        <v>50</v>
      </c>
      <c r="I592" s="85" t="s">
        <v>90</v>
      </c>
      <c r="J592" s="85" t="s">
        <v>1586</v>
      </c>
      <c r="K592" s="82" t="s">
        <v>67</v>
      </c>
      <c r="L592" s="82" t="s">
        <v>32</v>
      </c>
      <c r="M592" s="82" t="s">
        <v>37</v>
      </c>
      <c r="N592" s="82">
        <v>0</v>
      </c>
      <c r="O592" s="82"/>
      <c r="P592" s="82"/>
      <c r="Q592" s="82"/>
      <c r="R592" s="82"/>
      <c r="S592" s="97"/>
      <c r="T592" s="97"/>
      <c r="X592" s="94"/>
      <c r="Y592" s="95"/>
      <c r="Z592" s="95"/>
      <c r="AA592" s="94"/>
      <c r="AB592" s="94"/>
      <c r="AC592" s="94"/>
      <c r="AD592" s="94"/>
      <c r="AE592" s="94"/>
      <c r="AF592" s="94"/>
      <c r="AS592" s="94"/>
      <c r="AT592" s="94"/>
      <c r="AU592" s="94"/>
      <c r="AV592" s="94"/>
      <c r="BB592" s="108">
        <f>Schäden_Einband!X592+Schäden_Buchblock!AC592</f>
        <v>0</v>
      </c>
      <c r="BC592" s="95"/>
    </row>
    <row r="593" spans="1:55" x14ac:dyDescent="0.25">
      <c r="A593" s="82">
        <v>569</v>
      </c>
      <c r="B593" s="64" t="s">
        <v>1287</v>
      </c>
      <c r="C593" s="64" t="s">
        <v>1288</v>
      </c>
      <c r="D593" s="84" t="str">
        <f t="shared" si="9"/>
        <v>https://portal.dnb.de/opac.htm?method=simpleSearch&amp;cqlMode=true&amp;query=idn%3D106697070X</v>
      </c>
      <c r="E593" s="64" t="s">
        <v>1289</v>
      </c>
      <c r="F593" s="82"/>
      <c r="G593" s="85"/>
      <c r="H593" s="82"/>
      <c r="I593" s="85"/>
      <c r="J593" s="85"/>
      <c r="K593" s="82"/>
      <c r="L593" s="82"/>
      <c r="M593" s="82"/>
      <c r="N593" s="82"/>
      <c r="O593" s="82"/>
      <c r="P593" s="82"/>
      <c r="Q593" s="82"/>
      <c r="R593" s="82"/>
      <c r="S593" s="97"/>
      <c r="T593" s="97"/>
      <c r="X593" s="94"/>
      <c r="Y593" s="95"/>
      <c r="Z593" s="95"/>
      <c r="AA593" s="94"/>
      <c r="AB593" s="94"/>
      <c r="AC593" s="94"/>
      <c r="AD593" s="94"/>
      <c r="AE593" s="94"/>
      <c r="AF593" s="94"/>
      <c r="AS593" s="94"/>
      <c r="AT593" s="94"/>
      <c r="AU593" s="94"/>
      <c r="AV593" s="94"/>
      <c r="BB593" s="108">
        <f>Schäden_Einband!X593+Schäden_Buchblock!AC593</f>
        <v>0</v>
      </c>
      <c r="BC593" s="95"/>
    </row>
    <row r="594" spans="1:55" ht="46" x14ac:dyDescent="0.25">
      <c r="A594" s="82">
        <v>570</v>
      </c>
      <c r="B594" s="64" t="s">
        <v>1290</v>
      </c>
      <c r="C594" s="64">
        <v>1079560041</v>
      </c>
      <c r="D594" s="84" t="str">
        <f t="shared" si="9"/>
        <v>https://portal.dnb.de/opac.htm?method=simpleSearch&amp;cqlMode=true&amp;query=idn%3D1079560041</v>
      </c>
      <c r="E594" s="64" t="s">
        <v>1291</v>
      </c>
      <c r="F594" s="82" t="s">
        <v>1633</v>
      </c>
      <c r="G594" s="85" t="s">
        <v>1584</v>
      </c>
      <c r="H594" s="82" t="s">
        <v>50</v>
      </c>
      <c r="I594" s="85" t="s">
        <v>90</v>
      </c>
      <c r="J594" s="85" t="s">
        <v>1692</v>
      </c>
      <c r="K594" s="82"/>
      <c r="L594" s="82" t="s">
        <v>35</v>
      </c>
      <c r="M594" s="82" t="s">
        <v>37</v>
      </c>
      <c r="N594" s="82">
        <v>2</v>
      </c>
      <c r="O594" s="82"/>
      <c r="P594" s="82"/>
      <c r="Q594" s="82"/>
      <c r="R594" s="82"/>
      <c r="S594" s="97"/>
      <c r="T594" s="97"/>
      <c r="X594" s="94"/>
      <c r="Y594" s="95"/>
      <c r="Z594" s="95"/>
      <c r="AA594" s="94"/>
      <c r="AB594" s="94"/>
      <c r="AC594" s="94"/>
      <c r="AD594" s="94"/>
      <c r="AE594" s="94"/>
      <c r="AF594" s="94"/>
      <c r="AS594" s="94"/>
      <c r="AT594" s="94"/>
      <c r="AU594" s="94"/>
      <c r="AV594" s="94"/>
      <c r="BB594" s="108">
        <f>Schäden_Einband!X594+Schäden_Buchblock!AC594</f>
        <v>0</v>
      </c>
      <c r="BC594" s="95"/>
    </row>
    <row r="595" spans="1:55" x14ac:dyDescent="0.25">
      <c r="A595" s="82">
        <v>571</v>
      </c>
      <c r="B595" s="64" t="s">
        <v>1292</v>
      </c>
      <c r="C595" s="64">
        <v>1072108216</v>
      </c>
      <c r="D595" s="84" t="str">
        <f t="shared" si="9"/>
        <v>https://portal.dnb.de/opac.htm?method=simpleSearch&amp;cqlMode=true&amp;query=idn%3D1072108216</v>
      </c>
      <c r="E595" s="64" t="s">
        <v>1293</v>
      </c>
      <c r="F595" s="82"/>
      <c r="G595" s="85"/>
      <c r="H595" s="82"/>
      <c r="I595" s="85"/>
      <c r="J595" s="85"/>
      <c r="K595" s="82"/>
      <c r="L595" s="82"/>
      <c r="M595" s="82"/>
      <c r="N595" s="82"/>
      <c r="O595" s="82"/>
      <c r="P595" s="82"/>
      <c r="Q595" s="82"/>
      <c r="R595" s="82"/>
      <c r="S595" s="97"/>
      <c r="T595" s="97"/>
      <c r="X595" s="94"/>
      <c r="Y595" s="95"/>
      <c r="Z595" s="95"/>
      <c r="AA595" s="94"/>
      <c r="AB595" s="94"/>
      <c r="AC595" s="94"/>
      <c r="AD595" s="94"/>
      <c r="AE595" s="94"/>
      <c r="AF595" s="94"/>
      <c r="AS595" s="94"/>
      <c r="AT595" s="94"/>
      <c r="AU595" s="94"/>
      <c r="AV595" s="94"/>
      <c r="BB595" s="108">
        <f>Schäden_Einband!X595+Schäden_Buchblock!AC595</f>
        <v>0</v>
      </c>
      <c r="BC595" s="95"/>
    </row>
    <row r="596" spans="1:55" x14ac:dyDescent="0.25">
      <c r="A596" s="82">
        <v>572</v>
      </c>
      <c r="B596" s="64" t="s">
        <v>1294</v>
      </c>
      <c r="C596" s="64">
        <v>1066965226</v>
      </c>
      <c r="D596" s="84" t="str">
        <f t="shared" si="9"/>
        <v>https://portal.dnb.de/opac.htm?method=simpleSearch&amp;cqlMode=true&amp;query=idn%3D1066965226</v>
      </c>
      <c r="E596" s="64" t="s">
        <v>1295</v>
      </c>
      <c r="F596" s="82"/>
      <c r="G596" s="85"/>
      <c r="H596" s="82"/>
      <c r="I596" s="85"/>
      <c r="J596" s="85"/>
      <c r="K596" s="82"/>
      <c r="L596" s="82"/>
      <c r="M596" s="82"/>
      <c r="N596" s="82"/>
      <c r="O596" s="82"/>
      <c r="P596" s="82"/>
      <c r="Q596" s="82"/>
      <c r="R596" s="82"/>
      <c r="S596" s="97"/>
      <c r="T596" s="97"/>
      <c r="X596" s="94"/>
      <c r="Y596" s="95"/>
      <c r="Z596" s="95"/>
      <c r="AA596" s="94"/>
      <c r="AB596" s="94"/>
      <c r="AC596" s="94"/>
      <c r="AD596" s="94"/>
      <c r="AE596" s="94"/>
      <c r="AF596" s="94"/>
      <c r="AS596" s="94"/>
      <c r="AT596" s="94"/>
      <c r="AU596" s="94"/>
      <c r="AV596" s="94"/>
      <c r="BB596" s="108">
        <f>Schäden_Einband!X596+Schäden_Buchblock!AC596</f>
        <v>0</v>
      </c>
      <c r="BC596" s="95"/>
    </row>
    <row r="597" spans="1:55" x14ac:dyDescent="0.25">
      <c r="A597" s="82">
        <v>573</v>
      </c>
      <c r="B597" s="64" t="s">
        <v>1296</v>
      </c>
      <c r="C597" s="64">
        <v>1072378957</v>
      </c>
      <c r="D597" s="84" t="str">
        <f t="shared" si="9"/>
        <v>https://portal.dnb.de/opac.htm?method=simpleSearch&amp;cqlMode=true&amp;query=idn%3D1072378957</v>
      </c>
      <c r="E597" s="64" t="s">
        <v>1297</v>
      </c>
      <c r="F597" s="82"/>
      <c r="G597" s="85"/>
      <c r="H597" s="82"/>
      <c r="I597" s="85"/>
      <c r="J597" s="85"/>
      <c r="K597" s="82"/>
      <c r="L597" s="82"/>
      <c r="M597" s="82"/>
      <c r="N597" s="82"/>
      <c r="O597" s="82"/>
      <c r="P597" s="82"/>
      <c r="Q597" s="82"/>
      <c r="R597" s="82"/>
      <c r="S597" s="97"/>
      <c r="T597" s="97"/>
      <c r="X597" s="94"/>
      <c r="Y597" s="95"/>
      <c r="Z597" s="95"/>
      <c r="AA597" s="94"/>
      <c r="AB597" s="94"/>
      <c r="AC597" s="94"/>
      <c r="AD597" s="94"/>
      <c r="AE597" s="94"/>
      <c r="AF597" s="94"/>
      <c r="AS597" s="94"/>
      <c r="AT597" s="94"/>
      <c r="AU597" s="94"/>
      <c r="AV597" s="94"/>
      <c r="BB597" s="108">
        <f>Schäden_Einband!X597+Schäden_Buchblock!AC597</f>
        <v>0</v>
      </c>
      <c r="BC597" s="95"/>
    </row>
    <row r="598" spans="1:55" x14ac:dyDescent="0.25">
      <c r="A598" s="82">
        <v>574</v>
      </c>
      <c r="B598" s="64" t="s">
        <v>1298</v>
      </c>
      <c r="C598" s="64">
        <v>1072111624</v>
      </c>
      <c r="D598" s="84" t="str">
        <f t="shared" si="9"/>
        <v>https://portal.dnb.de/opac.htm?method=simpleSearch&amp;cqlMode=true&amp;query=idn%3D1072111624</v>
      </c>
      <c r="E598" s="64" t="s">
        <v>1299</v>
      </c>
      <c r="F598" s="82"/>
      <c r="G598" s="85"/>
      <c r="H598" s="82"/>
      <c r="I598" s="85"/>
      <c r="J598" s="85"/>
      <c r="K598" s="82"/>
      <c r="L598" s="82"/>
      <c r="M598" s="82"/>
      <c r="N598" s="82"/>
      <c r="O598" s="82"/>
      <c r="P598" s="82"/>
      <c r="Q598" s="82"/>
      <c r="R598" s="82"/>
      <c r="S598" s="97"/>
      <c r="T598" s="97"/>
      <c r="X598" s="94"/>
      <c r="Y598" s="95"/>
      <c r="Z598" s="95"/>
      <c r="AA598" s="94"/>
      <c r="AB598" s="94"/>
      <c r="AC598" s="94"/>
      <c r="AD598" s="94"/>
      <c r="AE598" s="94"/>
      <c r="AF598" s="94"/>
      <c r="AS598" s="94"/>
      <c r="AT598" s="94"/>
      <c r="AU598" s="94"/>
      <c r="AV598" s="94"/>
      <c r="BB598" s="108">
        <f>Schäden_Einband!X598+Schäden_Buchblock!AC598</f>
        <v>0</v>
      </c>
      <c r="BC598" s="95"/>
    </row>
    <row r="599" spans="1:55" ht="23" x14ac:dyDescent="0.25">
      <c r="A599" s="82">
        <v>575</v>
      </c>
      <c r="B599" s="64" t="s">
        <v>1300</v>
      </c>
      <c r="C599" s="64">
        <v>1072112019</v>
      </c>
      <c r="D599" s="84" t="str">
        <f t="shared" si="9"/>
        <v>https://portal.dnb.de/opac.htm?method=simpleSearch&amp;cqlMode=true&amp;query=idn%3D1072112019</v>
      </c>
      <c r="E599" s="64" t="s">
        <v>1301</v>
      </c>
      <c r="F599" s="82" t="s">
        <v>1633</v>
      </c>
      <c r="G599" s="85" t="s">
        <v>46</v>
      </c>
      <c r="H599" s="82" t="s">
        <v>50</v>
      </c>
      <c r="I599" s="85" t="s">
        <v>90</v>
      </c>
      <c r="J599" s="85" t="s">
        <v>1693</v>
      </c>
      <c r="K599" s="82"/>
      <c r="L599" s="82" t="s">
        <v>35</v>
      </c>
      <c r="M599" s="82" t="s">
        <v>37</v>
      </c>
      <c r="N599" s="82">
        <v>0</v>
      </c>
      <c r="O599" s="82"/>
      <c r="P599" s="82"/>
      <c r="Q599" s="82"/>
      <c r="R599" s="82"/>
      <c r="S599" s="97"/>
      <c r="T599" s="97"/>
      <c r="X599" s="94"/>
      <c r="Y599" s="95"/>
      <c r="Z599" s="95"/>
      <c r="AA599" s="94"/>
      <c r="AB599" s="94"/>
      <c r="AC599" s="94"/>
      <c r="AD599" s="94"/>
      <c r="AE599" s="94"/>
      <c r="AF599" s="94"/>
      <c r="AS599" s="94"/>
      <c r="AT599" s="94"/>
      <c r="AU599" s="94"/>
      <c r="AV599" s="94"/>
      <c r="BB599" s="108">
        <f>Schäden_Einband!X599+Schäden_Buchblock!AC599</f>
        <v>0</v>
      </c>
      <c r="BC599" s="95"/>
    </row>
    <row r="600" spans="1:55" ht="46" x14ac:dyDescent="0.25">
      <c r="A600" s="82">
        <v>576</v>
      </c>
      <c r="B600" s="64" t="s">
        <v>1302</v>
      </c>
      <c r="C600" s="64">
        <v>1066966818</v>
      </c>
      <c r="D600" s="84" t="str">
        <f t="shared" si="9"/>
        <v>https://portal.dnb.de/opac.htm?method=simpleSearch&amp;cqlMode=true&amp;query=idn%3D1066966818</v>
      </c>
      <c r="E600" s="64" t="s">
        <v>1303</v>
      </c>
      <c r="F600" s="82" t="s">
        <v>1633</v>
      </c>
      <c r="G600" s="85" t="s">
        <v>1584</v>
      </c>
      <c r="H600" s="82" t="s">
        <v>51</v>
      </c>
      <c r="I600" s="85" t="s">
        <v>90</v>
      </c>
      <c r="J600" s="85" t="s">
        <v>1694</v>
      </c>
      <c r="K600" s="82"/>
      <c r="L600" s="82" t="s">
        <v>35</v>
      </c>
      <c r="M600" s="82" t="s">
        <v>37</v>
      </c>
      <c r="N600" s="82">
        <v>3</v>
      </c>
      <c r="O600" s="82"/>
      <c r="P600" s="82" t="s">
        <v>1638</v>
      </c>
      <c r="Q600" s="82"/>
      <c r="R600" s="82"/>
      <c r="S600" s="97"/>
      <c r="T600" s="97"/>
      <c r="X600" s="94"/>
      <c r="Y600" s="95"/>
      <c r="Z600" s="95"/>
      <c r="AA600" s="94"/>
      <c r="AB600" s="94"/>
      <c r="AC600" s="94"/>
      <c r="AD600" s="94"/>
      <c r="AE600" s="94"/>
      <c r="AF600" s="94"/>
      <c r="AS600" s="94"/>
      <c r="AT600" s="94"/>
      <c r="AU600" s="94"/>
      <c r="AV600" s="94"/>
      <c r="BB600" s="108">
        <f>Schäden_Einband!X600+Schäden_Buchblock!AC600</f>
        <v>0</v>
      </c>
      <c r="BC600" s="95"/>
    </row>
    <row r="601" spans="1:55" x14ac:dyDescent="0.25">
      <c r="A601" s="82">
        <v>577</v>
      </c>
      <c r="B601" s="64" t="s">
        <v>1304</v>
      </c>
      <c r="C601" s="64">
        <v>1066965455</v>
      </c>
      <c r="D601" s="84" t="str">
        <f t="shared" si="9"/>
        <v>https://portal.dnb.de/opac.htm?method=simpleSearch&amp;cqlMode=true&amp;query=idn%3D1066965455</v>
      </c>
      <c r="E601" s="64" t="s">
        <v>1305</v>
      </c>
      <c r="F601" s="82"/>
      <c r="G601" s="85"/>
      <c r="H601" s="82"/>
      <c r="I601" s="85"/>
      <c r="J601" s="85"/>
      <c r="K601" s="82"/>
      <c r="L601" s="82"/>
      <c r="M601" s="82"/>
      <c r="N601" s="82"/>
      <c r="O601" s="82"/>
      <c r="P601" s="82"/>
      <c r="Q601" s="82"/>
      <c r="R601" s="82"/>
      <c r="S601" s="97"/>
      <c r="T601" s="97"/>
      <c r="X601" s="94"/>
      <c r="Y601" s="95"/>
      <c r="Z601" s="95"/>
      <c r="AA601" s="94"/>
      <c r="AB601" s="94"/>
      <c r="AC601" s="94"/>
      <c r="AD601" s="94"/>
      <c r="AE601" s="94"/>
      <c r="AF601" s="94"/>
      <c r="AS601" s="94"/>
      <c r="AT601" s="94"/>
      <c r="AU601" s="94"/>
      <c r="AV601" s="94"/>
      <c r="BB601" s="108">
        <f>Schäden_Einband!X601+Schäden_Buchblock!AC601</f>
        <v>0</v>
      </c>
      <c r="BC601" s="95"/>
    </row>
    <row r="602" spans="1:55" ht="46" x14ac:dyDescent="0.25">
      <c r="A602" s="82">
        <v>578</v>
      </c>
      <c r="B602" s="64" t="s">
        <v>1306</v>
      </c>
      <c r="C602" s="64">
        <v>1066967458</v>
      </c>
      <c r="D602" s="84" t="str">
        <f t="shared" ref="D602:D666" si="10">HYPERLINK(CONCATENATE("https://portal.dnb.de/opac.htm?method=simpleSearch&amp;cqlMode=true&amp;query=idn%3D",C602))</f>
        <v>https://portal.dnb.de/opac.htm?method=simpleSearch&amp;cqlMode=true&amp;query=idn%3D1066967458</v>
      </c>
      <c r="E602" s="64" t="s">
        <v>1307</v>
      </c>
      <c r="F602" s="82" t="s">
        <v>1633</v>
      </c>
      <c r="G602" s="85" t="s">
        <v>1584</v>
      </c>
      <c r="H602" s="82" t="s">
        <v>50</v>
      </c>
      <c r="I602" s="85" t="s">
        <v>90</v>
      </c>
      <c r="J602" s="85" t="s">
        <v>1671</v>
      </c>
      <c r="K602" s="82" t="s">
        <v>67</v>
      </c>
      <c r="L602" s="82" t="s">
        <v>35</v>
      </c>
      <c r="M602" s="82" t="s">
        <v>37</v>
      </c>
      <c r="N602" s="82">
        <v>0</v>
      </c>
      <c r="O602" s="82"/>
      <c r="P602" s="82"/>
      <c r="Q602" s="82"/>
      <c r="R602" s="82"/>
      <c r="S602" s="97"/>
      <c r="T602" s="97"/>
      <c r="X602" s="94"/>
      <c r="Y602" s="95"/>
      <c r="Z602" s="95"/>
      <c r="AA602" s="94"/>
      <c r="AB602" s="94"/>
      <c r="AC602" s="94"/>
      <c r="AD602" s="94"/>
      <c r="AE602" s="94"/>
      <c r="AF602" s="94"/>
      <c r="AS602" s="94"/>
      <c r="AT602" s="94"/>
      <c r="AU602" s="94"/>
      <c r="AV602" s="94"/>
      <c r="BB602" s="108">
        <f>Schäden_Einband!X602+Schäden_Buchblock!AC602</f>
        <v>0</v>
      </c>
      <c r="BC602" s="95"/>
    </row>
    <row r="603" spans="1:55" x14ac:dyDescent="0.25">
      <c r="A603" s="82">
        <v>579</v>
      </c>
      <c r="B603" s="64" t="s">
        <v>1308</v>
      </c>
      <c r="C603" s="64">
        <v>1069014885</v>
      </c>
      <c r="D603" s="84" t="str">
        <f t="shared" si="10"/>
        <v>https://portal.dnb.de/opac.htm?method=simpleSearch&amp;cqlMode=true&amp;query=idn%3D1069014885</v>
      </c>
      <c r="E603" s="64" t="s">
        <v>1309</v>
      </c>
      <c r="F603" s="82"/>
      <c r="G603" s="85"/>
      <c r="H603" s="82"/>
      <c r="I603" s="85"/>
      <c r="J603" s="85"/>
      <c r="K603" s="82"/>
      <c r="L603" s="82"/>
      <c r="M603" s="82"/>
      <c r="N603" s="82"/>
      <c r="O603" s="82"/>
      <c r="P603" s="82"/>
      <c r="Q603" s="82"/>
      <c r="R603" s="82"/>
      <c r="S603" s="97"/>
      <c r="T603" s="97"/>
      <c r="X603" s="94"/>
      <c r="Y603" s="95"/>
      <c r="Z603" s="95"/>
      <c r="AA603" s="94"/>
      <c r="AB603" s="94"/>
      <c r="AC603" s="94"/>
      <c r="AD603" s="94"/>
      <c r="AE603" s="94"/>
      <c r="AF603" s="94"/>
      <c r="AS603" s="94"/>
      <c r="AT603" s="94"/>
      <c r="AU603" s="94"/>
      <c r="AV603" s="94"/>
      <c r="BB603" s="108">
        <f>Schäden_Einband!X603+Schäden_Buchblock!AC603</f>
        <v>0</v>
      </c>
      <c r="BC603" s="95"/>
    </row>
    <row r="604" spans="1:55" x14ac:dyDescent="0.25">
      <c r="A604" s="82">
        <v>580</v>
      </c>
      <c r="B604" s="64" t="s">
        <v>1310</v>
      </c>
      <c r="C604" s="64" t="s">
        <v>1311</v>
      </c>
      <c r="D604" s="84" t="str">
        <f t="shared" si="10"/>
        <v>https://portal.dnb.de/opac.htm?method=simpleSearch&amp;cqlMode=true&amp;query=idn%3D106901494X</v>
      </c>
      <c r="E604" s="64" t="s">
        <v>1312</v>
      </c>
      <c r="F604" s="82"/>
      <c r="G604" s="85"/>
      <c r="H604" s="82"/>
      <c r="I604" s="85"/>
      <c r="J604" s="85"/>
      <c r="K604" s="82"/>
      <c r="L604" s="82"/>
      <c r="M604" s="82"/>
      <c r="N604" s="82"/>
      <c r="O604" s="82"/>
      <c r="P604" s="82"/>
      <c r="Q604" s="82"/>
      <c r="R604" s="82"/>
      <c r="S604" s="97"/>
      <c r="T604" s="97"/>
      <c r="X604" s="94"/>
      <c r="Y604" s="95"/>
      <c r="Z604" s="95"/>
      <c r="AA604" s="94"/>
      <c r="AB604" s="94"/>
      <c r="AC604" s="94"/>
      <c r="AD604" s="94"/>
      <c r="AE604" s="94"/>
      <c r="AF604" s="94"/>
      <c r="AS604" s="94"/>
      <c r="AT604" s="94"/>
      <c r="AU604" s="94"/>
      <c r="AV604" s="94"/>
      <c r="BB604" s="108">
        <f>Schäden_Einband!X604+Schäden_Buchblock!AC604</f>
        <v>0</v>
      </c>
      <c r="BC604" s="95"/>
    </row>
    <row r="605" spans="1:55" x14ac:dyDescent="0.25">
      <c r="A605" s="82">
        <v>581</v>
      </c>
      <c r="B605" s="64" t="s">
        <v>1313</v>
      </c>
      <c r="C605" s="64">
        <v>1066972095</v>
      </c>
      <c r="D605" s="84" t="str">
        <f t="shared" si="10"/>
        <v>https://portal.dnb.de/opac.htm?method=simpleSearch&amp;cqlMode=true&amp;query=idn%3D1066972095</v>
      </c>
      <c r="E605" s="64" t="s">
        <v>1314</v>
      </c>
      <c r="F605" s="82"/>
      <c r="G605" s="85"/>
      <c r="H605" s="82"/>
      <c r="I605" s="85"/>
      <c r="J605" s="85"/>
      <c r="K605" s="82"/>
      <c r="L605" s="82"/>
      <c r="M605" s="82"/>
      <c r="N605" s="82"/>
      <c r="O605" s="82"/>
      <c r="P605" s="82"/>
      <c r="Q605" s="82"/>
      <c r="R605" s="82"/>
      <c r="S605" s="97"/>
      <c r="T605" s="97"/>
      <c r="X605" s="94"/>
      <c r="Y605" s="95"/>
      <c r="Z605" s="95"/>
      <c r="AA605" s="94"/>
      <c r="AB605" s="94"/>
      <c r="AC605" s="94"/>
      <c r="AD605" s="94"/>
      <c r="AE605" s="94"/>
      <c r="AF605" s="94"/>
      <c r="AS605" s="94"/>
      <c r="AT605" s="94"/>
      <c r="AU605" s="94"/>
      <c r="AV605" s="94"/>
      <c r="BB605" s="108">
        <f>Schäden_Einband!X605+Schäden_Buchblock!AC605</f>
        <v>0</v>
      </c>
      <c r="BC605" s="95"/>
    </row>
    <row r="606" spans="1:55" x14ac:dyDescent="0.25">
      <c r="A606" s="82">
        <v>582</v>
      </c>
      <c r="B606" s="64" t="s">
        <v>1315</v>
      </c>
      <c r="C606" s="64">
        <v>1072153890</v>
      </c>
      <c r="D606" s="84" t="str">
        <f t="shared" si="10"/>
        <v>https://portal.dnb.de/opac.htm?method=simpleSearch&amp;cqlMode=true&amp;query=idn%3D1072153890</v>
      </c>
      <c r="E606" s="64" t="s">
        <v>1316</v>
      </c>
      <c r="F606" s="82"/>
      <c r="G606" s="85"/>
      <c r="H606" s="82"/>
      <c r="I606" s="85"/>
      <c r="J606" s="85"/>
      <c r="K606" s="82"/>
      <c r="L606" s="82"/>
      <c r="M606" s="82"/>
      <c r="N606" s="82"/>
      <c r="O606" s="82"/>
      <c r="P606" s="82"/>
      <c r="Q606" s="82"/>
      <c r="R606" s="82"/>
      <c r="S606" s="97"/>
      <c r="T606" s="97"/>
      <c r="X606" s="94"/>
      <c r="Y606" s="95"/>
      <c r="Z606" s="95"/>
      <c r="AA606" s="94"/>
      <c r="AB606" s="94"/>
      <c r="AC606" s="94"/>
      <c r="AD606" s="94"/>
      <c r="AE606" s="94"/>
      <c r="AF606" s="94"/>
      <c r="AS606" s="94"/>
      <c r="AT606" s="94"/>
      <c r="AU606" s="94"/>
      <c r="AV606" s="94"/>
      <c r="BB606" s="108">
        <f>Schäden_Einband!X606+Schäden_Buchblock!AC606</f>
        <v>0</v>
      </c>
      <c r="BC606" s="95"/>
    </row>
    <row r="607" spans="1:55" x14ac:dyDescent="0.25">
      <c r="A607" s="82">
        <v>583</v>
      </c>
      <c r="B607" s="64" t="s">
        <v>1317</v>
      </c>
      <c r="C607" s="64">
        <v>1072153998</v>
      </c>
      <c r="D607" s="84" t="str">
        <f t="shared" si="10"/>
        <v>https://portal.dnb.de/opac.htm?method=simpleSearch&amp;cqlMode=true&amp;query=idn%3D1072153998</v>
      </c>
      <c r="E607" s="64" t="s">
        <v>1318</v>
      </c>
      <c r="F607" s="82"/>
      <c r="G607" s="85"/>
      <c r="H607" s="82"/>
      <c r="I607" s="85"/>
      <c r="J607" s="85"/>
      <c r="K607" s="82"/>
      <c r="L607" s="82"/>
      <c r="M607" s="82"/>
      <c r="N607" s="82"/>
      <c r="O607" s="82"/>
      <c r="P607" s="82"/>
      <c r="Q607" s="82"/>
      <c r="R607" s="82"/>
      <c r="S607" s="97"/>
      <c r="T607" s="97"/>
      <c r="X607" s="94"/>
      <c r="Y607" s="95"/>
      <c r="Z607" s="95"/>
      <c r="AA607" s="94"/>
      <c r="AB607" s="94"/>
      <c r="AC607" s="94"/>
      <c r="AD607" s="94"/>
      <c r="AE607" s="94"/>
      <c r="AF607" s="94"/>
      <c r="AS607" s="94"/>
      <c r="AT607" s="94"/>
      <c r="AU607" s="94"/>
      <c r="AV607" s="94"/>
      <c r="BB607" s="108">
        <f>Schäden_Einband!X607+Schäden_Buchblock!AC607</f>
        <v>0</v>
      </c>
      <c r="BC607" s="95"/>
    </row>
    <row r="608" spans="1:55" ht="46" x14ac:dyDescent="0.25">
      <c r="A608" s="82">
        <v>584</v>
      </c>
      <c r="B608" s="64" t="s">
        <v>1319</v>
      </c>
      <c r="C608" s="64">
        <v>1072154080</v>
      </c>
      <c r="D608" s="84" t="str">
        <f t="shared" si="10"/>
        <v>https://portal.dnb.de/opac.htm?method=simpleSearch&amp;cqlMode=true&amp;query=idn%3D1072154080</v>
      </c>
      <c r="E608" s="64" t="s">
        <v>1320</v>
      </c>
      <c r="F608" s="82" t="s">
        <v>1633</v>
      </c>
      <c r="G608" s="85" t="s">
        <v>1584</v>
      </c>
      <c r="H608" s="82" t="s">
        <v>51</v>
      </c>
      <c r="I608" s="85" t="s">
        <v>86</v>
      </c>
      <c r="J608" s="85" t="s">
        <v>1650</v>
      </c>
      <c r="K608" s="82"/>
      <c r="L608" s="82" t="s">
        <v>35</v>
      </c>
      <c r="M608" s="82" t="s">
        <v>37</v>
      </c>
      <c r="N608" s="82">
        <v>0</v>
      </c>
      <c r="O608" s="82"/>
      <c r="P608" s="82" t="s">
        <v>1638</v>
      </c>
      <c r="Q608" s="82"/>
      <c r="R608" s="82"/>
      <c r="S608" s="97"/>
      <c r="T608" s="97"/>
      <c r="X608" s="94"/>
      <c r="Y608" s="95"/>
      <c r="Z608" s="95"/>
      <c r="AA608" s="94"/>
      <c r="AB608" s="94"/>
      <c r="AC608" s="94"/>
      <c r="AD608" s="94"/>
      <c r="AE608" s="94"/>
      <c r="AF608" s="94"/>
      <c r="AS608" s="94"/>
      <c r="AT608" s="94"/>
      <c r="AU608" s="94"/>
      <c r="AV608" s="94"/>
      <c r="BB608" s="108">
        <f>Schäden_Einband!X608+Schäden_Buchblock!AC608</f>
        <v>0</v>
      </c>
      <c r="BC608" s="95"/>
    </row>
    <row r="609" spans="1:55" x14ac:dyDescent="0.25">
      <c r="A609" s="82">
        <v>585</v>
      </c>
      <c r="B609" s="64" t="s">
        <v>1321</v>
      </c>
      <c r="C609" s="64">
        <v>1072154773</v>
      </c>
      <c r="D609" s="84" t="str">
        <f t="shared" si="10"/>
        <v>https://portal.dnb.de/opac.htm?method=simpleSearch&amp;cqlMode=true&amp;query=idn%3D1072154773</v>
      </c>
      <c r="E609" s="64" t="s">
        <v>1322</v>
      </c>
      <c r="F609" s="82"/>
      <c r="G609" s="85"/>
      <c r="H609" s="82"/>
      <c r="I609" s="85"/>
      <c r="J609" s="85"/>
      <c r="K609" s="82"/>
      <c r="L609" s="82"/>
      <c r="M609" s="82"/>
      <c r="N609" s="82"/>
      <c r="O609" s="82"/>
      <c r="P609" s="82"/>
      <c r="Q609" s="82"/>
      <c r="R609" s="82"/>
      <c r="S609" s="97"/>
      <c r="T609" s="97"/>
      <c r="X609" s="94"/>
      <c r="Y609" s="95"/>
      <c r="Z609" s="95"/>
      <c r="AA609" s="94"/>
      <c r="AB609" s="94"/>
      <c r="AC609" s="94"/>
      <c r="AD609" s="94"/>
      <c r="AE609" s="94"/>
      <c r="AF609" s="94"/>
      <c r="AS609" s="94"/>
      <c r="AT609" s="94"/>
      <c r="AU609" s="94"/>
      <c r="AV609" s="94"/>
      <c r="BB609" s="108">
        <f>Schäden_Einband!X609+Schäden_Buchblock!AC609</f>
        <v>0</v>
      </c>
      <c r="BC609" s="95"/>
    </row>
    <row r="610" spans="1:55" x14ac:dyDescent="0.25">
      <c r="A610" s="82">
        <v>586</v>
      </c>
      <c r="B610" s="64" t="s">
        <v>1323</v>
      </c>
      <c r="C610" s="64">
        <v>1072161362</v>
      </c>
      <c r="D610" s="84" t="str">
        <f t="shared" si="10"/>
        <v>https://portal.dnb.de/opac.htm?method=simpleSearch&amp;cqlMode=true&amp;query=idn%3D1072161362</v>
      </c>
      <c r="E610" s="64" t="s">
        <v>1324</v>
      </c>
      <c r="F610" s="82"/>
      <c r="G610" s="85"/>
      <c r="H610" s="82"/>
      <c r="I610" s="85"/>
      <c r="J610" s="85"/>
      <c r="K610" s="82"/>
      <c r="L610" s="82"/>
      <c r="M610" s="82"/>
      <c r="N610" s="82"/>
      <c r="O610" s="82"/>
      <c r="P610" s="82"/>
      <c r="Q610" s="82"/>
      <c r="R610" s="82"/>
      <c r="S610" s="97"/>
      <c r="T610" s="97"/>
      <c r="X610" s="94"/>
      <c r="Y610" s="95"/>
      <c r="Z610" s="95"/>
      <c r="AA610" s="94"/>
      <c r="AB610" s="94"/>
      <c r="AC610" s="94"/>
      <c r="AD610" s="94"/>
      <c r="AE610" s="94"/>
      <c r="AF610" s="94"/>
      <c r="AS610" s="94"/>
      <c r="AT610" s="94"/>
      <c r="AU610" s="94"/>
      <c r="AV610" s="94"/>
      <c r="BB610" s="108">
        <f>Schäden_Einband!X610+Schäden_Buchblock!AC610</f>
        <v>0</v>
      </c>
      <c r="BC610" s="95"/>
    </row>
    <row r="611" spans="1:55" x14ac:dyDescent="0.25">
      <c r="A611" s="82">
        <v>587</v>
      </c>
      <c r="B611" s="64" t="s">
        <v>1325</v>
      </c>
      <c r="C611" s="64">
        <v>1072161729</v>
      </c>
      <c r="D611" s="84" t="str">
        <f t="shared" si="10"/>
        <v>https://portal.dnb.de/opac.htm?method=simpleSearch&amp;cqlMode=true&amp;query=idn%3D1072161729</v>
      </c>
      <c r="E611" s="64" t="s">
        <v>1326</v>
      </c>
      <c r="F611" s="82"/>
      <c r="G611" s="85"/>
      <c r="H611" s="82"/>
      <c r="I611" s="85"/>
      <c r="J611" s="85"/>
      <c r="K611" s="82"/>
      <c r="L611" s="82"/>
      <c r="M611" s="82"/>
      <c r="N611" s="82"/>
      <c r="O611" s="82"/>
      <c r="P611" s="82"/>
      <c r="Q611" s="82"/>
      <c r="R611" s="82"/>
      <c r="S611" s="97"/>
      <c r="T611" s="97"/>
      <c r="X611" s="94"/>
      <c r="Y611" s="95"/>
      <c r="Z611" s="95"/>
      <c r="AA611" s="94"/>
      <c r="AB611" s="94"/>
      <c r="AC611" s="94"/>
      <c r="AD611" s="94"/>
      <c r="AE611" s="94"/>
      <c r="AF611" s="94"/>
      <c r="AS611" s="94"/>
      <c r="AT611" s="94"/>
      <c r="AU611" s="94"/>
      <c r="AV611" s="94"/>
      <c r="BB611" s="108">
        <f>Schäden_Einband!X611+Schäden_Buchblock!AC611</f>
        <v>0</v>
      </c>
      <c r="BC611" s="95"/>
    </row>
    <row r="612" spans="1:55" x14ac:dyDescent="0.25">
      <c r="A612" s="82">
        <v>588</v>
      </c>
      <c r="B612" s="64" t="s">
        <v>1327</v>
      </c>
      <c r="C612" s="64">
        <v>1072162407</v>
      </c>
      <c r="D612" s="84" t="str">
        <f t="shared" si="10"/>
        <v>https://portal.dnb.de/opac.htm?method=simpleSearch&amp;cqlMode=true&amp;query=idn%3D1072162407</v>
      </c>
      <c r="E612" s="64" t="s">
        <v>1328</v>
      </c>
      <c r="F612" s="82"/>
      <c r="G612" s="85"/>
      <c r="H612" s="82"/>
      <c r="I612" s="85"/>
      <c r="J612" s="85"/>
      <c r="K612" s="82"/>
      <c r="L612" s="82"/>
      <c r="M612" s="82"/>
      <c r="N612" s="82"/>
      <c r="O612" s="82"/>
      <c r="P612" s="82"/>
      <c r="Q612" s="82"/>
      <c r="R612" s="82"/>
      <c r="S612" s="97"/>
      <c r="T612" s="97"/>
      <c r="X612" s="94"/>
      <c r="Y612" s="95"/>
      <c r="Z612" s="95"/>
      <c r="AA612" s="94"/>
      <c r="AB612" s="94"/>
      <c r="AC612" s="94"/>
      <c r="AD612" s="94"/>
      <c r="AE612" s="94"/>
      <c r="AF612" s="94"/>
      <c r="AS612" s="94"/>
      <c r="AT612" s="94"/>
      <c r="AU612" s="94"/>
      <c r="AV612" s="94"/>
      <c r="BB612" s="108">
        <f>Schäden_Einband!X612+Schäden_Buchblock!AC612</f>
        <v>0</v>
      </c>
      <c r="BC612" s="95"/>
    </row>
    <row r="613" spans="1:55" x14ac:dyDescent="0.25">
      <c r="A613" s="82">
        <v>589</v>
      </c>
      <c r="B613" s="64" t="s">
        <v>1329</v>
      </c>
      <c r="C613" s="64">
        <v>1072162032</v>
      </c>
      <c r="D613" s="84" t="str">
        <f t="shared" si="10"/>
        <v>https://portal.dnb.de/opac.htm?method=simpleSearch&amp;cqlMode=true&amp;query=idn%3D1072162032</v>
      </c>
      <c r="E613" s="64" t="s">
        <v>1330</v>
      </c>
      <c r="F613" s="82"/>
      <c r="G613" s="85"/>
      <c r="H613" s="82"/>
      <c r="I613" s="85"/>
      <c r="J613" s="85"/>
      <c r="K613" s="82"/>
      <c r="L613" s="82"/>
      <c r="M613" s="82"/>
      <c r="N613" s="82"/>
      <c r="O613" s="82"/>
      <c r="P613" s="82"/>
      <c r="Q613" s="82"/>
      <c r="R613" s="82"/>
      <c r="S613" s="97"/>
      <c r="T613" s="97"/>
      <c r="X613" s="94"/>
      <c r="Y613" s="95"/>
      <c r="Z613" s="95"/>
      <c r="AA613" s="94"/>
      <c r="AB613" s="94"/>
      <c r="AC613" s="94"/>
      <c r="AD613" s="94"/>
      <c r="AE613" s="94"/>
      <c r="AF613" s="94"/>
      <c r="AS613" s="94"/>
      <c r="AT613" s="94"/>
      <c r="AU613" s="94"/>
      <c r="AV613" s="94"/>
      <c r="BB613" s="108">
        <f>Schäden_Einband!X613+Schäden_Buchblock!AC613</f>
        <v>0</v>
      </c>
      <c r="BC613" s="95"/>
    </row>
    <row r="614" spans="1:55" ht="46" x14ac:dyDescent="0.25">
      <c r="A614" s="82">
        <v>590</v>
      </c>
      <c r="B614" s="64" t="s">
        <v>1331</v>
      </c>
      <c r="C614" s="64">
        <v>1066967393</v>
      </c>
      <c r="D614" s="84" t="str">
        <f t="shared" si="10"/>
        <v>https://portal.dnb.de/opac.htm?method=simpleSearch&amp;cqlMode=true&amp;query=idn%3D1066967393</v>
      </c>
      <c r="E614" s="64" t="s">
        <v>1332</v>
      </c>
      <c r="F614" s="82" t="s">
        <v>89</v>
      </c>
      <c r="G614" s="85" t="s">
        <v>1584</v>
      </c>
      <c r="H614" s="82" t="s">
        <v>51</v>
      </c>
      <c r="I614" s="85" t="s">
        <v>90</v>
      </c>
      <c r="J614" s="85" t="s">
        <v>1587</v>
      </c>
      <c r="K614" s="82" t="s">
        <v>67</v>
      </c>
      <c r="L614" s="82" t="s">
        <v>35</v>
      </c>
      <c r="M614" s="82" t="s">
        <v>37</v>
      </c>
      <c r="N614" s="82">
        <v>0</v>
      </c>
      <c r="O614" s="82"/>
      <c r="P614" s="82"/>
      <c r="Q614" s="82"/>
      <c r="R614" s="82"/>
      <c r="S614" s="97"/>
      <c r="T614" s="97"/>
      <c r="X614" s="94"/>
      <c r="Y614" s="95"/>
      <c r="Z614" s="95"/>
      <c r="AA614" s="94"/>
      <c r="AB614" s="94"/>
      <c r="AC614" s="94"/>
      <c r="AD614" s="94"/>
      <c r="AE614" s="94"/>
      <c r="AF614" s="94"/>
      <c r="AS614" s="94"/>
      <c r="AT614" s="94"/>
      <c r="AU614" s="94"/>
      <c r="AV614" s="94"/>
      <c r="BB614" s="108">
        <f>Schäden_Einband!X614+Schäden_Buchblock!AC614</f>
        <v>0</v>
      </c>
      <c r="BC614" s="95"/>
    </row>
    <row r="615" spans="1:55" x14ac:dyDescent="0.25">
      <c r="A615" s="82">
        <v>591</v>
      </c>
      <c r="B615" s="64" t="s">
        <v>1333</v>
      </c>
      <c r="C615" s="64">
        <v>1066966125</v>
      </c>
      <c r="D615" s="84" t="str">
        <f t="shared" si="10"/>
        <v>https://portal.dnb.de/opac.htm?method=simpleSearch&amp;cqlMode=true&amp;query=idn%3D1066966125</v>
      </c>
      <c r="E615" s="64" t="s">
        <v>1334</v>
      </c>
      <c r="F615" s="82"/>
      <c r="G615" s="85"/>
      <c r="H615" s="82"/>
      <c r="I615" s="85"/>
      <c r="J615" s="85"/>
      <c r="K615" s="82"/>
      <c r="L615" s="82"/>
      <c r="M615" s="82"/>
      <c r="N615" s="82"/>
      <c r="O615" s="82"/>
      <c r="P615" s="82"/>
      <c r="Q615" s="82"/>
      <c r="R615" s="82"/>
      <c r="S615" s="97"/>
      <c r="T615" s="97"/>
      <c r="X615" s="94"/>
      <c r="Y615" s="95"/>
      <c r="Z615" s="95"/>
      <c r="AA615" s="94"/>
      <c r="AB615" s="94"/>
      <c r="AC615" s="94"/>
      <c r="AD615" s="94"/>
      <c r="AE615" s="94"/>
      <c r="AF615" s="94"/>
      <c r="AS615" s="94"/>
      <c r="AT615" s="94"/>
      <c r="AU615" s="94"/>
      <c r="AV615" s="94"/>
      <c r="BB615" s="108">
        <f>Schäden_Einband!X615+Schäden_Buchblock!AC615</f>
        <v>0</v>
      </c>
      <c r="BC615" s="95"/>
    </row>
    <row r="616" spans="1:55" x14ac:dyDescent="0.25">
      <c r="A616" s="82">
        <v>592</v>
      </c>
      <c r="B616" s="64" t="s">
        <v>1335</v>
      </c>
      <c r="C616" s="64">
        <v>1066966133</v>
      </c>
      <c r="D616" s="84" t="str">
        <f t="shared" si="10"/>
        <v>https://portal.dnb.de/opac.htm?method=simpleSearch&amp;cqlMode=true&amp;query=idn%3D1066966133</v>
      </c>
      <c r="E616" s="64" t="s">
        <v>1336</v>
      </c>
      <c r="F616" s="82"/>
      <c r="G616" s="85"/>
      <c r="H616" s="82"/>
      <c r="I616" s="85"/>
      <c r="J616" s="85"/>
      <c r="K616" s="82"/>
      <c r="L616" s="82"/>
      <c r="M616" s="82"/>
      <c r="N616" s="82"/>
      <c r="O616" s="82"/>
      <c r="P616" s="82"/>
      <c r="Q616" s="82"/>
      <c r="R616" s="82"/>
      <c r="S616" s="97"/>
      <c r="T616" s="97"/>
      <c r="X616" s="94"/>
      <c r="Y616" s="95"/>
      <c r="Z616" s="95"/>
      <c r="AA616" s="94"/>
      <c r="AB616" s="94"/>
      <c r="AC616" s="94"/>
      <c r="AD616" s="94"/>
      <c r="AE616" s="94"/>
      <c r="AF616" s="94"/>
      <c r="AS616" s="94"/>
      <c r="AT616" s="94"/>
      <c r="AU616" s="94"/>
      <c r="AV616" s="94"/>
      <c r="BB616" s="108">
        <f>Schäden_Einband!X616+Schäden_Buchblock!AC616</f>
        <v>0</v>
      </c>
      <c r="BC616" s="95"/>
    </row>
    <row r="617" spans="1:55" ht="23" x14ac:dyDescent="0.25">
      <c r="A617" s="82">
        <v>593</v>
      </c>
      <c r="B617" s="64" t="s">
        <v>1337</v>
      </c>
      <c r="C617" s="64">
        <v>1066971307</v>
      </c>
      <c r="D617" s="84" t="str">
        <f t="shared" si="10"/>
        <v>https://portal.dnb.de/opac.htm?method=simpleSearch&amp;cqlMode=true&amp;query=idn%3D1066971307</v>
      </c>
      <c r="E617" s="64" t="s">
        <v>1338</v>
      </c>
      <c r="F617" s="82" t="s">
        <v>89</v>
      </c>
      <c r="G617" s="85" t="s">
        <v>4</v>
      </c>
      <c r="H617" s="82" t="s">
        <v>51</v>
      </c>
      <c r="I617" s="85" t="s">
        <v>90</v>
      </c>
      <c r="J617" s="85" t="s">
        <v>94</v>
      </c>
      <c r="K617" s="82"/>
      <c r="L617" s="82" t="s">
        <v>97</v>
      </c>
      <c r="M617" s="82" t="s">
        <v>37</v>
      </c>
      <c r="N617" s="82">
        <v>0</v>
      </c>
      <c r="O617" s="82"/>
      <c r="P617" s="82"/>
      <c r="Q617" s="82"/>
      <c r="R617" s="82"/>
      <c r="S617" s="97"/>
      <c r="T617" s="97"/>
      <c r="X617" s="94"/>
      <c r="Y617" s="95"/>
      <c r="Z617" s="95"/>
      <c r="AA617" s="94"/>
      <c r="AB617" s="94"/>
      <c r="AC617" s="94"/>
      <c r="AD617" s="94"/>
      <c r="AE617" s="94"/>
      <c r="AF617" s="94"/>
      <c r="AS617" s="94"/>
      <c r="AT617" s="94"/>
      <c r="AU617" s="94"/>
      <c r="AV617" s="94"/>
      <c r="BB617" s="108">
        <f>Schäden_Einband!X617+Schäden_Buchblock!AC617</f>
        <v>0</v>
      </c>
      <c r="BC617" s="95"/>
    </row>
    <row r="618" spans="1:55" ht="46" x14ac:dyDescent="0.25">
      <c r="A618" s="82">
        <v>594</v>
      </c>
      <c r="B618" s="64" t="s">
        <v>1339</v>
      </c>
      <c r="C618" s="64">
        <v>1173179313</v>
      </c>
      <c r="D618" s="84" t="str">
        <f t="shared" si="10"/>
        <v>https://portal.dnb.de/opac.htm?method=simpleSearch&amp;cqlMode=true&amp;query=idn%3D1173179313</v>
      </c>
      <c r="E618" s="64" t="s">
        <v>1340</v>
      </c>
      <c r="F618" s="82" t="s">
        <v>89</v>
      </c>
      <c r="G618" s="85" t="s">
        <v>1584</v>
      </c>
      <c r="H618" s="82" t="s">
        <v>51</v>
      </c>
      <c r="I618" s="85" t="s">
        <v>90</v>
      </c>
      <c r="J618" s="85" t="s">
        <v>1608</v>
      </c>
      <c r="K618" s="82"/>
      <c r="L618" s="82" t="s">
        <v>35</v>
      </c>
      <c r="M618" s="82" t="s">
        <v>37</v>
      </c>
      <c r="N618" s="82">
        <v>0</v>
      </c>
      <c r="O618" s="82"/>
      <c r="P618" s="82" t="s">
        <v>1638</v>
      </c>
      <c r="Q618" s="82"/>
      <c r="R618" s="82"/>
      <c r="S618" s="97"/>
      <c r="T618" s="97"/>
      <c r="X618" s="94"/>
      <c r="Y618" s="95"/>
      <c r="Z618" s="95"/>
      <c r="AA618" s="94"/>
      <c r="AB618" s="94"/>
      <c r="AC618" s="94"/>
      <c r="AD618" s="94"/>
      <c r="AE618" s="94"/>
      <c r="AF618" s="94"/>
      <c r="AS618" s="94"/>
      <c r="AT618" s="94"/>
      <c r="AU618" s="94"/>
      <c r="AV618" s="94"/>
      <c r="BB618" s="108">
        <f>Schäden_Einband!X618+Schäden_Buchblock!AC618</f>
        <v>0</v>
      </c>
      <c r="BC618" s="95"/>
    </row>
    <row r="619" spans="1:55" x14ac:dyDescent="0.25">
      <c r="A619" s="82">
        <v>595</v>
      </c>
      <c r="B619" s="64" t="s">
        <v>1341</v>
      </c>
      <c r="C619" s="64">
        <v>1066969515</v>
      </c>
      <c r="D619" s="84" t="str">
        <f t="shared" si="10"/>
        <v>https://portal.dnb.de/opac.htm?method=simpleSearch&amp;cqlMode=true&amp;query=idn%3D1066969515</v>
      </c>
      <c r="E619" s="64" t="s">
        <v>1342</v>
      </c>
      <c r="F619" s="82"/>
      <c r="G619" s="85"/>
      <c r="H619" s="82"/>
      <c r="I619" s="85"/>
      <c r="J619" s="85"/>
      <c r="K619" s="82"/>
      <c r="L619" s="82"/>
      <c r="M619" s="82"/>
      <c r="N619" s="82"/>
      <c r="O619" s="82"/>
      <c r="P619" s="82"/>
      <c r="Q619" s="82"/>
      <c r="R619" s="82"/>
      <c r="S619" s="97"/>
      <c r="T619" s="97"/>
      <c r="X619" s="94"/>
      <c r="Y619" s="95"/>
      <c r="Z619" s="95"/>
      <c r="AA619" s="94"/>
      <c r="AB619" s="94"/>
      <c r="AC619" s="94"/>
      <c r="AD619" s="94"/>
      <c r="AE619" s="94"/>
      <c r="AF619" s="94"/>
      <c r="AS619" s="94"/>
      <c r="AT619" s="94"/>
      <c r="AU619" s="94"/>
      <c r="AV619" s="94"/>
      <c r="BB619" s="108">
        <f>Schäden_Einband!X619+Schäden_Buchblock!AC619</f>
        <v>0</v>
      </c>
      <c r="BC619" s="95"/>
    </row>
    <row r="620" spans="1:55" x14ac:dyDescent="0.25">
      <c r="A620" s="82">
        <v>596</v>
      </c>
      <c r="B620" s="64" t="s">
        <v>1343</v>
      </c>
      <c r="C620" s="64">
        <v>1066966117</v>
      </c>
      <c r="D620" s="84" t="str">
        <f t="shared" si="10"/>
        <v>https://portal.dnb.de/opac.htm?method=simpleSearch&amp;cqlMode=true&amp;query=idn%3D1066966117</v>
      </c>
      <c r="E620" s="64" t="s">
        <v>1344</v>
      </c>
      <c r="F620" s="82"/>
      <c r="G620" s="85"/>
      <c r="H620" s="82"/>
      <c r="I620" s="85"/>
      <c r="J620" s="85"/>
      <c r="K620" s="82"/>
      <c r="L620" s="82"/>
      <c r="M620" s="82"/>
      <c r="N620" s="82"/>
      <c r="O620" s="82"/>
      <c r="P620" s="82"/>
      <c r="Q620" s="82"/>
      <c r="R620" s="82"/>
      <c r="S620" s="97"/>
      <c r="T620" s="97"/>
      <c r="X620" s="94"/>
      <c r="Y620" s="95"/>
      <c r="Z620" s="95"/>
      <c r="AA620" s="94"/>
      <c r="AB620" s="94"/>
      <c r="AC620" s="94"/>
      <c r="AD620" s="94"/>
      <c r="AE620" s="94"/>
      <c r="AF620" s="94"/>
      <c r="AS620" s="94"/>
      <c r="AT620" s="94"/>
      <c r="AU620" s="94"/>
      <c r="AV620" s="94"/>
      <c r="BB620" s="108">
        <f>Schäden_Einband!X620+Schäden_Buchblock!AC620</f>
        <v>0</v>
      </c>
      <c r="BC620" s="95"/>
    </row>
    <row r="621" spans="1:55" x14ac:dyDescent="0.25">
      <c r="A621" s="82">
        <v>597</v>
      </c>
      <c r="B621" s="64" t="s">
        <v>1345</v>
      </c>
      <c r="C621" s="64">
        <v>1079560564</v>
      </c>
      <c r="D621" s="84" t="str">
        <f t="shared" si="10"/>
        <v>https://portal.dnb.de/opac.htm?method=simpleSearch&amp;cqlMode=true&amp;query=idn%3D1079560564</v>
      </c>
      <c r="E621" s="64" t="s">
        <v>1346</v>
      </c>
      <c r="F621" s="82"/>
      <c r="G621" s="85"/>
      <c r="H621" s="82"/>
      <c r="I621" s="85"/>
      <c r="J621" s="85"/>
      <c r="K621" s="82"/>
      <c r="L621" s="82"/>
      <c r="M621" s="82"/>
      <c r="N621" s="82"/>
      <c r="O621" s="82"/>
      <c r="P621" s="82"/>
      <c r="Q621" s="82"/>
      <c r="R621" s="82"/>
      <c r="S621" s="97"/>
      <c r="T621" s="97"/>
      <c r="X621" s="94"/>
      <c r="Y621" s="95"/>
      <c r="Z621" s="95"/>
      <c r="AA621" s="94"/>
      <c r="AB621" s="94"/>
      <c r="AC621" s="94"/>
      <c r="AD621" s="94"/>
      <c r="AE621" s="94"/>
      <c r="AF621" s="94"/>
      <c r="AS621" s="94"/>
      <c r="AT621" s="94"/>
      <c r="AU621" s="94"/>
      <c r="AV621" s="94"/>
      <c r="BB621" s="108">
        <f>Schäden_Einband!X621+Schäden_Buchblock!AC621</f>
        <v>0</v>
      </c>
      <c r="BC621" s="95"/>
    </row>
    <row r="622" spans="1:55" x14ac:dyDescent="0.25">
      <c r="A622" s="82">
        <v>598</v>
      </c>
      <c r="B622" s="64" t="s">
        <v>1347</v>
      </c>
      <c r="C622" s="64">
        <v>1072170264</v>
      </c>
      <c r="D622" s="84" t="str">
        <f t="shared" si="10"/>
        <v>https://portal.dnb.de/opac.htm?method=simpleSearch&amp;cqlMode=true&amp;query=idn%3D1072170264</v>
      </c>
      <c r="E622" s="64" t="s">
        <v>1348</v>
      </c>
      <c r="F622" s="82"/>
      <c r="G622" s="85"/>
      <c r="H622" s="82"/>
      <c r="I622" s="85"/>
      <c r="J622" s="85"/>
      <c r="K622" s="82"/>
      <c r="L622" s="82"/>
      <c r="M622" s="82"/>
      <c r="N622" s="82"/>
      <c r="O622" s="82"/>
      <c r="P622" s="82"/>
      <c r="Q622" s="82"/>
      <c r="R622" s="82"/>
      <c r="S622" s="97"/>
      <c r="T622" s="97"/>
      <c r="X622" s="94"/>
      <c r="Y622" s="95"/>
      <c r="Z622" s="95"/>
      <c r="AA622" s="94"/>
      <c r="AB622" s="94"/>
      <c r="AC622" s="94"/>
      <c r="AD622" s="94"/>
      <c r="AE622" s="94"/>
      <c r="AF622" s="94"/>
      <c r="AS622" s="94"/>
      <c r="AT622" s="94"/>
      <c r="AU622" s="94"/>
      <c r="AV622" s="94"/>
      <c r="BB622" s="108">
        <f>Schäden_Einband!X622+Schäden_Buchblock!AC622</f>
        <v>0</v>
      </c>
      <c r="BC622" s="95"/>
    </row>
    <row r="623" spans="1:55" ht="46" x14ac:dyDescent="0.25">
      <c r="A623" s="82">
        <v>599</v>
      </c>
      <c r="B623" s="64" t="s">
        <v>1349</v>
      </c>
      <c r="C623" s="64">
        <v>1066970912</v>
      </c>
      <c r="D623" s="84" t="str">
        <f t="shared" si="10"/>
        <v>https://portal.dnb.de/opac.htm?method=simpleSearch&amp;cqlMode=true&amp;query=idn%3D1066970912</v>
      </c>
      <c r="E623" s="64" t="s">
        <v>1350</v>
      </c>
      <c r="F623" s="82" t="s">
        <v>89</v>
      </c>
      <c r="G623" s="85" t="s">
        <v>1585</v>
      </c>
      <c r="H623" s="82"/>
      <c r="I623" s="85" t="s">
        <v>90</v>
      </c>
      <c r="J623" s="85" t="s">
        <v>94</v>
      </c>
      <c r="K623" s="82"/>
      <c r="L623" s="82" t="s">
        <v>35</v>
      </c>
      <c r="M623" s="82" t="s">
        <v>37</v>
      </c>
      <c r="N623" s="82">
        <v>0</v>
      </c>
      <c r="O623" s="82"/>
      <c r="P623" s="82"/>
      <c r="Q623" s="82"/>
      <c r="R623" s="82"/>
      <c r="S623" s="97"/>
      <c r="T623" s="97"/>
      <c r="X623" s="94"/>
      <c r="Y623" s="95"/>
      <c r="Z623" s="95"/>
      <c r="AA623" s="94"/>
      <c r="AB623" s="94"/>
      <c r="AC623" s="94"/>
      <c r="AD623" s="94"/>
      <c r="AE623" s="94"/>
      <c r="AF623" s="94"/>
      <c r="AS623" s="94"/>
      <c r="AT623" s="94"/>
      <c r="AU623" s="94"/>
      <c r="AV623" s="94"/>
      <c r="BB623" s="108">
        <f>Schäden_Einband!X623+Schäden_Buchblock!AC623</f>
        <v>0</v>
      </c>
      <c r="BC623" s="95"/>
    </row>
    <row r="624" spans="1:55" ht="46" x14ac:dyDescent="0.25">
      <c r="A624" s="82">
        <v>600</v>
      </c>
      <c r="B624" s="64" t="s">
        <v>1351</v>
      </c>
      <c r="C624" s="64">
        <v>1066964793</v>
      </c>
      <c r="D624" s="84" t="str">
        <f t="shared" si="10"/>
        <v>https://portal.dnb.de/opac.htm?method=simpleSearch&amp;cqlMode=true&amp;query=idn%3D1066964793</v>
      </c>
      <c r="E624" s="64" t="s">
        <v>1352</v>
      </c>
      <c r="F624" s="82" t="s">
        <v>89</v>
      </c>
      <c r="G624" s="85" t="s">
        <v>1585</v>
      </c>
      <c r="H624" s="82" t="s">
        <v>51</v>
      </c>
      <c r="I624" s="85" t="s">
        <v>90</v>
      </c>
      <c r="J624" s="85" t="s">
        <v>1587</v>
      </c>
      <c r="K624" s="82" t="s">
        <v>67</v>
      </c>
      <c r="L624" s="82" t="s">
        <v>35</v>
      </c>
      <c r="M624" s="82" t="s">
        <v>37</v>
      </c>
      <c r="N624" s="82">
        <v>1</v>
      </c>
      <c r="O624" s="82"/>
      <c r="P624" s="82" t="s">
        <v>1695</v>
      </c>
      <c r="Q624" s="82"/>
      <c r="R624" s="82"/>
      <c r="S624" s="97"/>
      <c r="T624" s="97"/>
      <c r="X624" s="94"/>
      <c r="Y624" s="95"/>
      <c r="Z624" s="95"/>
      <c r="AA624" s="94"/>
      <c r="AB624" s="94"/>
      <c r="AC624" s="94"/>
      <c r="AD624" s="94"/>
      <c r="AE624" s="94"/>
      <c r="AF624" s="94"/>
      <c r="AS624" s="94"/>
      <c r="AT624" s="94"/>
      <c r="AU624" s="94"/>
      <c r="AV624" s="94"/>
      <c r="BB624" s="108">
        <f>Schäden_Einband!X624+Schäden_Buchblock!AC624</f>
        <v>0</v>
      </c>
      <c r="BC624" s="95"/>
    </row>
    <row r="625" spans="1:63" ht="23" x14ac:dyDescent="0.25">
      <c r="A625" s="82">
        <v>601</v>
      </c>
      <c r="B625" s="64" t="s">
        <v>1353</v>
      </c>
      <c r="C625" s="64">
        <v>1066967431</v>
      </c>
      <c r="D625" s="84" t="str">
        <f>HYPERLINK(CONCATENATE("https://portal.dnb.de/opac.htm?method=simpleSearch&amp;cqlMode=true&amp;query=idn%3D",C625))</f>
        <v>https://portal.dnb.de/opac.htm?method=simpleSearch&amp;cqlMode=true&amp;query=idn%3D1066967431</v>
      </c>
      <c r="E625" s="64" t="s">
        <v>1354</v>
      </c>
      <c r="F625" s="82" t="s">
        <v>89</v>
      </c>
      <c r="G625" s="85" t="s">
        <v>3</v>
      </c>
      <c r="H625" s="82" t="s">
        <v>51</v>
      </c>
      <c r="I625" s="85" t="s">
        <v>90</v>
      </c>
      <c r="J625" s="85" t="s">
        <v>1587</v>
      </c>
      <c r="K625" s="82" t="s">
        <v>67</v>
      </c>
      <c r="L625" s="82" t="s">
        <v>35</v>
      </c>
      <c r="M625" s="82" t="s">
        <v>37</v>
      </c>
      <c r="N625" s="82">
        <v>2</v>
      </c>
      <c r="O625" s="82"/>
      <c r="P625" s="82" t="s">
        <v>1696</v>
      </c>
      <c r="Q625" s="82"/>
      <c r="R625" s="82"/>
      <c r="S625" s="97"/>
      <c r="T625" s="97"/>
      <c r="X625" s="94"/>
      <c r="Y625" s="95"/>
      <c r="Z625" s="95"/>
      <c r="AA625" s="94"/>
      <c r="AB625" s="94"/>
      <c r="AC625" s="94"/>
      <c r="AD625" s="94"/>
      <c r="AE625" s="94"/>
      <c r="AF625" s="94"/>
      <c r="AS625" s="94"/>
      <c r="AT625" s="94"/>
      <c r="AU625" s="94"/>
      <c r="AV625" s="94"/>
      <c r="BB625" s="108">
        <f>Schäden_Einband!X625+Schäden_Buchblock!AC625</f>
        <v>0</v>
      </c>
      <c r="BC625" s="95"/>
    </row>
    <row r="626" spans="1:63" x14ac:dyDescent="0.25">
      <c r="A626" s="82">
        <v>602</v>
      </c>
      <c r="B626" s="64" t="s">
        <v>1355</v>
      </c>
      <c r="C626" s="64" t="s">
        <v>1356</v>
      </c>
      <c r="D626" s="84" t="str">
        <f t="shared" si="10"/>
        <v>https://portal.dnb.de/opac.htm?method=simpleSearch&amp;cqlMode=true&amp;query=idn%3D106696548X</v>
      </c>
      <c r="E626" s="64" t="s">
        <v>1357</v>
      </c>
      <c r="F626" s="82"/>
      <c r="G626" s="85"/>
      <c r="H626" s="82" t="s">
        <v>51</v>
      </c>
      <c r="I626" s="85"/>
      <c r="J626" s="85"/>
      <c r="K626" s="82"/>
      <c r="L626" s="82"/>
      <c r="M626" s="82"/>
      <c r="N626" s="82"/>
      <c r="O626" s="82"/>
      <c r="P626" s="82"/>
      <c r="Q626" s="82"/>
      <c r="R626" s="82"/>
      <c r="S626" s="97"/>
      <c r="T626" s="97"/>
      <c r="X626" s="94" t="s">
        <v>1722</v>
      </c>
      <c r="Y626" s="95"/>
      <c r="Z626" s="95"/>
      <c r="AA626" s="94" t="s">
        <v>1723</v>
      </c>
      <c r="AB626" s="94"/>
      <c r="AC626" s="94"/>
      <c r="AD626" s="94"/>
      <c r="AE626" s="94"/>
      <c r="AF626" s="94"/>
      <c r="AG626" s="93" t="s">
        <v>1724</v>
      </c>
      <c r="AS626" s="94"/>
      <c r="AT626" s="94"/>
      <c r="AU626" s="94">
        <v>110</v>
      </c>
      <c r="AV626" s="94"/>
      <c r="BA626" s="94" t="s">
        <v>1727</v>
      </c>
      <c r="BB626" s="108">
        <f>Schäden_Einband!X626+Schäden_Buchblock!AC626</f>
        <v>0</v>
      </c>
      <c r="BC626" s="95"/>
      <c r="BD626" s="93" t="s">
        <v>1951</v>
      </c>
    </row>
    <row r="627" spans="1:63" x14ac:dyDescent="0.25">
      <c r="A627" s="82">
        <v>603</v>
      </c>
      <c r="B627" s="64" t="s">
        <v>1358</v>
      </c>
      <c r="C627" s="64">
        <v>1066970831</v>
      </c>
      <c r="D627" s="84" t="str">
        <f t="shared" si="10"/>
        <v>https://portal.dnb.de/opac.htm?method=simpleSearch&amp;cqlMode=true&amp;query=idn%3D1066970831</v>
      </c>
      <c r="E627" s="64" t="s">
        <v>1359</v>
      </c>
      <c r="F627" s="82"/>
      <c r="G627" s="85"/>
      <c r="H627" s="82" t="s">
        <v>50</v>
      </c>
      <c r="I627" s="85"/>
      <c r="J627" s="85"/>
      <c r="K627" s="82"/>
      <c r="L627" s="82"/>
      <c r="M627" s="82"/>
      <c r="N627" s="82"/>
      <c r="O627" s="82"/>
      <c r="P627" s="82"/>
      <c r="Q627" s="82"/>
      <c r="R627" s="82"/>
      <c r="S627" s="97"/>
      <c r="T627" s="97"/>
      <c r="X627" s="94" t="s">
        <v>1739</v>
      </c>
      <c r="Y627" s="95" t="s">
        <v>1633</v>
      </c>
      <c r="Z627" s="95" t="s">
        <v>1633</v>
      </c>
      <c r="AA627" s="94" t="s">
        <v>1723</v>
      </c>
      <c r="AB627" s="94"/>
      <c r="AC627" s="94"/>
      <c r="AD627" s="94"/>
      <c r="AE627" s="94"/>
      <c r="AF627" s="94"/>
      <c r="AG627" s="93" t="s">
        <v>1724</v>
      </c>
      <c r="AH627" s="93" t="s">
        <v>1633</v>
      </c>
      <c r="AS627" s="94"/>
      <c r="AT627" s="94"/>
      <c r="AU627" s="94">
        <v>110</v>
      </c>
      <c r="AV627" s="94"/>
      <c r="BA627" s="94" t="s">
        <v>1727</v>
      </c>
      <c r="BB627" s="108">
        <f>Schäden_Einband!X627+Schäden_Buchblock!AC627</f>
        <v>0</v>
      </c>
      <c r="BC627" s="95"/>
      <c r="BD627" s="93" t="s">
        <v>1951</v>
      </c>
      <c r="BK627" s="63" t="s">
        <v>1952</v>
      </c>
    </row>
    <row r="628" spans="1:63" x14ac:dyDescent="0.25">
      <c r="A628" s="82">
        <v>604</v>
      </c>
      <c r="B628" s="64" t="s">
        <v>1360</v>
      </c>
      <c r="C628" s="64">
        <v>1066968098</v>
      </c>
      <c r="D628" s="84" t="str">
        <f t="shared" si="10"/>
        <v>https://portal.dnb.de/opac.htm?method=simpleSearch&amp;cqlMode=true&amp;query=idn%3D1066968098</v>
      </c>
      <c r="E628" s="64" t="s">
        <v>1361</v>
      </c>
      <c r="F628" s="82"/>
      <c r="G628" s="85"/>
      <c r="H628" s="82" t="s">
        <v>50</v>
      </c>
      <c r="I628" s="85"/>
      <c r="J628" s="85"/>
      <c r="K628" s="82"/>
      <c r="L628" s="82"/>
      <c r="M628" s="82"/>
      <c r="N628" s="82"/>
      <c r="O628" s="82"/>
      <c r="P628" s="82"/>
      <c r="Q628" s="82"/>
      <c r="R628" s="82"/>
      <c r="S628" s="97"/>
      <c r="T628" s="97"/>
      <c r="X628" s="94" t="s">
        <v>1811</v>
      </c>
      <c r="Y628" s="95"/>
      <c r="Z628" s="95"/>
      <c r="AA628" s="94" t="s">
        <v>1738</v>
      </c>
      <c r="AB628" s="94"/>
      <c r="AC628" s="94"/>
      <c r="AD628" s="94"/>
      <c r="AE628" s="94"/>
      <c r="AF628" s="94"/>
      <c r="AG628" s="93" t="s">
        <v>1724</v>
      </c>
      <c r="AS628" s="94"/>
      <c r="AT628" s="94"/>
      <c r="AU628" s="94">
        <v>60</v>
      </c>
      <c r="AV628" s="94"/>
      <c r="BA628" s="94" t="s">
        <v>1733</v>
      </c>
      <c r="BB628" s="108">
        <f>Schäden_Einband!X628+Schäden_Buchblock!AC628</f>
        <v>3.5</v>
      </c>
      <c r="BC628" s="95"/>
      <c r="BD628" s="93" t="s">
        <v>1951</v>
      </c>
    </row>
    <row r="629" spans="1:63" x14ac:dyDescent="0.25">
      <c r="A629" s="82">
        <v>605</v>
      </c>
      <c r="B629" s="64" t="s">
        <v>1362</v>
      </c>
      <c r="C629" s="64">
        <v>1066970807</v>
      </c>
      <c r="D629" s="84" t="str">
        <f t="shared" si="10"/>
        <v>https://portal.dnb.de/opac.htm?method=simpleSearch&amp;cqlMode=true&amp;query=idn%3D1066970807</v>
      </c>
      <c r="E629" s="64" t="s">
        <v>1363</v>
      </c>
      <c r="F629" s="82"/>
      <c r="G629" s="85"/>
      <c r="H629" s="82" t="s">
        <v>51</v>
      </c>
      <c r="I629" s="85"/>
      <c r="J629" s="85"/>
      <c r="K629" s="82"/>
      <c r="L629" s="82"/>
      <c r="M629" s="82"/>
      <c r="N629" s="82"/>
      <c r="O629" s="82"/>
      <c r="P629" s="82"/>
      <c r="Q629" s="82"/>
      <c r="R629" s="82"/>
      <c r="S629" s="97"/>
      <c r="T629" s="97"/>
      <c r="X629" s="94" t="s">
        <v>1811</v>
      </c>
      <c r="Y629" s="95" t="s">
        <v>1633</v>
      </c>
      <c r="Z629" s="95"/>
      <c r="AA629" s="94" t="s">
        <v>1723</v>
      </c>
      <c r="AB629" s="94"/>
      <c r="AC629" s="94"/>
      <c r="AD629" s="94"/>
      <c r="AE629" s="94"/>
      <c r="AF629" s="94"/>
      <c r="AG629" s="93" t="s">
        <v>1724</v>
      </c>
      <c r="AS629" s="94"/>
      <c r="AT629" s="94"/>
      <c r="AU629" s="94">
        <v>110</v>
      </c>
      <c r="AV629" s="94"/>
      <c r="BA629" s="94" t="s">
        <v>1727</v>
      </c>
      <c r="BB629" s="108">
        <f>Schäden_Einband!X629+Schäden_Buchblock!AC629</f>
        <v>0</v>
      </c>
      <c r="BC629" s="95"/>
      <c r="BD629" s="93" t="s">
        <v>1951</v>
      </c>
    </row>
    <row r="630" spans="1:63" x14ac:dyDescent="0.25">
      <c r="A630" s="82">
        <v>606</v>
      </c>
      <c r="B630" s="64" t="s">
        <v>1364</v>
      </c>
      <c r="C630" s="64">
        <v>1066968179</v>
      </c>
      <c r="D630" s="84" t="str">
        <f t="shared" si="10"/>
        <v>https://portal.dnb.de/opac.htm?method=simpleSearch&amp;cqlMode=true&amp;query=idn%3D1066968179</v>
      </c>
      <c r="E630" s="64" t="s">
        <v>1365</v>
      </c>
      <c r="F630" s="82"/>
      <c r="G630" s="85"/>
      <c r="H630" s="82" t="s">
        <v>50</v>
      </c>
      <c r="I630" s="85"/>
      <c r="J630" s="85"/>
      <c r="K630" s="82"/>
      <c r="L630" s="82"/>
      <c r="M630" s="82"/>
      <c r="N630" s="82"/>
      <c r="O630" s="82"/>
      <c r="P630" s="82"/>
      <c r="Q630" s="82"/>
      <c r="R630" s="82"/>
      <c r="S630" s="97"/>
      <c r="T630" s="97"/>
      <c r="X630" s="94" t="s">
        <v>1728</v>
      </c>
      <c r="Y630" s="95" t="s">
        <v>1633</v>
      </c>
      <c r="Z630" s="95"/>
      <c r="AA630" s="94" t="s">
        <v>1723</v>
      </c>
      <c r="AB630" s="94"/>
      <c r="AC630" s="94"/>
      <c r="AD630" s="94"/>
      <c r="AE630" s="94"/>
      <c r="AF630" s="94"/>
      <c r="AG630" s="93" t="s">
        <v>1724</v>
      </c>
      <c r="AH630" s="93" t="s">
        <v>1633</v>
      </c>
      <c r="AS630" s="94"/>
      <c r="AT630" s="94"/>
      <c r="AU630" s="94">
        <v>110</v>
      </c>
      <c r="AV630" s="94"/>
      <c r="BA630" s="94" t="s">
        <v>1727</v>
      </c>
      <c r="BB630" s="108">
        <f>Schäden_Einband!X630+Schäden_Buchblock!AC630</f>
        <v>0</v>
      </c>
      <c r="BC630" s="95"/>
      <c r="BD630" s="93" t="s">
        <v>1951</v>
      </c>
    </row>
    <row r="631" spans="1:63" x14ac:dyDescent="0.25">
      <c r="A631" s="82">
        <v>607</v>
      </c>
      <c r="B631" s="64" t="s">
        <v>1366</v>
      </c>
      <c r="C631" s="64">
        <v>1066969655</v>
      </c>
      <c r="D631" s="84" t="str">
        <f t="shared" si="10"/>
        <v>https://portal.dnb.de/opac.htm?method=simpleSearch&amp;cqlMode=true&amp;query=idn%3D1066969655</v>
      </c>
      <c r="E631" s="64" t="s">
        <v>1367</v>
      </c>
      <c r="F631" s="82"/>
      <c r="G631" s="85"/>
      <c r="H631" s="82" t="s">
        <v>50</v>
      </c>
      <c r="I631" s="85"/>
      <c r="J631" s="85"/>
      <c r="K631" s="82"/>
      <c r="L631" s="82"/>
      <c r="M631" s="82"/>
      <c r="N631" s="82"/>
      <c r="O631" s="82"/>
      <c r="P631" s="82"/>
      <c r="Q631" s="82"/>
      <c r="R631" s="82"/>
      <c r="S631" s="97"/>
      <c r="T631" s="97"/>
      <c r="X631" s="94" t="s">
        <v>1728</v>
      </c>
      <c r="Y631" s="95" t="s">
        <v>1633</v>
      </c>
      <c r="Z631" s="95"/>
      <c r="AA631" s="94" t="s">
        <v>1758</v>
      </c>
      <c r="AB631" s="94"/>
      <c r="AC631" s="94"/>
      <c r="AD631" s="94"/>
      <c r="AE631" s="94"/>
      <c r="AF631" s="94"/>
      <c r="AG631" s="93" t="s">
        <v>1724</v>
      </c>
      <c r="AH631" s="93" t="s">
        <v>1633</v>
      </c>
      <c r="AS631" s="94"/>
      <c r="AT631" s="94"/>
      <c r="AU631" s="94">
        <v>110</v>
      </c>
      <c r="AV631" s="94"/>
      <c r="BA631" s="94" t="s">
        <v>1727</v>
      </c>
      <c r="BB631" s="108">
        <f>Schäden_Einband!X631+Schäden_Buchblock!AC631</f>
        <v>0</v>
      </c>
      <c r="BC631" s="95"/>
      <c r="BD631" s="93" t="s">
        <v>1951</v>
      </c>
      <c r="BJ631" s="81" t="s">
        <v>1955</v>
      </c>
      <c r="BK631" s="63" t="s">
        <v>1952</v>
      </c>
    </row>
    <row r="632" spans="1:63" x14ac:dyDescent="0.25">
      <c r="A632" s="82">
        <v>608</v>
      </c>
      <c r="B632" s="64" t="s">
        <v>1368</v>
      </c>
      <c r="C632" s="64">
        <v>1036843505</v>
      </c>
      <c r="D632" s="84" t="str">
        <f t="shared" si="10"/>
        <v>https://portal.dnb.de/opac.htm?method=simpleSearch&amp;cqlMode=true&amp;query=idn%3D1036843505</v>
      </c>
      <c r="E632" s="64" t="s">
        <v>1369</v>
      </c>
      <c r="F632" s="82"/>
      <c r="G632" s="85"/>
      <c r="H632" s="82" t="s">
        <v>50</v>
      </c>
      <c r="I632" s="85"/>
      <c r="J632" s="85"/>
      <c r="K632" s="82"/>
      <c r="L632" s="82"/>
      <c r="M632" s="82"/>
      <c r="N632" s="82"/>
      <c r="O632" s="82"/>
      <c r="P632" s="82"/>
      <c r="Q632" s="82"/>
      <c r="R632" s="82"/>
      <c r="S632" s="97"/>
      <c r="T632" s="97"/>
      <c r="X632" s="94" t="s">
        <v>1730</v>
      </c>
      <c r="Y632" s="95"/>
      <c r="Z632" s="95"/>
      <c r="AA632" s="94" t="s">
        <v>1737</v>
      </c>
      <c r="AB632" s="94"/>
      <c r="AC632" s="94"/>
      <c r="AD632" s="94"/>
      <c r="AE632" s="94"/>
      <c r="AF632" s="94"/>
      <c r="AG632" s="93" t="s">
        <v>1724</v>
      </c>
      <c r="AQ632" s="93" t="s">
        <v>1754</v>
      </c>
      <c r="AR632" s="93" t="s">
        <v>1633</v>
      </c>
      <c r="AS632" s="94"/>
      <c r="AT632" s="94"/>
      <c r="AU632" s="94">
        <v>110</v>
      </c>
      <c r="AV632" s="94"/>
      <c r="BA632" s="94" t="s">
        <v>1727</v>
      </c>
      <c r="BB632" s="108">
        <f>Schäden_Einband!X632+Schäden_Buchblock!AC632</f>
        <v>0</v>
      </c>
      <c r="BC632" s="95"/>
      <c r="BD632" s="93" t="s">
        <v>1951</v>
      </c>
      <c r="BJ632" s="81" t="s">
        <v>1955</v>
      </c>
      <c r="BK632" s="63" t="s">
        <v>1952</v>
      </c>
    </row>
    <row r="633" spans="1:63" x14ac:dyDescent="0.25">
      <c r="A633" s="82">
        <v>609</v>
      </c>
      <c r="B633" s="64" t="s">
        <v>1370</v>
      </c>
      <c r="C633" s="64">
        <v>1036845559</v>
      </c>
      <c r="D633" s="84" t="str">
        <f t="shared" si="10"/>
        <v>https://portal.dnb.de/opac.htm?method=simpleSearch&amp;cqlMode=true&amp;query=idn%3D1036845559</v>
      </c>
      <c r="E633" s="64" t="s">
        <v>1371</v>
      </c>
      <c r="F633" s="82"/>
      <c r="G633" s="85"/>
      <c r="H633" s="82"/>
      <c r="I633" s="85"/>
      <c r="J633" s="85"/>
      <c r="K633" s="82"/>
      <c r="L633" s="82"/>
      <c r="M633" s="82"/>
      <c r="N633" s="82"/>
      <c r="O633" s="82"/>
      <c r="P633" s="82"/>
      <c r="Q633" s="82"/>
      <c r="R633" s="82"/>
      <c r="S633" s="97"/>
      <c r="T633" s="97"/>
      <c r="X633" s="94"/>
      <c r="Y633" s="95"/>
      <c r="Z633" s="95"/>
      <c r="AA633" s="94"/>
      <c r="AB633" s="94"/>
      <c r="AC633" s="94"/>
      <c r="AD633" s="94"/>
      <c r="AE633" s="94"/>
      <c r="AF633" s="94"/>
      <c r="AS633" s="94"/>
      <c r="AT633" s="94"/>
      <c r="AU633" s="94"/>
      <c r="AV633" s="94"/>
      <c r="BB633" s="108">
        <f>Schäden_Einband!X633+Schäden_Buchblock!AC633</f>
        <v>0</v>
      </c>
      <c r="BC633" s="95"/>
    </row>
    <row r="634" spans="1:63" x14ac:dyDescent="0.25">
      <c r="A634" s="82">
        <v>610</v>
      </c>
      <c r="B634" s="64" t="s">
        <v>1372</v>
      </c>
      <c r="C634" s="64">
        <v>1066967768</v>
      </c>
      <c r="D634" s="84" t="str">
        <f t="shared" si="10"/>
        <v>https://portal.dnb.de/opac.htm?method=simpleSearch&amp;cqlMode=true&amp;query=idn%3D1066967768</v>
      </c>
      <c r="E634" s="64" t="s">
        <v>1373</v>
      </c>
      <c r="F634" s="82"/>
      <c r="G634" s="85"/>
      <c r="H634" s="82" t="s">
        <v>51</v>
      </c>
      <c r="I634" s="85"/>
      <c r="J634" s="85"/>
      <c r="K634" s="82"/>
      <c r="L634" s="82"/>
      <c r="M634" s="82"/>
      <c r="N634" s="82"/>
      <c r="O634" s="82"/>
      <c r="P634" s="82"/>
      <c r="Q634" s="82"/>
      <c r="R634" s="82"/>
      <c r="S634" s="97"/>
      <c r="T634" s="97"/>
      <c r="X634" s="94" t="s">
        <v>1728</v>
      </c>
      <c r="Y634" s="95" t="s">
        <v>1633</v>
      </c>
      <c r="Z634" s="95"/>
      <c r="AA634" s="94" t="s">
        <v>1723</v>
      </c>
      <c r="AB634" s="94"/>
      <c r="AC634" s="94"/>
      <c r="AD634" s="94"/>
      <c r="AE634" s="94"/>
      <c r="AF634" s="94"/>
      <c r="AG634" s="93" t="s">
        <v>1724</v>
      </c>
      <c r="AS634" s="94"/>
      <c r="AT634" s="94"/>
      <c r="AU634" s="94">
        <v>110</v>
      </c>
      <c r="AV634" s="94"/>
      <c r="BA634" s="94" t="s">
        <v>1733</v>
      </c>
      <c r="BB634" s="108">
        <f>Schäden_Einband!X634+Schäden_Buchblock!AC634</f>
        <v>1</v>
      </c>
      <c r="BC634" s="95"/>
      <c r="BD634" s="93" t="s">
        <v>1951</v>
      </c>
      <c r="BK634" s="63" t="s">
        <v>1952</v>
      </c>
    </row>
    <row r="635" spans="1:63" x14ac:dyDescent="0.25">
      <c r="A635" s="82">
        <v>611</v>
      </c>
      <c r="B635" s="64" t="s">
        <v>1374</v>
      </c>
      <c r="C635" s="64">
        <v>1066970475</v>
      </c>
      <c r="D635" s="84" t="str">
        <f t="shared" si="10"/>
        <v>https://portal.dnb.de/opac.htm?method=simpleSearch&amp;cqlMode=true&amp;query=idn%3D1066970475</v>
      </c>
      <c r="E635" s="64" t="s">
        <v>1375</v>
      </c>
      <c r="F635" s="82"/>
      <c r="G635" s="85"/>
      <c r="H635" s="82" t="s">
        <v>51</v>
      </c>
      <c r="I635" s="85"/>
      <c r="J635" s="85"/>
      <c r="K635" s="82"/>
      <c r="L635" s="82"/>
      <c r="M635" s="82"/>
      <c r="N635" s="82"/>
      <c r="O635" s="82"/>
      <c r="P635" s="82"/>
      <c r="Q635" s="82"/>
      <c r="R635" s="82"/>
      <c r="S635" s="97"/>
      <c r="T635" s="97"/>
      <c r="X635" s="94" t="s">
        <v>1728</v>
      </c>
      <c r="Y635" s="95" t="s">
        <v>1633</v>
      </c>
      <c r="Z635" s="95"/>
      <c r="AA635" s="94" t="s">
        <v>1723</v>
      </c>
      <c r="AB635" s="94"/>
      <c r="AC635" s="94"/>
      <c r="AD635" s="94"/>
      <c r="AE635" s="94"/>
      <c r="AF635" s="94"/>
      <c r="AG635" s="93" t="s">
        <v>1724</v>
      </c>
      <c r="AS635" s="94"/>
      <c r="AT635" s="94"/>
      <c r="AU635" s="94">
        <v>110</v>
      </c>
      <c r="AV635" s="94"/>
      <c r="BA635" s="94" t="s">
        <v>1727</v>
      </c>
      <c r="BB635" s="108">
        <f>Schäden_Einband!X635+Schäden_Buchblock!AC635</f>
        <v>0</v>
      </c>
      <c r="BC635" s="95"/>
      <c r="BD635" s="93" t="s">
        <v>1951</v>
      </c>
    </row>
    <row r="636" spans="1:63" x14ac:dyDescent="0.25">
      <c r="A636" s="82">
        <v>612</v>
      </c>
      <c r="B636" s="64" t="s">
        <v>1376</v>
      </c>
      <c r="C636" s="64">
        <v>1066966478</v>
      </c>
      <c r="D636" s="84" t="str">
        <f t="shared" si="10"/>
        <v>https://portal.dnb.de/opac.htm?method=simpleSearch&amp;cqlMode=true&amp;query=idn%3D1066966478</v>
      </c>
      <c r="E636" s="64" t="s">
        <v>1377</v>
      </c>
      <c r="F636" s="82"/>
      <c r="G636" s="85"/>
      <c r="H636" s="82"/>
      <c r="I636" s="85"/>
      <c r="J636" s="85"/>
      <c r="K636" s="82"/>
      <c r="L636" s="82"/>
      <c r="M636" s="82"/>
      <c r="N636" s="82"/>
      <c r="O636" s="82"/>
      <c r="P636" s="82"/>
      <c r="Q636" s="82"/>
      <c r="R636" s="82"/>
      <c r="S636" s="97"/>
      <c r="T636" s="97"/>
      <c r="X636" s="94"/>
      <c r="Y636" s="95"/>
      <c r="Z636" s="95"/>
      <c r="AA636" s="94"/>
      <c r="AB636" s="94"/>
      <c r="AC636" s="94"/>
      <c r="AD636" s="94"/>
      <c r="AE636" s="94"/>
      <c r="AF636" s="94"/>
      <c r="AS636" s="94"/>
      <c r="AT636" s="94"/>
      <c r="AU636" s="94"/>
      <c r="AV636" s="94"/>
      <c r="BB636" s="108">
        <f>Schäden_Einband!X636+Schäden_Buchblock!AC636</f>
        <v>0</v>
      </c>
      <c r="BC636" s="95"/>
    </row>
    <row r="637" spans="1:63" x14ac:dyDescent="0.25">
      <c r="A637" s="82">
        <v>613</v>
      </c>
      <c r="B637" s="64" t="s">
        <v>1378</v>
      </c>
      <c r="C637" s="64">
        <v>1066968675</v>
      </c>
      <c r="D637" s="84" t="str">
        <f t="shared" si="10"/>
        <v>https://portal.dnb.de/opac.htm?method=simpleSearch&amp;cqlMode=true&amp;query=idn%3D1066968675</v>
      </c>
      <c r="E637" s="64" t="s">
        <v>1379</v>
      </c>
      <c r="F637" s="82"/>
      <c r="G637" s="85"/>
      <c r="H637" s="82"/>
      <c r="I637" s="85"/>
      <c r="J637" s="85"/>
      <c r="K637" s="82"/>
      <c r="L637" s="82"/>
      <c r="M637" s="82"/>
      <c r="N637" s="82"/>
      <c r="O637" s="82"/>
      <c r="P637" s="82"/>
      <c r="Q637" s="82"/>
      <c r="R637" s="82"/>
      <c r="S637" s="97"/>
      <c r="T637" s="97"/>
      <c r="X637" s="94"/>
      <c r="Y637" s="95"/>
      <c r="Z637" s="95"/>
      <c r="AA637" s="94"/>
      <c r="AB637" s="94"/>
      <c r="AC637" s="94"/>
      <c r="AD637" s="94"/>
      <c r="AE637" s="94"/>
      <c r="AF637" s="94"/>
      <c r="AS637" s="94"/>
      <c r="AT637" s="94"/>
      <c r="AU637" s="94"/>
      <c r="AV637" s="94"/>
      <c r="BB637" s="108">
        <f>Schäden_Einband!X637+Schäden_Buchblock!AC637</f>
        <v>0</v>
      </c>
      <c r="BC637" s="95"/>
    </row>
    <row r="638" spans="1:63" x14ac:dyDescent="0.25">
      <c r="A638" s="82">
        <v>614</v>
      </c>
      <c r="B638" s="64" t="s">
        <v>1380</v>
      </c>
      <c r="C638" s="64">
        <v>1072379198</v>
      </c>
      <c r="D638" s="84" t="str">
        <f t="shared" si="10"/>
        <v>https://portal.dnb.de/opac.htm?method=simpleSearch&amp;cqlMode=true&amp;query=idn%3D1072379198</v>
      </c>
      <c r="E638" s="64" t="s">
        <v>1381</v>
      </c>
      <c r="F638" s="82"/>
      <c r="G638" s="85"/>
      <c r="H638" s="82" t="s">
        <v>51</v>
      </c>
      <c r="I638" s="85"/>
      <c r="J638" s="85"/>
      <c r="K638" s="82"/>
      <c r="L638" s="82"/>
      <c r="M638" s="82"/>
      <c r="N638" s="82"/>
      <c r="O638" s="82"/>
      <c r="P638" s="82"/>
      <c r="Q638" s="82"/>
      <c r="R638" s="82"/>
      <c r="S638" s="97"/>
      <c r="T638" s="97"/>
      <c r="X638" s="94" t="s">
        <v>1728</v>
      </c>
      <c r="Y638" s="95" t="s">
        <v>1633</v>
      </c>
      <c r="Z638" s="95"/>
      <c r="AA638" s="94" t="s">
        <v>1742</v>
      </c>
      <c r="AB638" s="94"/>
      <c r="AC638" s="94"/>
      <c r="AD638" s="94"/>
      <c r="AE638" s="94"/>
      <c r="AF638" s="94"/>
      <c r="AG638" s="93" t="s">
        <v>1724</v>
      </c>
      <c r="AS638" s="94"/>
      <c r="AT638" s="94"/>
      <c r="AU638" s="94">
        <v>60</v>
      </c>
      <c r="AV638" s="94"/>
      <c r="BA638" s="94" t="s">
        <v>1733</v>
      </c>
      <c r="BB638" s="108">
        <f>Schäden_Einband!X638+Schäden_Buchblock!AC638</f>
        <v>1</v>
      </c>
      <c r="BC638" s="95"/>
      <c r="BD638" s="93" t="s">
        <v>1951</v>
      </c>
    </row>
    <row r="639" spans="1:63" x14ac:dyDescent="0.25">
      <c r="A639" s="82">
        <v>615</v>
      </c>
      <c r="B639" s="64" t="s">
        <v>1382</v>
      </c>
      <c r="C639" s="64">
        <v>1066971846</v>
      </c>
      <c r="D639" s="84" t="str">
        <f t="shared" si="10"/>
        <v>https://portal.dnb.de/opac.htm?method=simpleSearch&amp;cqlMode=true&amp;query=idn%3D1066971846</v>
      </c>
      <c r="E639" s="64" t="s">
        <v>1383</v>
      </c>
      <c r="F639" s="82"/>
      <c r="G639" s="85"/>
      <c r="H639" s="82"/>
      <c r="I639" s="85"/>
      <c r="J639" s="85"/>
      <c r="K639" s="82"/>
      <c r="L639" s="82"/>
      <c r="M639" s="82"/>
      <c r="N639" s="82"/>
      <c r="O639" s="82"/>
      <c r="P639" s="82"/>
      <c r="Q639" s="82"/>
      <c r="R639" s="82"/>
      <c r="S639" s="97"/>
      <c r="T639" s="97"/>
      <c r="X639" s="94"/>
      <c r="Y639" s="95"/>
      <c r="Z639" s="95"/>
      <c r="AA639" s="94"/>
      <c r="AB639" s="94"/>
      <c r="AC639" s="94"/>
      <c r="AD639" s="94"/>
      <c r="AE639" s="94"/>
      <c r="AF639" s="94"/>
      <c r="AS639" s="94"/>
      <c r="AT639" s="94"/>
      <c r="AU639" s="94"/>
      <c r="AV639" s="94"/>
      <c r="BB639" s="108">
        <f>Schäden_Einband!X639+Schäden_Buchblock!AC639</f>
        <v>0</v>
      </c>
      <c r="BC639" s="95"/>
    </row>
    <row r="640" spans="1:63" x14ac:dyDescent="0.25">
      <c r="A640" s="82">
        <v>616</v>
      </c>
      <c r="B640" s="64" t="s">
        <v>1384</v>
      </c>
      <c r="C640" s="64">
        <v>1066968268</v>
      </c>
      <c r="D640" s="84" t="str">
        <f t="shared" si="10"/>
        <v>https://portal.dnb.de/opac.htm?method=simpleSearch&amp;cqlMode=true&amp;query=idn%3D1066968268</v>
      </c>
      <c r="E640" s="64" t="s">
        <v>1385</v>
      </c>
      <c r="F640" s="82"/>
      <c r="G640" s="85"/>
      <c r="H640" s="82" t="s">
        <v>50</v>
      </c>
      <c r="I640" s="85"/>
      <c r="J640" s="85"/>
      <c r="K640" s="82"/>
      <c r="L640" s="82"/>
      <c r="M640" s="82"/>
      <c r="N640" s="82"/>
      <c r="O640" s="82"/>
      <c r="P640" s="82"/>
      <c r="Q640" s="82"/>
      <c r="R640" s="82"/>
      <c r="S640" s="97"/>
      <c r="T640" s="97"/>
      <c r="X640" s="94" t="s">
        <v>1741</v>
      </c>
      <c r="Y640" s="95" t="s">
        <v>1633</v>
      </c>
      <c r="Z640" s="95"/>
      <c r="AA640" s="94" t="s">
        <v>1742</v>
      </c>
      <c r="AB640" s="94"/>
      <c r="AC640" s="94"/>
      <c r="AD640" s="94"/>
      <c r="AE640" s="94"/>
      <c r="AF640" s="94"/>
      <c r="AG640" s="93" t="s">
        <v>1724</v>
      </c>
      <c r="AQ640" s="93" t="s">
        <v>1800</v>
      </c>
      <c r="AR640" s="93" t="s">
        <v>1633</v>
      </c>
      <c r="AS640" s="94"/>
      <c r="AT640" s="94"/>
      <c r="AU640" s="94">
        <v>60</v>
      </c>
      <c r="AV640" s="94"/>
      <c r="BA640" s="94" t="s">
        <v>1727</v>
      </c>
      <c r="BB640" s="108">
        <f>Schäden_Einband!X640+Schäden_Buchblock!AC640</f>
        <v>0</v>
      </c>
      <c r="BC640" s="95"/>
      <c r="BD640" s="93" t="s">
        <v>1951</v>
      </c>
      <c r="BJ640" s="81" t="s">
        <v>1955</v>
      </c>
    </row>
    <row r="641" spans="1:64" x14ac:dyDescent="0.25">
      <c r="A641" s="82">
        <v>617</v>
      </c>
      <c r="B641" s="64" t="s">
        <v>1386</v>
      </c>
      <c r="C641" s="64">
        <v>1072183919</v>
      </c>
      <c r="D641" s="84" t="str">
        <f t="shared" si="10"/>
        <v>https://portal.dnb.de/opac.htm?method=simpleSearch&amp;cqlMode=true&amp;query=idn%3D1072183919</v>
      </c>
      <c r="E641" s="64" t="s">
        <v>1387</v>
      </c>
      <c r="F641" s="82"/>
      <c r="G641" s="85"/>
      <c r="H641" s="82"/>
      <c r="I641" s="85"/>
      <c r="J641" s="85"/>
      <c r="K641" s="82"/>
      <c r="L641" s="82"/>
      <c r="M641" s="82"/>
      <c r="N641" s="82"/>
      <c r="O641" s="82"/>
      <c r="P641" s="82"/>
      <c r="Q641" s="82"/>
      <c r="R641" s="82"/>
      <c r="S641" s="97"/>
      <c r="T641" s="97"/>
      <c r="X641" s="94"/>
      <c r="Y641" s="95"/>
      <c r="Z641" s="95"/>
      <c r="AA641" s="94"/>
      <c r="AB641" s="94"/>
      <c r="AC641" s="94"/>
      <c r="AD641" s="94"/>
      <c r="AE641" s="94"/>
      <c r="AF641" s="94"/>
      <c r="AS641" s="94"/>
      <c r="AT641" s="94"/>
      <c r="AU641" s="94"/>
      <c r="AV641" s="94"/>
      <c r="BB641" s="108">
        <f>Schäden_Einband!X641+Schäden_Buchblock!AC641</f>
        <v>0</v>
      </c>
      <c r="BC641" s="95"/>
    </row>
    <row r="642" spans="1:64" ht="34.5" x14ac:dyDescent="0.25">
      <c r="A642" s="82">
        <v>618</v>
      </c>
      <c r="B642" s="64" t="s">
        <v>1388</v>
      </c>
      <c r="C642" s="64">
        <v>1066970947</v>
      </c>
      <c r="D642" s="84" t="str">
        <f t="shared" si="10"/>
        <v>https://portal.dnb.de/opac.htm?method=simpleSearch&amp;cqlMode=true&amp;query=idn%3D1066970947</v>
      </c>
      <c r="E642" s="64" t="s">
        <v>1389</v>
      </c>
      <c r="F642" s="82"/>
      <c r="G642" s="85"/>
      <c r="H642" s="82" t="s">
        <v>50</v>
      </c>
      <c r="I642" s="85"/>
      <c r="J642" s="85"/>
      <c r="K642" s="82"/>
      <c r="L642" s="82"/>
      <c r="M642" s="82"/>
      <c r="N642" s="82"/>
      <c r="O642" s="82"/>
      <c r="P642" s="82"/>
      <c r="Q642" s="82"/>
      <c r="R642" s="82"/>
      <c r="S642" s="97"/>
      <c r="T642" s="97"/>
      <c r="X642" s="94" t="s">
        <v>1741</v>
      </c>
      <c r="Y642" s="95" t="s">
        <v>1633</v>
      </c>
      <c r="Z642" s="95"/>
      <c r="AA642" s="94" t="s">
        <v>1742</v>
      </c>
      <c r="AB642" s="94"/>
      <c r="AC642" s="94" t="s">
        <v>1633</v>
      </c>
      <c r="AD642" s="94"/>
      <c r="AE642" s="94"/>
      <c r="AF642" s="94"/>
      <c r="AG642" s="93" t="s">
        <v>1724</v>
      </c>
      <c r="AQ642" s="93" t="s">
        <v>1729</v>
      </c>
      <c r="AR642" s="93" t="s">
        <v>1633</v>
      </c>
      <c r="AS642" s="94"/>
      <c r="AT642" s="94"/>
      <c r="AU642" s="94">
        <v>60</v>
      </c>
      <c r="AV642" s="94"/>
      <c r="BA642" s="94" t="s">
        <v>1733</v>
      </c>
      <c r="BB642" s="108">
        <f>Schäden_Einband!X642+Schäden_Buchblock!AC642</f>
        <v>2</v>
      </c>
      <c r="BC642" s="95"/>
      <c r="BD642" s="93" t="s">
        <v>1951</v>
      </c>
      <c r="BL642" s="81" t="s">
        <v>1958</v>
      </c>
    </row>
    <row r="643" spans="1:64" x14ac:dyDescent="0.25">
      <c r="A643" s="82">
        <v>619</v>
      </c>
      <c r="B643" s="64" t="s">
        <v>1390</v>
      </c>
      <c r="C643" s="64">
        <v>1066972702</v>
      </c>
      <c r="D643" s="84" t="str">
        <f t="shared" si="10"/>
        <v>https://portal.dnb.de/opac.htm?method=simpleSearch&amp;cqlMode=true&amp;query=idn%3D1066972702</v>
      </c>
      <c r="E643" s="64" t="s">
        <v>1391</v>
      </c>
      <c r="F643" s="82"/>
      <c r="G643" s="85"/>
      <c r="H643" s="82"/>
      <c r="I643" s="85"/>
      <c r="J643" s="85"/>
      <c r="K643" s="82"/>
      <c r="L643" s="82"/>
      <c r="M643" s="82"/>
      <c r="N643" s="82"/>
      <c r="O643" s="82"/>
      <c r="P643" s="82"/>
      <c r="Q643" s="82"/>
      <c r="R643" s="82"/>
      <c r="S643" s="97"/>
      <c r="T643" s="97"/>
      <c r="X643" s="94"/>
      <c r="Y643" s="95"/>
      <c r="Z643" s="95"/>
      <c r="AA643" s="94"/>
      <c r="AB643" s="94"/>
      <c r="AC643" s="94"/>
      <c r="AD643" s="94"/>
      <c r="AE643" s="94"/>
      <c r="AF643" s="94"/>
      <c r="AS643" s="94"/>
      <c r="AT643" s="94"/>
      <c r="AU643" s="94"/>
      <c r="AV643" s="94"/>
      <c r="BB643" s="108">
        <f>Schäden_Einband!X643+Schäden_Buchblock!AC643</f>
        <v>0</v>
      </c>
      <c r="BC643" s="95"/>
    </row>
    <row r="644" spans="1:64" x14ac:dyDescent="0.25">
      <c r="A644" s="82">
        <v>620</v>
      </c>
      <c r="B644" s="64" t="s">
        <v>1392</v>
      </c>
      <c r="C644" s="64">
        <v>1066972591</v>
      </c>
      <c r="D644" s="84" t="str">
        <f t="shared" si="10"/>
        <v>https://portal.dnb.de/opac.htm?method=simpleSearch&amp;cqlMode=true&amp;query=idn%3D1066972591</v>
      </c>
      <c r="E644" s="64" t="s">
        <v>1393</v>
      </c>
      <c r="F644" s="82"/>
      <c r="G644" s="85"/>
      <c r="H644" s="82" t="s">
        <v>51</v>
      </c>
      <c r="I644" s="85"/>
      <c r="J644" s="85"/>
      <c r="K644" s="82"/>
      <c r="L644" s="82"/>
      <c r="M644" s="82"/>
      <c r="N644" s="82"/>
      <c r="O644" s="82"/>
      <c r="P644" s="82"/>
      <c r="Q644" s="82"/>
      <c r="R644" s="82"/>
      <c r="S644" s="97"/>
      <c r="T644" s="97"/>
      <c r="X644" s="94" t="s">
        <v>1741</v>
      </c>
      <c r="Y644" s="95" t="s">
        <v>1633</v>
      </c>
      <c r="Z644" s="95"/>
      <c r="AA644" s="94" t="s">
        <v>1742</v>
      </c>
      <c r="AB644" s="94"/>
      <c r="AC644" s="94"/>
      <c r="AD644" s="94"/>
      <c r="AE644" s="94"/>
      <c r="AF644" s="94"/>
      <c r="AG644" s="93" t="s">
        <v>1724</v>
      </c>
      <c r="AQ644" s="93" t="s">
        <v>1729</v>
      </c>
      <c r="AR644" s="93" t="s">
        <v>1633</v>
      </c>
      <c r="AS644" s="94"/>
      <c r="AT644" s="94"/>
      <c r="AU644" s="94">
        <v>60</v>
      </c>
      <c r="AV644" s="94"/>
      <c r="BA644" s="94" t="s">
        <v>1727</v>
      </c>
      <c r="BB644" s="108">
        <f>Schäden_Einband!X644+Schäden_Buchblock!AC644</f>
        <v>0</v>
      </c>
      <c r="BC644" s="95"/>
      <c r="BD644" s="93" t="s">
        <v>1951</v>
      </c>
    </row>
    <row r="645" spans="1:64" x14ac:dyDescent="0.25">
      <c r="A645" s="82">
        <v>621</v>
      </c>
      <c r="B645" s="64" t="s">
        <v>1394</v>
      </c>
      <c r="C645" s="64" t="s">
        <v>1395</v>
      </c>
      <c r="D645" s="84" t="str">
        <f t="shared" si="10"/>
        <v>https://portal.dnb.de/opac.htm?method=simpleSearch&amp;cqlMode=true&amp;query=idn%3D107237935X</v>
      </c>
      <c r="E645" s="64" t="s">
        <v>1396</v>
      </c>
      <c r="F645" s="82"/>
      <c r="G645" s="85"/>
      <c r="H645" s="82"/>
      <c r="I645" s="85"/>
      <c r="J645" s="85"/>
      <c r="K645" s="82"/>
      <c r="L645" s="82"/>
      <c r="M645" s="82"/>
      <c r="N645" s="82"/>
      <c r="O645" s="82"/>
      <c r="P645" s="82"/>
      <c r="Q645" s="82"/>
      <c r="R645" s="82"/>
      <c r="S645" s="97"/>
      <c r="T645" s="97"/>
      <c r="X645" s="94"/>
      <c r="Y645" s="95"/>
      <c r="Z645" s="95"/>
      <c r="AA645" s="94"/>
      <c r="AB645" s="94"/>
      <c r="AC645" s="94"/>
      <c r="AD645" s="94"/>
      <c r="AE645" s="94"/>
      <c r="AF645" s="94"/>
      <c r="AS645" s="94"/>
      <c r="AT645" s="94"/>
      <c r="AU645" s="94"/>
      <c r="AV645" s="94"/>
      <c r="BB645" s="108">
        <f>Schäden_Einband!X645+Schäden_Buchblock!AC645</f>
        <v>0</v>
      </c>
      <c r="BC645" s="95"/>
    </row>
    <row r="646" spans="1:64" x14ac:dyDescent="0.25">
      <c r="A646" s="82">
        <v>622</v>
      </c>
      <c r="B646" s="64" t="s">
        <v>1397</v>
      </c>
      <c r="C646" s="64">
        <v>1032687681</v>
      </c>
      <c r="D646" s="84" t="str">
        <f t="shared" si="10"/>
        <v>https://portal.dnb.de/opac.htm?method=simpleSearch&amp;cqlMode=true&amp;query=idn%3D1032687681</v>
      </c>
      <c r="E646" s="64" t="s">
        <v>1398</v>
      </c>
      <c r="F646" s="82"/>
      <c r="G646" s="85"/>
      <c r="H646" s="82" t="s">
        <v>50</v>
      </c>
      <c r="I646" s="85"/>
      <c r="J646" s="85"/>
      <c r="K646" s="82"/>
      <c r="L646" s="82"/>
      <c r="M646" s="82"/>
      <c r="N646" s="82"/>
      <c r="O646" s="82"/>
      <c r="P646" s="82"/>
      <c r="Q646" s="82"/>
      <c r="R646" s="82"/>
      <c r="S646" s="97"/>
      <c r="T646" s="97"/>
      <c r="X646" s="94" t="s">
        <v>1739</v>
      </c>
      <c r="Y646" s="95"/>
      <c r="Z646" s="95"/>
      <c r="AA646" s="94" t="s">
        <v>1723</v>
      </c>
      <c r="AB646" s="94"/>
      <c r="AC646" s="94"/>
      <c r="AD646" s="94"/>
      <c r="AE646" s="94"/>
      <c r="AF646" s="94"/>
      <c r="AG646" s="93" t="s">
        <v>1724</v>
      </c>
      <c r="AS646" s="94"/>
      <c r="AT646" s="94"/>
      <c r="AU646" s="94">
        <v>180</v>
      </c>
      <c r="AV646" s="94"/>
      <c r="BA646" s="94" t="s">
        <v>1727</v>
      </c>
      <c r="BB646" s="108">
        <f>Schäden_Einband!X646+Schäden_Buchblock!AC646</f>
        <v>0</v>
      </c>
      <c r="BC646" s="95"/>
      <c r="BG646" s="93" t="s">
        <v>1633</v>
      </c>
    </row>
    <row r="647" spans="1:64" x14ac:dyDescent="0.25">
      <c r="A647" s="82">
        <v>623</v>
      </c>
      <c r="B647" s="64" t="s">
        <v>1399</v>
      </c>
      <c r="C647" s="64">
        <v>1066968594</v>
      </c>
      <c r="D647" s="84" t="str">
        <f t="shared" si="10"/>
        <v>https://portal.dnb.de/opac.htm?method=simpleSearch&amp;cqlMode=true&amp;query=idn%3D1066968594</v>
      </c>
      <c r="E647" s="64" t="s">
        <v>1400</v>
      </c>
      <c r="F647" s="82"/>
      <c r="G647" s="85"/>
      <c r="H647" s="82"/>
      <c r="I647" s="85"/>
      <c r="J647" s="85"/>
      <c r="K647" s="82"/>
      <c r="L647" s="82"/>
      <c r="M647" s="82"/>
      <c r="N647" s="82"/>
      <c r="O647" s="82"/>
      <c r="P647" s="82"/>
      <c r="Q647" s="82"/>
      <c r="R647" s="82"/>
      <c r="S647" s="97"/>
      <c r="T647" s="97"/>
      <c r="X647" s="94"/>
      <c r="Y647" s="95"/>
      <c r="Z647" s="95"/>
      <c r="AA647" s="94"/>
      <c r="AB647" s="94"/>
      <c r="AC647" s="94"/>
      <c r="AD647" s="94"/>
      <c r="AE647" s="94"/>
      <c r="AF647" s="94"/>
      <c r="AS647" s="94"/>
      <c r="AT647" s="94"/>
      <c r="AU647" s="94"/>
      <c r="AV647" s="94"/>
      <c r="BB647" s="108">
        <f>Schäden_Einband!X647+Schäden_Buchblock!AC647</f>
        <v>0</v>
      </c>
      <c r="BC647" s="95"/>
    </row>
    <row r="648" spans="1:64" x14ac:dyDescent="0.25">
      <c r="A648" s="82">
        <v>624</v>
      </c>
      <c r="B648" s="64" t="s">
        <v>1401</v>
      </c>
      <c r="C648" s="64">
        <v>1066968136</v>
      </c>
      <c r="D648" s="84" t="str">
        <f t="shared" si="10"/>
        <v>https://portal.dnb.de/opac.htm?method=simpleSearch&amp;cqlMode=true&amp;query=idn%3D1066968136</v>
      </c>
      <c r="E648" s="64" t="s">
        <v>1402</v>
      </c>
      <c r="F648" s="82"/>
      <c r="G648" s="85"/>
      <c r="H648" s="82"/>
      <c r="I648" s="85"/>
      <c r="J648" s="85"/>
      <c r="K648" s="82"/>
      <c r="L648" s="82"/>
      <c r="M648" s="82"/>
      <c r="N648" s="82"/>
      <c r="O648" s="82"/>
      <c r="P648" s="82"/>
      <c r="Q648" s="82"/>
      <c r="R648" s="82"/>
      <c r="S648" s="97"/>
      <c r="T648" s="97"/>
      <c r="X648" s="94"/>
      <c r="Y648" s="95"/>
      <c r="Z648" s="95"/>
      <c r="AA648" s="94"/>
      <c r="AB648" s="94"/>
      <c r="AC648" s="94"/>
      <c r="AD648" s="94"/>
      <c r="AE648" s="94"/>
      <c r="AF648" s="94"/>
      <c r="AS648" s="94"/>
      <c r="AT648" s="94"/>
      <c r="AU648" s="94"/>
      <c r="AV648" s="94"/>
      <c r="BB648" s="108">
        <f>Schäden_Einband!X648+Schäden_Buchblock!AC648</f>
        <v>0</v>
      </c>
      <c r="BC648" s="95"/>
    </row>
    <row r="649" spans="1:64" x14ac:dyDescent="0.25">
      <c r="A649" s="82">
        <v>625</v>
      </c>
      <c r="B649" s="64" t="s">
        <v>1403</v>
      </c>
      <c r="C649" s="64">
        <v>1066968594</v>
      </c>
      <c r="D649" s="84" t="str">
        <f t="shared" si="10"/>
        <v>https://portal.dnb.de/opac.htm?method=simpleSearch&amp;cqlMode=true&amp;query=idn%3D1066968594</v>
      </c>
      <c r="E649" s="64" t="s">
        <v>1404</v>
      </c>
      <c r="F649" s="82"/>
      <c r="G649" s="85"/>
      <c r="H649" s="82"/>
      <c r="I649" s="85"/>
      <c r="J649" s="85"/>
      <c r="K649" s="82"/>
      <c r="L649" s="82"/>
      <c r="M649" s="82"/>
      <c r="N649" s="82"/>
      <c r="O649" s="82"/>
      <c r="P649" s="82"/>
      <c r="Q649" s="82"/>
      <c r="R649" s="82"/>
      <c r="S649" s="97"/>
      <c r="T649" s="97"/>
      <c r="X649" s="94"/>
      <c r="Y649" s="95"/>
      <c r="Z649" s="95"/>
      <c r="AA649" s="94"/>
      <c r="AB649" s="94"/>
      <c r="AC649" s="94"/>
      <c r="AD649" s="94"/>
      <c r="AE649" s="94"/>
      <c r="AF649" s="94"/>
      <c r="AS649" s="94"/>
      <c r="AT649" s="94"/>
      <c r="AU649" s="94"/>
      <c r="AV649" s="94"/>
      <c r="BB649" s="108">
        <f>Schäden_Einband!X649+Schäden_Buchblock!AC649</f>
        <v>0</v>
      </c>
      <c r="BC649" s="95"/>
    </row>
    <row r="650" spans="1:64" x14ac:dyDescent="0.25">
      <c r="A650" s="82">
        <v>626</v>
      </c>
      <c r="B650" s="64" t="s">
        <v>1405</v>
      </c>
      <c r="C650" s="64" t="s">
        <v>1406</v>
      </c>
      <c r="D650" s="84" t="str">
        <f t="shared" si="10"/>
        <v>https://portal.dnb.de/opac.htm?method=simpleSearch&amp;cqlMode=true&amp;query=idn%3D106696825X</v>
      </c>
      <c r="E650" s="64" t="s">
        <v>1407</v>
      </c>
      <c r="F650" s="82"/>
      <c r="G650" s="85"/>
      <c r="H650" s="82"/>
      <c r="I650" s="85"/>
      <c r="J650" s="85"/>
      <c r="K650" s="82"/>
      <c r="L650" s="82"/>
      <c r="M650" s="82"/>
      <c r="N650" s="82"/>
      <c r="O650" s="82"/>
      <c r="P650" s="82"/>
      <c r="Q650" s="82"/>
      <c r="R650" s="82"/>
      <c r="S650" s="97"/>
      <c r="T650" s="97"/>
      <c r="X650" s="94"/>
      <c r="Y650" s="95"/>
      <c r="Z650" s="95"/>
      <c r="AA650" s="94"/>
      <c r="AB650" s="94"/>
      <c r="AC650" s="94"/>
      <c r="AD650" s="94"/>
      <c r="AE650" s="94"/>
      <c r="AF650" s="94"/>
      <c r="AS650" s="94"/>
      <c r="AT650" s="94"/>
      <c r="AU650" s="94"/>
      <c r="AV650" s="94"/>
      <c r="BB650" s="108">
        <f>Schäden_Einband!X650+Schäden_Buchblock!AC650</f>
        <v>0</v>
      </c>
      <c r="BC650" s="95"/>
    </row>
    <row r="651" spans="1:64" x14ac:dyDescent="0.25">
      <c r="A651" s="82">
        <v>627</v>
      </c>
      <c r="B651" s="64" t="s">
        <v>1408</v>
      </c>
      <c r="C651" s="64">
        <v>1066968853</v>
      </c>
      <c r="D651" s="84" t="str">
        <f t="shared" si="10"/>
        <v>https://portal.dnb.de/opac.htm?method=simpleSearch&amp;cqlMode=true&amp;query=idn%3D1066968853</v>
      </c>
      <c r="E651" s="64" t="s">
        <v>1409</v>
      </c>
      <c r="F651" s="82"/>
      <c r="G651" s="85"/>
      <c r="H651" s="82"/>
      <c r="I651" s="85"/>
      <c r="J651" s="85"/>
      <c r="K651" s="82"/>
      <c r="L651" s="82"/>
      <c r="M651" s="82"/>
      <c r="N651" s="82"/>
      <c r="O651" s="82"/>
      <c r="P651" s="82"/>
      <c r="Q651" s="82"/>
      <c r="R651" s="82"/>
      <c r="S651" s="97"/>
      <c r="T651" s="97"/>
      <c r="X651" s="94"/>
      <c r="Y651" s="95"/>
      <c r="Z651" s="95"/>
      <c r="AA651" s="94"/>
      <c r="AB651" s="94"/>
      <c r="AC651" s="94"/>
      <c r="AD651" s="94"/>
      <c r="AE651" s="94"/>
      <c r="AF651" s="94"/>
      <c r="AS651" s="94"/>
      <c r="AT651" s="94"/>
      <c r="AU651" s="94"/>
      <c r="AV651" s="94"/>
      <c r="BB651" s="108">
        <f>Schäden_Einband!X651+Schäden_Buchblock!AC651</f>
        <v>0</v>
      </c>
      <c r="BC651" s="95"/>
    </row>
    <row r="652" spans="1:64" x14ac:dyDescent="0.25">
      <c r="A652" s="82">
        <v>628</v>
      </c>
      <c r="B652" s="64" t="s">
        <v>1410</v>
      </c>
      <c r="C652" s="64">
        <v>1066972737</v>
      </c>
      <c r="D652" s="84" t="str">
        <f t="shared" si="10"/>
        <v>https://portal.dnb.de/opac.htm?method=simpleSearch&amp;cqlMode=true&amp;query=idn%3D1066972737</v>
      </c>
      <c r="E652" s="64" t="s">
        <v>1411</v>
      </c>
      <c r="F652" s="82"/>
      <c r="G652" s="85"/>
      <c r="H652" s="82" t="s">
        <v>51</v>
      </c>
      <c r="I652" s="85"/>
      <c r="J652" s="85"/>
      <c r="K652" s="82"/>
      <c r="L652" s="82"/>
      <c r="M652" s="82"/>
      <c r="N652" s="82"/>
      <c r="O652" s="82"/>
      <c r="P652" s="82"/>
      <c r="Q652" s="82"/>
      <c r="R652" s="82"/>
      <c r="S652" s="97"/>
      <c r="T652" s="97"/>
      <c r="X652" s="94" t="s">
        <v>1741</v>
      </c>
      <c r="Y652" s="95" t="s">
        <v>1633</v>
      </c>
      <c r="Z652" s="95"/>
      <c r="AA652" s="94" t="s">
        <v>1742</v>
      </c>
      <c r="AB652" s="94"/>
      <c r="AC652" s="94"/>
      <c r="AD652" s="94"/>
      <c r="AE652" s="94"/>
      <c r="AF652" s="94"/>
      <c r="AG652" s="93" t="s">
        <v>1724</v>
      </c>
      <c r="AQ652" s="93" t="s">
        <v>1729</v>
      </c>
      <c r="AR652" s="93" t="s">
        <v>1633</v>
      </c>
      <c r="AS652" s="94"/>
      <c r="AT652" s="94"/>
      <c r="AU652" s="94">
        <v>45</v>
      </c>
      <c r="AV652" s="94"/>
      <c r="BA652" s="94" t="s">
        <v>1733</v>
      </c>
      <c r="BB652" s="108">
        <f>Schäden_Einband!X652+Schäden_Buchblock!AC652</f>
        <v>0.5</v>
      </c>
      <c r="BC652" s="95"/>
      <c r="BD652" s="93" t="s">
        <v>1951</v>
      </c>
    </row>
    <row r="653" spans="1:64" x14ac:dyDescent="0.25">
      <c r="A653" s="82">
        <v>629</v>
      </c>
      <c r="B653" s="64" t="s">
        <v>1412</v>
      </c>
      <c r="C653" s="64">
        <v>1066968780</v>
      </c>
      <c r="D653" s="84" t="str">
        <f t="shared" si="10"/>
        <v>https://portal.dnb.de/opac.htm?method=simpleSearch&amp;cqlMode=true&amp;query=idn%3D1066968780</v>
      </c>
      <c r="E653" s="64" t="s">
        <v>1413</v>
      </c>
      <c r="F653" s="82"/>
      <c r="G653" s="85"/>
      <c r="H653" s="82"/>
      <c r="I653" s="85"/>
      <c r="J653" s="85"/>
      <c r="K653" s="82"/>
      <c r="L653" s="82"/>
      <c r="M653" s="82"/>
      <c r="N653" s="82"/>
      <c r="O653" s="82"/>
      <c r="P653" s="82"/>
      <c r="Q653" s="82"/>
      <c r="R653" s="82"/>
      <c r="S653" s="97"/>
      <c r="T653" s="97"/>
      <c r="X653" s="94"/>
      <c r="Y653" s="95"/>
      <c r="Z653" s="95"/>
      <c r="AA653" s="94"/>
      <c r="AB653" s="94"/>
      <c r="AC653" s="94"/>
      <c r="AD653" s="94"/>
      <c r="AE653" s="94"/>
      <c r="AF653" s="94"/>
      <c r="AS653" s="94"/>
      <c r="AT653" s="94"/>
      <c r="AU653" s="94"/>
      <c r="AV653" s="94"/>
      <c r="BB653" s="108">
        <f>Schäden_Einband!X653+Schäden_Buchblock!AC653</f>
        <v>0</v>
      </c>
      <c r="BC653" s="95"/>
    </row>
    <row r="654" spans="1:64" x14ac:dyDescent="0.25">
      <c r="A654" s="82">
        <v>630</v>
      </c>
      <c r="B654" s="64" t="s">
        <v>1414</v>
      </c>
      <c r="C654" s="64">
        <v>1066967881</v>
      </c>
      <c r="D654" s="84" t="str">
        <f t="shared" si="10"/>
        <v>https://portal.dnb.de/opac.htm?method=simpleSearch&amp;cqlMode=true&amp;query=idn%3D1066967881</v>
      </c>
      <c r="E654" s="64" t="s">
        <v>1415</v>
      </c>
      <c r="F654" s="82"/>
      <c r="G654" s="85"/>
      <c r="H654" s="82" t="s">
        <v>50</v>
      </c>
      <c r="I654" s="85"/>
      <c r="J654" s="85"/>
      <c r="K654" s="82"/>
      <c r="L654" s="82"/>
      <c r="M654" s="82"/>
      <c r="N654" s="82"/>
      <c r="O654" s="82"/>
      <c r="P654" s="82"/>
      <c r="Q654" s="82"/>
      <c r="R654" s="82"/>
      <c r="S654" s="97"/>
      <c r="T654" s="97"/>
      <c r="X654" s="94" t="s">
        <v>1728</v>
      </c>
      <c r="Y654" s="95" t="s">
        <v>1633</v>
      </c>
      <c r="Z654" s="95"/>
      <c r="AA654" s="94" t="s">
        <v>1723</v>
      </c>
      <c r="AB654" s="94"/>
      <c r="AC654" s="94"/>
      <c r="AD654" s="94"/>
      <c r="AE654" s="94"/>
      <c r="AF654" s="94"/>
      <c r="AG654" s="93" t="s">
        <v>1724</v>
      </c>
      <c r="AL654" s="93" t="s">
        <v>1633</v>
      </c>
      <c r="AS654" s="94"/>
      <c r="AT654" s="94"/>
      <c r="AU654" s="94">
        <v>110</v>
      </c>
      <c r="AV654" s="94"/>
      <c r="BA654" s="94" t="s">
        <v>1727</v>
      </c>
      <c r="BB654" s="108">
        <f>Schäden_Einband!X654+Schäden_Buchblock!AC654</f>
        <v>0</v>
      </c>
      <c r="BC654" s="95"/>
      <c r="BD654" s="93" t="s">
        <v>1951</v>
      </c>
    </row>
    <row r="655" spans="1:64" ht="23" x14ac:dyDescent="0.25">
      <c r="A655" s="82">
        <v>631</v>
      </c>
      <c r="B655" s="64" t="s">
        <v>1416</v>
      </c>
      <c r="C655" s="64">
        <v>1066971951</v>
      </c>
      <c r="D655" s="84" t="str">
        <f t="shared" si="10"/>
        <v>https://portal.dnb.de/opac.htm?method=simpleSearch&amp;cqlMode=true&amp;query=idn%3D1066971951</v>
      </c>
      <c r="E655" s="64" t="s">
        <v>1417</v>
      </c>
      <c r="F655" s="82"/>
      <c r="G655" s="85"/>
      <c r="H655" s="82" t="s">
        <v>51</v>
      </c>
      <c r="I655" s="85"/>
      <c r="J655" s="85"/>
      <c r="K655" s="82"/>
      <c r="L655" s="82"/>
      <c r="M655" s="82"/>
      <c r="N655" s="82"/>
      <c r="O655" s="82"/>
      <c r="P655" s="82"/>
      <c r="Q655" s="82"/>
      <c r="R655" s="82"/>
      <c r="S655" s="97"/>
      <c r="T655" s="97"/>
      <c r="X655" s="94" t="s">
        <v>1728</v>
      </c>
      <c r="Y655" s="95" t="s">
        <v>1633</v>
      </c>
      <c r="Z655" s="95"/>
      <c r="AA655" s="94" t="s">
        <v>1723</v>
      </c>
      <c r="AB655" s="94"/>
      <c r="AC655" s="94"/>
      <c r="AD655" s="94"/>
      <c r="AE655" s="94"/>
      <c r="AF655" s="94"/>
      <c r="AG655" s="93" t="s">
        <v>1724</v>
      </c>
      <c r="AS655" s="94"/>
      <c r="AT655" s="94"/>
      <c r="AU655" s="94" t="s">
        <v>1959</v>
      </c>
      <c r="AV655" s="94"/>
      <c r="BA655" s="94" t="s">
        <v>1733</v>
      </c>
      <c r="BB655" s="108">
        <f>Schäden_Einband!X655+Schäden_Buchblock!AC655</f>
        <v>1</v>
      </c>
      <c r="BC655" s="95"/>
      <c r="BD655" s="93" t="s">
        <v>1951</v>
      </c>
      <c r="BJ655" s="81" t="s">
        <v>1961</v>
      </c>
      <c r="BK655" s="81" t="s">
        <v>1960</v>
      </c>
    </row>
    <row r="656" spans="1:64" x14ac:dyDescent="0.25">
      <c r="A656" s="82"/>
      <c r="B656" s="64"/>
      <c r="C656" s="64"/>
      <c r="D656" s="84"/>
      <c r="E656" s="64" t="s">
        <v>1963</v>
      </c>
      <c r="F656" s="82"/>
      <c r="G656" s="85"/>
      <c r="H656" s="82" t="s">
        <v>50</v>
      </c>
      <c r="I656" s="85"/>
      <c r="J656" s="85"/>
      <c r="K656" s="82"/>
      <c r="L656" s="82"/>
      <c r="M656" s="82"/>
      <c r="N656" s="82"/>
      <c r="O656" s="82"/>
      <c r="P656" s="82"/>
      <c r="Q656" s="82"/>
      <c r="R656" s="82"/>
      <c r="S656" s="97"/>
      <c r="T656" s="97"/>
      <c r="X656" s="94" t="s">
        <v>1728</v>
      </c>
      <c r="Y656" s="95" t="s">
        <v>1633</v>
      </c>
      <c r="Z656" s="95"/>
      <c r="AA656" s="94" t="s">
        <v>1723</v>
      </c>
      <c r="AB656" s="94"/>
      <c r="AC656" s="94"/>
      <c r="AD656" s="94"/>
      <c r="AE656" s="94"/>
      <c r="AF656" s="94"/>
      <c r="AG656" s="93" t="s">
        <v>1724</v>
      </c>
      <c r="AQ656" s="93" t="s">
        <v>1729</v>
      </c>
      <c r="AR656" s="93" t="s">
        <v>1633</v>
      </c>
      <c r="AS656" s="94"/>
      <c r="AT656" s="94"/>
      <c r="AU656" s="94">
        <v>110</v>
      </c>
      <c r="AV656" s="94"/>
      <c r="BA656" s="94" t="s">
        <v>1727</v>
      </c>
      <c r="BB656" s="108">
        <f>Schäden_Einband!X656+Schäden_Buchblock!AC656</f>
        <v>0</v>
      </c>
      <c r="BC656" s="95"/>
      <c r="BD656" s="93" t="s">
        <v>1951</v>
      </c>
      <c r="BK656" s="81"/>
    </row>
    <row r="657" spans="1:63" x14ac:dyDescent="0.25">
      <c r="A657" s="82">
        <v>632</v>
      </c>
      <c r="B657" s="64" t="s">
        <v>1418</v>
      </c>
      <c r="C657" s="64">
        <v>1066967342</v>
      </c>
      <c r="D657" s="84" t="str">
        <f t="shared" si="10"/>
        <v>https://portal.dnb.de/opac.htm?method=simpleSearch&amp;cqlMode=true&amp;query=idn%3D1066967342</v>
      </c>
      <c r="E657" s="64" t="s">
        <v>1419</v>
      </c>
      <c r="F657" s="82"/>
      <c r="G657" s="85"/>
      <c r="H657" s="82" t="s">
        <v>50</v>
      </c>
      <c r="I657" s="85"/>
      <c r="J657" s="85"/>
      <c r="K657" s="82"/>
      <c r="L657" s="82"/>
      <c r="M657" s="82"/>
      <c r="N657" s="82"/>
      <c r="O657" s="82"/>
      <c r="P657" s="82"/>
      <c r="Q657" s="82"/>
      <c r="R657" s="82"/>
      <c r="S657" s="97"/>
      <c r="T657" s="97"/>
      <c r="X657" s="94" t="s">
        <v>1741</v>
      </c>
      <c r="Y657" s="95"/>
      <c r="Z657" s="95" t="s">
        <v>1633</v>
      </c>
      <c r="AA657" s="94" t="s">
        <v>1738</v>
      </c>
      <c r="AB657" s="94"/>
      <c r="AC657" s="94"/>
      <c r="AD657" s="94"/>
      <c r="AE657" s="94"/>
      <c r="AF657" s="94"/>
      <c r="AG657" s="93" t="s">
        <v>1724</v>
      </c>
      <c r="AL657" s="93" t="s">
        <v>1633</v>
      </c>
      <c r="AS657" s="94">
        <v>0</v>
      </c>
      <c r="AT657" s="94" t="s">
        <v>1633</v>
      </c>
      <c r="AU657" s="94">
        <v>110</v>
      </c>
      <c r="AV657" s="94"/>
      <c r="BA657" s="94" t="s">
        <v>1727</v>
      </c>
      <c r="BB657" s="108">
        <f>Schäden_Einband!X657+Schäden_Buchblock!AC657</f>
        <v>0</v>
      </c>
      <c r="BC657" s="95"/>
      <c r="BD657" s="93" t="s">
        <v>1886</v>
      </c>
    </row>
    <row r="658" spans="1:63" ht="23" x14ac:dyDescent="0.25">
      <c r="A658" s="82">
        <v>633</v>
      </c>
      <c r="B658" s="64" t="s">
        <v>1420</v>
      </c>
      <c r="C658" s="64">
        <v>1066972664</v>
      </c>
      <c r="D658" s="84" t="str">
        <f t="shared" si="10"/>
        <v>https://portal.dnb.de/opac.htm?method=simpleSearch&amp;cqlMode=true&amp;query=idn%3D1066972664</v>
      </c>
      <c r="E658" s="64" t="s">
        <v>1421</v>
      </c>
      <c r="F658" s="82"/>
      <c r="G658" s="85"/>
      <c r="H658" s="82" t="s">
        <v>51</v>
      </c>
      <c r="I658" s="85"/>
      <c r="J658" s="85"/>
      <c r="K658" s="82"/>
      <c r="L658" s="82"/>
      <c r="M658" s="82"/>
      <c r="N658" s="82"/>
      <c r="O658" s="82"/>
      <c r="P658" s="82"/>
      <c r="Q658" s="82"/>
      <c r="R658" s="82"/>
      <c r="S658" s="97"/>
      <c r="T658" s="97"/>
      <c r="X658" s="94" t="s">
        <v>1741</v>
      </c>
      <c r="Y658" s="95" t="s">
        <v>1633</v>
      </c>
      <c r="Z658" s="95"/>
      <c r="AA658" s="94" t="s">
        <v>1742</v>
      </c>
      <c r="AB658" s="94"/>
      <c r="AC658" s="94"/>
      <c r="AD658" s="94"/>
      <c r="AE658" s="94"/>
      <c r="AF658" s="94"/>
      <c r="AG658" s="93" t="s">
        <v>1724</v>
      </c>
      <c r="AQ658" s="93" t="s">
        <v>1729</v>
      </c>
      <c r="AR658" s="93" t="s">
        <v>1633</v>
      </c>
      <c r="AS658" s="94"/>
      <c r="AT658" s="94"/>
      <c r="AU658" s="94">
        <v>60</v>
      </c>
      <c r="AV658" s="94"/>
      <c r="BA658" s="94" t="s">
        <v>1733</v>
      </c>
      <c r="BB658" s="108">
        <f>Schäden_Einband!X658+Schäden_Buchblock!AC658</f>
        <v>2</v>
      </c>
      <c r="BC658" s="95"/>
      <c r="BD658" s="93" t="s">
        <v>1951</v>
      </c>
      <c r="BJ658" s="81" t="s">
        <v>1967</v>
      </c>
    </row>
    <row r="659" spans="1:63" x14ac:dyDescent="0.25">
      <c r="A659" s="82">
        <v>634</v>
      </c>
      <c r="B659" s="64" t="s">
        <v>1422</v>
      </c>
      <c r="C659" s="64">
        <v>1066971854</v>
      </c>
      <c r="D659" s="84" t="str">
        <f t="shared" si="10"/>
        <v>https://portal.dnb.de/opac.htm?method=simpleSearch&amp;cqlMode=true&amp;query=idn%3D1066971854</v>
      </c>
      <c r="E659" s="64" t="s">
        <v>1423</v>
      </c>
      <c r="F659" s="82"/>
      <c r="G659" s="85"/>
      <c r="H659" s="82" t="s">
        <v>51</v>
      </c>
      <c r="I659" s="85"/>
      <c r="J659" s="85"/>
      <c r="K659" s="82"/>
      <c r="L659" s="82"/>
      <c r="M659" s="82"/>
      <c r="N659" s="82"/>
      <c r="O659" s="82"/>
      <c r="P659" s="82"/>
      <c r="Q659" s="82"/>
      <c r="R659" s="82"/>
      <c r="S659" s="97"/>
      <c r="T659" s="97"/>
      <c r="X659" s="94" t="s">
        <v>1728</v>
      </c>
      <c r="Y659" s="95" t="s">
        <v>1633</v>
      </c>
      <c r="Z659" s="95"/>
      <c r="AA659" s="94" t="s">
        <v>1723</v>
      </c>
      <c r="AB659" s="94"/>
      <c r="AC659" s="94"/>
      <c r="AD659" s="94"/>
      <c r="AE659" s="94"/>
      <c r="AF659" s="94"/>
      <c r="AG659" s="93" t="s">
        <v>1724</v>
      </c>
      <c r="AQ659" s="93" t="s">
        <v>1729</v>
      </c>
      <c r="AR659" s="93" t="s">
        <v>1633</v>
      </c>
      <c r="AS659" s="94"/>
      <c r="AT659" s="94"/>
      <c r="AU659" s="94">
        <v>110</v>
      </c>
      <c r="AV659" s="94"/>
      <c r="BA659" s="94" t="s">
        <v>1727</v>
      </c>
      <c r="BB659" s="108">
        <f>Schäden_Einband!X659+Schäden_Buchblock!AC659</f>
        <v>0</v>
      </c>
      <c r="BC659" s="95"/>
      <c r="BD659" s="93" t="s">
        <v>1951</v>
      </c>
      <c r="BK659" s="63" t="s">
        <v>1952</v>
      </c>
    </row>
    <row r="660" spans="1:63" x14ac:dyDescent="0.25">
      <c r="A660" s="82">
        <v>635</v>
      </c>
      <c r="B660" s="64" t="s">
        <v>1424</v>
      </c>
      <c r="C660" s="64" t="s">
        <v>1425</v>
      </c>
      <c r="D660" s="84" t="str">
        <f t="shared" si="10"/>
        <v>https://portal.dnb.de/opac.htm?method=simpleSearch&amp;cqlMode=true&amp;query=idn%3D106697165X</v>
      </c>
      <c r="E660" s="64" t="s">
        <v>1426</v>
      </c>
      <c r="F660" s="82"/>
      <c r="G660" s="85"/>
      <c r="H660" s="82"/>
      <c r="I660" s="85"/>
      <c r="J660" s="85"/>
      <c r="K660" s="82"/>
      <c r="L660" s="82"/>
      <c r="M660" s="82"/>
      <c r="N660" s="82"/>
      <c r="O660" s="82"/>
      <c r="P660" s="82"/>
      <c r="Q660" s="82"/>
      <c r="R660" s="82"/>
      <c r="S660" s="97"/>
      <c r="T660" s="97"/>
      <c r="X660" s="94"/>
      <c r="Y660" s="95"/>
      <c r="Z660" s="95"/>
      <c r="AA660" s="94"/>
      <c r="AB660" s="94"/>
      <c r="AC660" s="94"/>
      <c r="AD660" s="94"/>
      <c r="AE660" s="94"/>
      <c r="AF660" s="94"/>
      <c r="AS660" s="94"/>
      <c r="AT660" s="94"/>
      <c r="AU660" s="94"/>
      <c r="AV660" s="94"/>
      <c r="BB660" s="108">
        <f>Schäden_Einband!X660+Schäden_Buchblock!AC660</f>
        <v>0</v>
      </c>
      <c r="BC660" s="95"/>
    </row>
    <row r="661" spans="1:63" x14ac:dyDescent="0.25">
      <c r="A661" s="82">
        <v>636</v>
      </c>
      <c r="B661" s="64" t="s">
        <v>1427</v>
      </c>
      <c r="C661" s="64">
        <v>1066969582</v>
      </c>
      <c r="D661" s="84" t="str">
        <f t="shared" si="10"/>
        <v>https://portal.dnb.de/opac.htm?method=simpleSearch&amp;cqlMode=true&amp;query=idn%3D1066969582</v>
      </c>
      <c r="E661" s="64" t="s">
        <v>1428</v>
      </c>
      <c r="F661" s="82"/>
      <c r="G661" s="85"/>
      <c r="H661" s="82" t="s">
        <v>51</v>
      </c>
      <c r="I661" s="85"/>
      <c r="J661" s="85"/>
      <c r="K661" s="82"/>
      <c r="L661" s="82"/>
      <c r="M661" s="82"/>
      <c r="N661" s="82"/>
      <c r="O661" s="82"/>
      <c r="P661" s="82"/>
      <c r="Q661" s="82"/>
      <c r="R661" s="82"/>
      <c r="S661" s="97"/>
      <c r="T661" s="97"/>
      <c r="X661" s="94" t="s">
        <v>1811</v>
      </c>
      <c r="Y661" s="95" t="s">
        <v>1633</v>
      </c>
      <c r="Z661" s="95"/>
      <c r="AA661" s="94" t="s">
        <v>1737</v>
      </c>
      <c r="AB661" s="94"/>
      <c r="AC661" s="94"/>
      <c r="AD661" s="94"/>
      <c r="AE661" s="94"/>
      <c r="AF661" s="94"/>
      <c r="AG661" s="93" t="s">
        <v>1724</v>
      </c>
      <c r="AS661" s="94"/>
      <c r="AT661" s="94"/>
      <c r="AU661" s="94">
        <v>110</v>
      </c>
      <c r="AV661" s="94"/>
      <c r="BA661" s="94" t="s">
        <v>1727</v>
      </c>
      <c r="BB661" s="108">
        <f>Schäden_Einband!X661+Schäden_Buchblock!AC661</f>
        <v>0</v>
      </c>
      <c r="BC661" s="95"/>
      <c r="BD661" s="93" t="s">
        <v>1951</v>
      </c>
      <c r="BK661" s="63" t="s">
        <v>1952</v>
      </c>
    </row>
    <row r="662" spans="1:63" x14ac:dyDescent="0.25">
      <c r="A662" s="82">
        <v>637</v>
      </c>
      <c r="B662" s="64" t="s">
        <v>1429</v>
      </c>
      <c r="C662" s="64">
        <v>1066969485</v>
      </c>
      <c r="D662" s="84" t="str">
        <f t="shared" si="10"/>
        <v>https://portal.dnb.de/opac.htm?method=simpleSearch&amp;cqlMode=true&amp;query=idn%3D1066969485</v>
      </c>
      <c r="E662" s="64" t="s">
        <v>1430</v>
      </c>
      <c r="F662" s="82"/>
      <c r="G662" s="85"/>
      <c r="H662" s="82" t="s">
        <v>51</v>
      </c>
      <c r="I662" s="85"/>
      <c r="J662" s="85"/>
      <c r="K662" s="82"/>
      <c r="L662" s="82"/>
      <c r="M662" s="82"/>
      <c r="N662" s="82"/>
      <c r="O662" s="82"/>
      <c r="P662" s="82"/>
      <c r="Q662" s="82"/>
      <c r="R662" s="82"/>
      <c r="S662" s="97"/>
      <c r="T662" s="97"/>
      <c r="X662" s="94" t="s">
        <v>1728</v>
      </c>
      <c r="Y662" s="95" t="s">
        <v>1633</v>
      </c>
      <c r="Z662" s="95"/>
      <c r="AA662" s="94" t="s">
        <v>1723</v>
      </c>
      <c r="AB662" s="94"/>
      <c r="AC662" s="94"/>
      <c r="AD662" s="94"/>
      <c r="AE662" s="94"/>
      <c r="AF662" s="94"/>
      <c r="AG662" s="93" t="s">
        <v>1724</v>
      </c>
      <c r="AQ662" s="93" t="s">
        <v>1969</v>
      </c>
      <c r="AR662" s="93" t="s">
        <v>1633</v>
      </c>
      <c r="AS662" s="94"/>
      <c r="AT662" s="94"/>
      <c r="AU662" s="94">
        <v>110</v>
      </c>
      <c r="AV662" s="94"/>
      <c r="BA662" s="94" t="s">
        <v>1733</v>
      </c>
      <c r="BB662" s="108">
        <f>Schäden_Einband!X662+Schäden_Buchblock!AC662</f>
        <v>3</v>
      </c>
      <c r="BC662" s="95"/>
      <c r="BD662" s="93" t="s">
        <v>1951</v>
      </c>
    </row>
    <row r="663" spans="1:63" x14ac:dyDescent="0.25">
      <c r="A663" s="82">
        <v>638</v>
      </c>
      <c r="B663" s="64" t="s">
        <v>1431</v>
      </c>
      <c r="C663" s="64">
        <v>1066965978</v>
      </c>
      <c r="D663" s="84" t="str">
        <f t="shared" si="10"/>
        <v>https://portal.dnb.de/opac.htm?method=simpleSearch&amp;cqlMode=true&amp;query=idn%3D1066965978</v>
      </c>
      <c r="E663" s="64" t="s">
        <v>1432</v>
      </c>
      <c r="F663" s="82"/>
      <c r="G663" s="85"/>
      <c r="H663" s="82" t="s">
        <v>50</v>
      </c>
      <c r="I663" s="85"/>
      <c r="J663" s="85"/>
      <c r="K663" s="82"/>
      <c r="L663" s="82"/>
      <c r="M663" s="82"/>
      <c r="N663" s="82"/>
      <c r="O663" s="82"/>
      <c r="P663" s="82"/>
      <c r="Q663" s="82"/>
      <c r="R663" s="82"/>
      <c r="S663" s="97"/>
      <c r="T663" s="97"/>
      <c r="X663" s="94" t="s">
        <v>1739</v>
      </c>
      <c r="Y663" s="95" t="s">
        <v>1633</v>
      </c>
      <c r="Z663" s="95"/>
      <c r="AA663" s="94" t="s">
        <v>1723</v>
      </c>
      <c r="AB663" s="94"/>
      <c r="AC663" s="94"/>
      <c r="AD663" s="94"/>
      <c r="AE663" s="94"/>
      <c r="AF663" s="94"/>
      <c r="AG663" s="93" t="s">
        <v>1724</v>
      </c>
      <c r="AQ663" s="93" t="s">
        <v>1729</v>
      </c>
      <c r="AR663" s="93" t="s">
        <v>1633</v>
      </c>
      <c r="AS663" s="94"/>
      <c r="AT663" s="94"/>
      <c r="AU663" s="94">
        <v>110</v>
      </c>
      <c r="AV663" s="94"/>
      <c r="BA663" s="94" t="s">
        <v>1727</v>
      </c>
      <c r="BB663" s="108">
        <f>Schäden_Einband!X663+Schäden_Buchblock!AC663</f>
        <v>0</v>
      </c>
      <c r="BC663" s="95"/>
      <c r="BD663" s="93" t="s">
        <v>1951</v>
      </c>
      <c r="BK663" s="63" t="s">
        <v>1952</v>
      </c>
    </row>
    <row r="664" spans="1:63" x14ac:dyDescent="0.25">
      <c r="A664" s="82">
        <v>639</v>
      </c>
      <c r="B664" s="64" t="s">
        <v>1433</v>
      </c>
      <c r="C664" s="64">
        <v>1066965730</v>
      </c>
      <c r="D664" s="84" t="str">
        <f t="shared" si="10"/>
        <v>https://portal.dnb.de/opac.htm?method=simpleSearch&amp;cqlMode=true&amp;query=idn%3D1066965730</v>
      </c>
      <c r="E664" s="64" t="s">
        <v>1434</v>
      </c>
      <c r="F664" s="82"/>
      <c r="G664" s="85"/>
      <c r="H664" s="82" t="s">
        <v>51</v>
      </c>
      <c r="I664" s="85"/>
      <c r="J664" s="85"/>
      <c r="K664" s="82"/>
      <c r="L664" s="82"/>
      <c r="M664" s="82"/>
      <c r="N664" s="82"/>
      <c r="O664" s="82"/>
      <c r="P664" s="82"/>
      <c r="Q664" s="82"/>
      <c r="R664" s="82"/>
      <c r="S664" s="97"/>
      <c r="T664" s="97"/>
      <c r="X664" s="94" t="s">
        <v>1728</v>
      </c>
      <c r="Y664" s="95" t="s">
        <v>1633</v>
      </c>
      <c r="Z664" s="95"/>
      <c r="AA664" s="94" t="s">
        <v>1723</v>
      </c>
      <c r="AB664" s="94"/>
      <c r="AC664" s="94"/>
      <c r="AD664" s="94"/>
      <c r="AE664" s="94"/>
      <c r="AF664" s="94"/>
      <c r="AG664" s="93" t="s">
        <v>1724</v>
      </c>
      <c r="AS664" s="94">
        <v>2</v>
      </c>
      <c r="AT664" s="94"/>
      <c r="AU664" s="94">
        <v>110</v>
      </c>
      <c r="AV664" s="94"/>
      <c r="BA664" s="94" t="s">
        <v>1727</v>
      </c>
      <c r="BB664" s="108">
        <f>Schäden_Einband!X664+Schäden_Buchblock!AC664</f>
        <v>0</v>
      </c>
      <c r="BC664" s="95"/>
      <c r="BD664" s="93" t="s">
        <v>1951</v>
      </c>
    </row>
    <row r="665" spans="1:63" x14ac:dyDescent="0.25">
      <c r="A665" s="82">
        <v>640</v>
      </c>
      <c r="B665" s="64" t="s">
        <v>1435</v>
      </c>
      <c r="C665" s="64">
        <v>1066966575</v>
      </c>
      <c r="D665" s="84" t="str">
        <f t="shared" si="10"/>
        <v>https://portal.dnb.de/opac.htm?method=simpleSearch&amp;cqlMode=true&amp;query=idn%3D1066966575</v>
      </c>
      <c r="E665" s="64" t="s">
        <v>1436</v>
      </c>
      <c r="F665" s="82"/>
      <c r="G665" s="85"/>
      <c r="H665" s="82"/>
      <c r="I665" s="85"/>
      <c r="J665" s="85"/>
      <c r="K665" s="82"/>
      <c r="L665" s="82"/>
      <c r="M665" s="82"/>
      <c r="N665" s="82"/>
      <c r="O665" s="82"/>
      <c r="P665" s="82"/>
      <c r="Q665" s="82"/>
      <c r="R665" s="82"/>
      <c r="S665" s="97"/>
      <c r="T665" s="97"/>
      <c r="X665" s="94"/>
      <c r="Y665" s="95"/>
      <c r="Z665" s="95"/>
      <c r="AA665" s="94"/>
      <c r="AB665" s="94"/>
      <c r="AC665" s="94"/>
      <c r="AD665" s="94"/>
      <c r="AE665" s="94"/>
      <c r="AF665" s="94"/>
      <c r="AS665" s="94"/>
      <c r="AT665" s="94"/>
      <c r="AU665" s="94"/>
      <c r="AV665" s="94"/>
      <c r="BB665" s="108">
        <f>Schäden_Einband!X665+Schäden_Buchblock!AC665</f>
        <v>0</v>
      </c>
      <c r="BC665" s="95"/>
    </row>
    <row r="666" spans="1:63" x14ac:dyDescent="0.25">
      <c r="A666" s="82">
        <v>641</v>
      </c>
      <c r="B666" s="64" t="s">
        <v>1437</v>
      </c>
      <c r="C666" s="64">
        <v>1066972974</v>
      </c>
      <c r="D666" s="84" t="str">
        <f t="shared" si="10"/>
        <v>https://portal.dnb.de/opac.htm?method=simpleSearch&amp;cqlMode=true&amp;query=idn%3D1066972974</v>
      </c>
      <c r="E666" s="64" t="s">
        <v>1438</v>
      </c>
      <c r="F666" s="82"/>
      <c r="G666" s="85"/>
      <c r="H666" s="82" t="s">
        <v>51</v>
      </c>
      <c r="I666" s="85"/>
      <c r="J666" s="85"/>
      <c r="K666" s="82"/>
      <c r="L666" s="82"/>
      <c r="M666" s="82"/>
      <c r="N666" s="82"/>
      <c r="O666" s="82"/>
      <c r="P666" s="82"/>
      <c r="Q666" s="82"/>
      <c r="R666" s="82"/>
      <c r="S666" s="97"/>
      <c r="T666" s="97"/>
      <c r="X666" s="94" t="s">
        <v>1728</v>
      </c>
      <c r="Y666" s="95" t="s">
        <v>1633</v>
      </c>
      <c r="Z666" s="95"/>
      <c r="AA666" s="94" t="s">
        <v>1742</v>
      </c>
      <c r="AB666" s="94"/>
      <c r="AC666" s="94"/>
      <c r="AD666" s="94"/>
      <c r="AE666" s="94"/>
      <c r="AF666" s="94"/>
      <c r="AG666" s="93" t="s">
        <v>1724</v>
      </c>
      <c r="AS666" s="94"/>
      <c r="AT666" s="94"/>
      <c r="AU666" s="94" t="s">
        <v>1726</v>
      </c>
      <c r="AV666" s="94"/>
      <c r="BA666" s="94" t="s">
        <v>1733</v>
      </c>
      <c r="BB666" s="108">
        <f>Schäden_Einband!X666+Schäden_Buchblock!AC666</f>
        <v>1</v>
      </c>
      <c r="BC666" s="95"/>
      <c r="BD666" s="93" t="s">
        <v>1951</v>
      </c>
      <c r="BK666" s="63" t="s">
        <v>1971</v>
      </c>
    </row>
    <row r="667" spans="1:63" x14ac:dyDescent="0.25">
      <c r="A667" s="82">
        <v>642</v>
      </c>
      <c r="B667" s="64" t="s">
        <v>1439</v>
      </c>
      <c r="C667" s="64">
        <v>1066970726</v>
      </c>
      <c r="D667" s="84" t="str">
        <f t="shared" ref="D667:D731" si="11">HYPERLINK(CONCATENATE("https://portal.dnb.de/opac.htm?method=simpleSearch&amp;cqlMode=true&amp;query=idn%3D",C667))</f>
        <v>https://portal.dnb.de/opac.htm?method=simpleSearch&amp;cqlMode=true&amp;query=idn%3D1066970726</v>
      </c>
      <c r="E667" s="64" t="s">
        <v>1440</v>
      </c>
      <c r="F667" s="82"/>
      <c r="G667" s="85"/>
      <c r="H667" s="82" t="s">
        <v>51</v>
      </c>
      <c r="I667" s="85"/>
      <c r="J667" s="85"/>
      <c r="K667" s="82"/>
      <c r="L667" s="82"/>
      <c r="M667" s="82"/>
      <c r="N667" s="82"/>
      <c r="O667" s="82"/>
      <c r="P667" s="82"/>
      <c r="Q667" s="82"/>
      <c r="R667" s="82"/>
      <c r="S667" s="97"/>
      <c r="T667" s="97"/>
      <c r="X667" s="94" t="s">
        <v>1728</v>
      </c>
      <c r="Y667" s="95" t="s">
        <v>1633</v>
      </c>
      <c r="Z667" s="95"/>
      <c r="AA667" s="94" t="s">
        <v>1723</v>
      </c>
      <c r="AB667" s="94"/>
      <c r="AC667" s="94"/>
      <c r="AD667" s="94"/>
      <c r="AE667" s="94"/>
      <c r="AF667" s="94"/>
      <c r="AG667" s="93" t="s">
        <v>1724</v>
      </c>
      <c r="AK667" s="93" t="s">
        <v>1633</v>
      </c>
      <c r="AS667" s="94">
        <v>0</v>
      </c>
      <c r="AT667" s="94" t="s">
        <v>1633</v>
      </c>
      <c r="AU667" s="94">
        <v>80</v>
      </c>
      <c r="AV667" s="94"/>
      <c r="BA667" s="94" t="s">
        <v>1727</v>
      </c>
      <c r="BB667" s="108">
        <f>Schäden_Einband!X667+Schäden_Buchblock!AC667</f>
        <v>0</v>
      </c>
      <c r="BC667" s="95"/>
      <c r="BD667" s="93" t="s">
        <v>1951</v>
      </c>
    </row>
    <row r="668" spans="1:63" x14ac:dyDescent="0.25">
      <c r="A668" s="82">
        <v>643</v>
      </c>
      <c r="B668" s="64" t="s">
        <v>1441</v>
      </c>
      <c r="C668" s="64">
        <v>1066967660</v>
      </c>
      <c r="D668" s="84" t="str">
        <f t="shared" si="11"/>
        <v>https://portal.dnb.de/opac.htm?method=simpleSearch&amp;cqlMode=true&amp;query=idn%3D1066967660</v>
      </c>
      <c r="E668" s="64" t="s">
        <v>1442</v>
      </c>
      <c r="F668" s="82"/>
      <c r="G668" s="85"/>
      <c r="H668" s="82"/>
      <c r="I668" s="85"/>
      <c r="J668" s="85"/>
      <c r="K668" s="82"/>
      <c r="L668" s="82"/>
      <c r="M668" s="82"/>
      <c r="N668" s="82"/>
      <c r="O668" s="82"/>
      <c r="P668" s="82"/>
      <c r="Q668" s="82"/>
      <c r="R668" s="82"/>
      <c r="S668" s="97"/>
      <c r="T668" s="97"/>
      <c r="X668" s="94"/>
      <c r="Y668" s="95"/>
      <c r="Z668" s="95"/>
      <c r="AA668" s="94"/>
      <c r="AB668" s="94"/>
      <c r="AC668" s="94"/>
      <c r="AD668" s="94"/>
      <c r="AE668" s="94"/>
      <c r="AF668" s="94"/>
      <c r="AS668" s="94"/>
      <c r="AT668" s="94"/>
      <c r="AU668" s="94"/>
      <c r="AV668" s="94"/>
      <c r="BB668" s="108">
        <f>Schäden_Einband!X668+Schäden_Buchblock!AC668</f>
        <v>0</v>
      </c>
      <c r="BC668" s="95"/>
    </row>
    <row r="669" spans="1:63" x14ac:dyDescent="0.25">
      <c r="A669" s="82">
        <v>644</v>
      </c>
      <c r="B669" s="64" t="s">
        <v>1443</v>
      </c>
      <c r="C669" s="64" t="s">
        <v>1444</v>
      </c>
      <c r="D669" s="84" t="str">
        <f t="shared" si="11"/>
        <v>https://portal.dnb.de/opac.htm?method=simpleSearch&amp;cqlMode=true&amp;query=idn%3D106696744X</v>
      </c>
      <c r="E669" s="64" t="s">
        <v>1445</v>
      </c>
      <c r="F669" s="82"/>
      <c r="G669" s="85"/>
      <c r="H669" s="82" t="s">
        <v>51</v>
      </c>
      <c r="I669" s="85"/>
      <c r="J669" s="85"/>
      <c r="K669" s="82"/>
      <c r="L669" s="82"/>
      <c r="M669" s="82"/>
      <c r="N669" s="82"/>
      <c r="O669" s="82"/>
      <c r="P669" s="82"/>
      <c r="Q669" s="82"/>
      <c r="R669" s="82"/>
      <c r="S669" s="97"/>
      <c r="T669" s="97"/>
      <c r="X669" s="94" t="s">
        <v>1730</v>
      </c>
      <c r="Y669" s="95"/>
      <c r="Z669" s="95" t="s">
        <v>1633</v>
      </c>
      <c r="AA669" s="94" t="s">
        <v>1723</v>
      </c>
      <c r="AB669" s="94"/>
      <c r="AC669" s="94"/>
      <c r="AD669" s="94"/>
      <c r="AE669" s="94"/>
      <c r="AF669" s="94"/>
      <c r="AG669" s="93" t="s">
        <v>1724</v>
      </c>
      <c r="AS669" s="94"/>
      <c r="AT669" s="94"/>
      <c r="AU669" s="94">
        <v>180</v>
      </c>
      <c r="AV669" s="94"/>
      <c r="BA669" s="94" t="s">
        <v>1727</v>
      </c>
      <c r="BB669" s="108">
        <f>Schäden_Einband!X669+Schäden_Buchblock!AC669</f>
        <v>0</v>
      </c>
      <c r="BC669" s="95"/>
      <c r="BD669" s="93" t="s">
        <v>1951</v>
      </c>
    </row>
    <row r="670" spans="1:63" x14ac:dyDescent="0.25">
      <c r="A670" s="82">
        <v>645</v>
      </c>
      <c r="B670" s="64" t="s">
        <v>1446</v>
      </c>
      <c r="C670" s="64">
        <v>1066967466</v>
      </c>
      <c r="D670" s="84" t="str">
        <f t="shared" si="11"/>
        <v>https://portal.dnb.de/opac.htm?method=simpleSearch&amp;cqlMode=true&amp;query=idn%3D1066967466</v>
      </c>
      <c r="E670" s="64" t="s">
        <v>1447</v>
      </c>
      <c r="F670" s="82"/>
      <c r="G670" s="85"/>
      <c r="H670" s="82" t="s">
        <v>51</v>
      </c>
      <c r="I670" s="85"/>
      <c r="J670" s="85"/>
      <c r="K670" s="82"/>
      <c r="L670" s="82"/>
      <c r="M670" s="82"/>
      <c r="N670" s="82"/>
      <c r="O670" s="82"/>
      <c r="P670" s="82"/>
      <c r="Q670" s="82"/>
      <c r="R670" s="82"/>
      <c r="S670" s="97"/>
      <c r="T670" s="97"/>
      <c r="X670" s="94" t="s">
        <v>1730</v>
      </c>
      <c r="Y670" s="95"/>
      <c r="Z670" s="95" t="s">
        <v>1633</v>
      </c>
      <c r="AA670" s="94" t="s">
        <v>1723</v>
      </c>
      <c r="AB670" s="94"/>
      <c r="AC670" s="94"/>
      <c r="AD670" s="94"/>
      <c r="AE670" s="94"/>
      <c r="AF670" s="94"/>
      <c r="AG670" s="93" t="s">
        <v>1724</v>
      </c>
      <c r="AS670" s="94"/>
      <c r="AT670" s="94"/>
      <c r="AU670" s="94">
        <v>110</v>
      </c>
      <c r="AV670" s="94"/>
      <c r="BA670" s="94" t="s">
        <v>1733</v>
      </c>
      <c r="BB670" s="108">
        <f>Schäden_Einband!X670+Schäden_Buchblock!AC670</f>
        <v>0.5</v>
      </c>
      <c r="BC670" s="95"/>
      <c r="BD670" s="93" t="s">
        <v>1951</v>
      </c>
    </row>
    <row r="671" spans="1:63" x14ac:dyDescent="0.25">
      <c r="A671" s="82">
        <v>646</v>
      </c>
      <c r="B671" s="64" t="s">
        <v>1448</v>
      </c>
      <c r="C671" s="64">
        <v>1066969191</v>
      </c>
      <c r="D671" s="84" t="str">
        <f t="shared" si="11"/>
        <v>https://portal.dnb.de/opac.htm?method=simpleSearch&amp;cqlMode=true&amp;query=idn%3D1066969191</v>
      </c>
      <c r="E671" s="64" t="s">
        <v>1449</v>
      </c>
      <c r="F671" s="82"/>
      <c r="G671" s="85"/>
      <c r="H671" s="82" t="s">
        <v>50</v>
      </c>
      <c r="I671" s="85"/>
      <c r="J671" s="85"/>
      <c r="K671" s="82"/>
      <c r="L671" s="82"/>
      <c r="M671" s="82"/>
      <c r="N671" s="82"/>
      <c r="O671" s="82"/>
      <c r="P671" s="82"/>
      <c r="Q671" s="82"/>
      <c r="R671" s="82"/>
      <c r="S671" s="97"/>
      <c r="T671" s="97"/>
      <c r="X671" s="94" t="s">
        <v>1728</v>
      </c>
      <c r="Y671" s="95" t="s">
        <v>1633</v>
      </c>
      <c r="Z671" s="95"/>
      <c r="AA671" s="94" t="s">
        <v>1723</v>
      </c>
      <c r="AB671" s="94"/>
      <c r="AC671" s="94"/>
      <c r="AD671" s="94"/>
      <c r="AE671" s="94"/>
      <c r="AF671" s="94"/>
      <c r="AG671" s="93" t="s">
        <v>1724</v>
      </c>
      <c r="AS671" s="94"/>
      <c r="AT671" s="94"/>
      <c r="AU671" s="94">
        <v>110</v>
      </c>
      <c r="AV671" s="94"/>
      <c r="BA671" s="94" t="s">
        <v>1727</v>
      </c>
      <c r="BB671" s="108">
        <f>Schäden_Einband!X671+Schäden_Buchblock!AC671</f>
        <v>0</v>
      </c>
      <c r="BC671" s="95"/>
      <c r="BD671" s="93" t="s">
        <v>1951</v>
      </c>
    </row>
    <row r="672" spans="1:63" x14ac:dyDescent="0.25">
      <c r="A672" s="82">
        <v>647</v>
      </c>
      <c r="B672" s="64" t="s">
        <v>1450</v>
      </c>
      <c r="C672" s="64">
        <v>1066965781</v>
      </c>
      <c r="D672" s="84" t="str">
        <f t="shared" si="11"/>
        <v>https://portal.dnb.de/opac.htm?method=simpleSearch&amp;cqlMode=true&amp;query=idn%3D1066965781</v>
      </c>
      <c r="E672" s="64" t="s">
        <v>1451</v>
      </c>
      <c r="F672" s="82"/>
      <c r="G672" s="85"/>
      <c r="H672" s="82"/>
      <c r="I672" s="85"/>
      <c r="J672" s="85"/>
      <c r="K672" s="82"/>
      <c r="L672" s="82"/>
      <c r="M672" s="82"/>
      <c r="N672" s="82"/>
      <c r="O672" s="82"/>
      <c r="P672" s="82"/>
      <c r="Q672" s="82"/>
      <c r="R672" s="82"/>
      <c r="S672" s="97"/>
      <c r="T672" s="97"/>
      <c r="X672" s="94"/>
      <c r="Y672" s="95"/>
      <c r="Z672" s="95"/>
      <c r="AA672" s="94"/>
      <c r="AB672" s="94"/>
      <c r="AC672" s="94"/>
      <c r="AD672" s="94"/>
      <c r="AE672" s="94"/>
      <c r="AF672" s="94"/>
      <c r="AS672" s="94"/>
      <c r="AT672" s="94"/>
      <c r="AU672" s="94"/>
      <c r="AV672" s="94"/>
      <c r="BB672" s="108">
        <f>Schäden_Einband!X672+Schäden_Buchblock!AC672</f>
        <v>0</v>
      </c>
      <c r="BC672" s="95"/>
    </row>
    <row r="673" spans="1:63" x14ac:dyDescent="0.25">
      <c r="A673" s="82">
        <v>648</v>
      </c>
      <c r="B673" s="64" t="s">
        <v>1452</v>
      </c>
      <c r="C673" s="64">
        <v>1066966869</v>
      </c>
      <c r="D673" s="84" t="str">
        <f t="shared" si="11"/>
        <v>https://portal.dnb.de/opac.htm?method=simpleSearch&amp;cqlMode=true&amp;query=idn%3D1066966869</v>
      </c>
      <c r="E673" s="64" t="s">
        <v>1453</v>
      </c>
      <c r="F673" s="82"/>
      <c r="G673" s="85"/>
      <c r="H673" s="82"/>
      <c r="I673" s="85"/>
      <c r="J673" s="85"/>
      <c r="K673" s="82"/>
      <c r="L673" s="82"/>
      <c r="M673" s="82"/>
      <c r="N673" s="82"/>
      <c r="O673" s="82"/>
      <c r="P673" s="82"/>
      <c r="Q673" s="82"/>
      <c r="R673" s="82"/>
      <c r="S673" s="97"/>
      <c r="T673" s="97"/>
      <c r="X673" s="94"/>
      <c r="Y673" s="95"/>
      <c r="Z673" s="95"/>
      <c r="AA673" s="94"/>
      <c r="AB673" s="94"/>
      <c r="AC673" s="94"/>
      <c r="AD673" s="94"/>
      <c r="AE673" s="94"/>
      <c r="AF673" s="94"/>
      <c r="AS673" s="94"/>
      <c r="AT673" s="94"/>
      <c r="AU673" s="94"/>
      <c r="AV673" s="94"/>
      <c r="BB673" s="108">
        <f>Schäden_Einband!X673+Schäden_Buchblock!AC673</f>
        <v>0</v>
      </c>
      <c r="BC673" s="95"/>
    </row>
    <row r="674" spans="1:63" x14ac:dyDescent="0.25">
      <c r="A674" s="82">
        <v>649</v>
      </c>
      <c r="B674" s="64" t="s">
        <v>1454</v>
      </c>
      <c r="C674" s="64">
        <v>1066971919</v>
      </c>
      <c r="D674" s="84" t="str">
        <f t="shared" si="11"/>
        <v>https://portal.dnb.de/opac.htm?method=simpleSearch&amp;cqlMode=true&amp;query=idn%3D1066971919</v>
      </c>
      <c r="E674" s="64" t="s">
        <v>1455</v>
      </c>
      <c r="F674" s="82"/>
      <c r="G674" s="85"/>
      <c r="H674" s="82"/>
      <c r="I674" s="85"/>
      <c r="J674" s="85"/>
      <c r="K674" s="82"/>
      <c r="L674" s="82"/>
      <c r="M674" s="82"/>
      <c r="N674" s="82"/>
      <c r="O674" s="82"/>
      <c r="P674" s="82"/>
      <c r="Q674" s="82"/>
      <c r="R674" s="82"/>
      <c r="S674" s="97" t="s">
        <v>1721</v>
      </c>
      <c r="T674" s="97"/>
      <c r="X674" s="94"/>
      <c r="Y674" s="95"/>
      <c r="Z674" s="95"/>
      <c r="AA674" s="94"/>
      <c r="AB674" s="94"/>
      <c r="AC674" s="94"/>
      <c r="AD674" s="94"/>
      <c r="AE674" s="94"/>
      <c r="AF674" s="94"/>
      <c r="AS674" s="94"/>
      <c r="AT674" s="94"/>
      <c r="AU674" s="94"/>
      <c r="AV674" s="94"/>
      <c r="BB674" s="108">
        <f>Schäden_Einband!X674+Schäden_Buchblock!AC674</f>
        <v>0</v>
      </c>
      <c r="BC674" s="95"/>
    </row>
    <row r="675" spans="1:63" x14ac:dyDescent="0.25">
      <c r="A675" s="82">
        <v>650</v>
      </c>
      <c r="B675" s="64" t="s">
        <v>1456</v>
      </c>
      <c r="C675" s="64">
        <v>1066971919</v>
      </c>
      <c r="D675" s="84" t="str">
        <f t="shared" si="11"/>
        <v>https://portal.dnb.de/opac.htm?method=simpleSearch&amp;cqlMode=true&amp;query=idn%3D1066971919</v>
      </c>
      <c r="E675" s="64" t="s">
        <v>1457</v>
      </c>
      <c r="F675" s="82"/>
      <c r="G675" s="85"/>
      <c r="H675" s="82"/>
      <c r="I675" s="85"/>
      <c r="J675" s="85"/>
      <c r="K675" s="82"/>
      <c r="L675" s="82"/>
      <c r="M675" s="82"/>
      <c r="N675" s="82"/>
      <c r="O675" s="82"/>
      <c r="P675" s="82"/>
      <c r="Q675" s="82"/>
      <c r="R675" s="82"/>
      <c r="S675" s="97"/>
      <c r="T675" s="97"/>
      <c r="X675" s="94"/>
      <c r="Y675" s="95"/>
      <c r="Z675" s="95"/>
      <c r="AA675" s="94"/>
      <c r="AB675" s="94"/>
      <c r="AC675" s="94"/>
      <c r="AD675" s="94"/>
      <c r="AE675" s="94"/>
      <c r="AF675" s="94"/>
      <c r="AS675" s="94"/>
      <c r="AT675" s="94"/>
      <c r="AU675" s="94"/>
      <c r="AV675" s="94"/>
      <c r="BB675" s="108">
        <f>Schäden_Einband!X675+Schäden_Buchblock!AC675</f>
        <v>0</v>
      </c>
      <c r="BC675" s="95"/>
    </row>
    <row r="676" spans="1:63" x14ac:dyDescent="0.25">
      <c r="A676" s="82">
        <v>651</v>
      </c>
      <c r="B676" s="64" t="s">
        <v>1458</v>
      </c>
      <c r="C676" s="64">
        <v>1066971633</v>
      </c>
      <c r="D676" s="84" t="str">
        <f t="shared" si="11"/>
        <v>https://portal.dnb.de/opac.htm?method=simpleSearch&amp;cqlMode=true&amp;query=idn%3D1066971633</v>
      </c>
      <c r="E676" s="64" t="s">
        <v>1459</v>
      </c>
      <c r="F676" s="82"/>
      <c r="G676" s="85"/>
      <c r="H676" s="82" t="s">
        <v>51</v>
      </c>
      <c r="I676" s="85"/>
      <c r="J676" s="85"/>
      <c r="K676" s="82"/>
      <c r="L676" s="82"/>
      <c r="M676" s="82"/>
      <c r="N676" s="82"/>
      <c r="O676" s="82"/>
      <c r="P676" s="82"/>
      <c r="Q676" s="82"/>
      <c r="R676" s="82"/>
      <c r="S676" s="97"/>
      <c r="T676" s="97"/>
      <c r="X676" s="94" t="s">
        <v>1728</v>
      </c>
      <c r="Y676" s="95" t="s">
        <v>1633</v>
      </c>
      <c r="Z676" s="95"/>
      <c r="AA676" s="94" t="s">
        <v>1742</v>
      </c>
      <c r="AB676" s="94"/>
      <c r="AC676" s="94"/>
      <c r="AD676" s="94"/>
      <c r="AE676" s="94"/>
      <c r="AF676" s="94"/>
      <c r="AG676" s="93" t="s">
        <v>1724</v>
      </c>
      <c r="AS676" s="94"/>
      <c r="AT676" s="94"/>
      <c r="AU676" s="94">
        <v>80</v>
      </c>
      <c r="AV676" s="94"/>
      <c r="BA676" s="94" t="s">
        <v>1727</v>
      </c>
      <c r="BB676" s="108">
        <f>Schäden_Einband!X676+Schäden_Buchblock!AC676</f>
        <v>0</v>
      </c>
      <c r="BC676" s="95"/>
      <c r="BD676" s="93" t="s">
        <v>1951</v>
      </c>
    </row>
    <row r="677" spans="1:63" x14ac:dyDescent="0.25">
      <c r="A677" s="82">
        <v>652</v>
      </c>
      <c r="B677" s="64" t="s">
        <v>1460</v>
      </c>
      <c r="C677" s="64">
        <v>1066970467</v>
      </c>
      <c r="D677" s="84" t="str">
        <f t="shared" si="11"/>
        <v>https://portal.dnb.de/opac.htm?method=simpleSearch&amp;cqlMode=true&amp;query=idn%3D1066970467</v>
      </c>
      <c r="E677" s="64" t="s">
        <v>1461</v>
      </c>
      <c r="F677" s="82"/>
      <c r="G677" s="85"/>
      <c r="H677" s="82" t="s">
        <v>51</v>
      </c>
      <c r="I677" s="85"/>
      <c r="J677" s="85"/>
      <c r="K677" s="82"/>
      <c r="L677" s="82"/>
      <c r="M677" s="82"/>
      <c r="N677" s="82"/>
      <c r="O677" s="82"/>
      <c r="P677" s="82"/>
      <c r="Q677" s="82"/>
      <c r="R677" s="82"/>
      <c r="S677" s="97"/>
      <c r="T677" s="97"/>
      <c r="X677" s="94" t="s">
        <v>1730</v>
      </c>
      <c r="Y677" s="95"/>
      <c r="Z677" s="95" t="s">
        <v>1633</v>
      </c>
      <c r="AA677" s="94" t="s">
        <v>1723</v>
      </c>
      <c r="AB677" s="94"/>
      <c r="AC677" s="94"/>
      <c r="AD677" s="94"/>
      <c r="AE677" s="94"/>
      <c r="AF677" s="94"/>
      <c r="AG677" s="93" t="s">
        <v>1724</v>
      </c>
      <c r="AS677" s="94"/>
      <c r="AT677" s="94"/>
      <c r="AU677" s="94">
        <v>110</v>
      </c>
      <c r="AV677" s="94"/>
      <c r="BA677" s="94" t="s">
        <v>1727</v>
      </c>
      <c r="BB677" s="108">
        <f>Schäden_Einband!X677+Schäden_Buchblock!AC677</f>
        <v>0</v>
      </c>
      <c r="BC677" s="95"/>
      <c r="BD677" s="93" t="s">
        <v>1951</v>
      </c>
      <c r="BK677" s="63" t="s">
        <v>1952</v>
      </c>
    </row>
    <row r="678" spans="1:63" x14ac:dyDescent="0.25">
      <c r="A678" s="82">
        <v>653</v>
      </c>
      <c r="B678" s="64" t="s">
        <v>1462</v>
      </c>
      <c r="C678" s="64">
        <v>1072379643</v>
      </c>
      <c r="D678" s="84" t="str">
        <f t="shared" si="11"/>
        <v>https://portal.dnb.de/opac.htm?method=simpleSearch&amp;cqlMode=true&amp;query=idn%3D1072379643</v>
      </c>
      <c r="E678" s="64" t="s">
        <v>1463</v>
      </c>
      <c r="F678" s="82"/>
      <c r="G678" s="85"/>
      <c r="H678" s="82"/>
      <c r="I678" s="85"/>
      <c r="J678" s="85"/>
      <c r="K678" s="82"/>
      <c r="L678" s="82"/>
      <c r="M678" s="82"/>
      <c r="N678" s="82"/>
      <c r="O678" s="82"/>
      <c r="P678" s="82"/>
      <c r="Q678" s="82"/>
      <c r="R678" s="82"/>
      <c r="S678" s="97"/>
      <c r="T678" s="97"/>
      <c r="X678" s="94"/>
      <c r="Y678" s="95"/>
      <c r="Z678" s="95"/>
      <c r="AA678" s="94"/>
      <c r="AB678" s="94"/>
      <c r="AC678" s="94"/>
      <c r="AD678" s="94"/>
      <c r="AE678" s="94"/>
      <c r="AF678" s="94"/>
      <c r="AS678" s="94"/>
      <c r="AT678" s="94"/>
      <c r="AU678" s="94"/>
      <c r="AV678" s="94"/>
      <c r="BB678" s="108">
        <f>Schäden_Einband!X678+Schäden_Buchblock!AC678</f>
        <v>0</v>
      </c>
      <c r="BC678" s="95"/>
    </row>
    <row r="679" spans="1:63" x14ac:dyDescent="0.25">
      <c r="A679" s="82">
        <v>654</v>
      </c>
      <c r="B679" s="64" t="s">
        <v>1464</v>
      </c>
      <c r="C679" s="64">
        <v>1072184923</v>
      </c>
      <c r="D679" s="84" t="str">
        <f t="shared" si="11"/>
        <v>https://portal.dnb.de/opac.htm?method=simpleSearch&amp;cqlMode=true&amp;query=idn%3D1072184923</v>
      </c>
      <c r="E679" s="64" t="s">
        <v>1465</v>
      </c>
      <c r="F679" s="82"/>
      <c r="G679" s="85"/>
      <c r="H679" s="82" t="s">
        <v>51</v>
      </c>
      <c r="I679" s="85"/>
      <c r="J679" s="85"/>
      <c r="K679" s="82"/>
      <c r="L679" s="82"/>
      <c r="M679" s="82"/>
      <c r="N679" s="82"/>
      <c r="O679" s="82"/>
      <c r="P679" s="82"/>
      <c r="Q679" s="82"/>
      <c r="R679" s="82"/>
      <c r="S679" s="97"/>
      <c r="T679" s="97"/>
      <c r="X679" s="94" t="s">
        <v>1728</v>
      </c>
      <c r="Y679" s="95" t="s">
        <v>1633</v>
      </c>
      <c r="Z679" s="95" t="s">
        <v>1633</v>
      </c>
      <c r="AA679" s="94" t="s">
        <v>1723</v>
      </c>
      <c r="AB679" s="94"/>
      <c r="AC679" s="94"/>
      <c r="AD679" s="94"/>
      <c r="AE679" s="94"/>
      <c r="AF679" s="94"/>
      <c r="AG679" s="93" t="s">
        <v>1724</v>
      </c>
      <c r="AQ679" s="93" t="s">
        <v>1729</v>
      </c>
      <c r="AR679" s="93" t="s">
        <v>1633</v>
      </c>
      <c r="AS679" s="94"/>
      <c r="AT679" s="94"/>
      <c r="AU679" s="94">
        <v>110</v>
      </c>
      <c r="AV679" s="94"/>
      <c r="BA679" s="94" t="s">
        <v>1727</v>
      </c>
      <c r="BB679" s="108">
        <f>Schäden_Einband!X679+Schäden_Buchblock!AC679</f>
        <v>0</v>
      </c>
      <c r="BC679" s="95"/>
      <c r="BD679" s="93" t="s">
        <v>1951</v>
      </c>
    </row>
    <row r="680" spans="1:63" x14ac:dyDescent="0.25">
      <c r="A680" s="82">
        <v>655</v>
      </c>
      <c r="B680" s="64" t="s">
        <v>1466</v>
      </c>
      <c r="C680" s="64">
        <v>1066967776</v>
      </c>
      <c r="D680" s="84" t="str">
        <f t="shared" si="11"/>
        <v>https://portal.dnb.de/opac.htm?method=simpleSearch&amp;cqlMode=true&amp;query=idn%3D1066967776</v>
      </c>
      <c r="E680" s="64" t="s">
        <v>1467</v>
      </c>
      <c r="F680" s="82"/>
      <c r="G680" s="85"/>
      <c r="H680" s="82" t="s">
        <v>51</v>
      </c>
      <c r="I680" s="85"/>
      <c r="J680" s="85"/>
      <c r="K680" s="82"/>
      <c r="L680" s="82"/>
      <c r="M680" s="82"/>
      <c r="N680" s="82"/>
      <c r="O680" s="82"/>
      <c r="P680" s="82"/>
      <c r="Q680" s="82"/>
      <c r="R680" s="82"/>
      <c r="S680" s="97"/>
      <c r="T680" s="97"/>
      <c r="X680" s="94" t="s">
        <v>1728</v>
      </c>
      <c r="Y680" s="95" t="s">
        <v>1633</v>
      </c>
      <c r="Z680" s="95"/>
      <c r="AA680" s="94" t="s">
        <v>1723</v>
      </c>
      <c r="AB680" s="94"/>
      <c r="AC680" s="94"/>
      <c r="AD680" s="94"/>
      <c r="AE680" s="94"/>
      <c r="AF680" s="94"/>
      <c r="AG680" s="93" t="s">
        <v>1724</v>
      </c>
      <c r="AS680" s="94"/>
      <c r="AT680" s="94"/>
      <c r="AU680" s="94">
        <v>110</v>
      </c>
      <c r="AV680" s="94"/>
      <c r="BA680" s="94" t="s">
        <v>1733</v>
      </c>
      <c r="BB680" s="108">
        <f>Schäden_Einband!X680+Schäden_Buchblock!AC680</f>
        <v>0.5</v>
      </c>
      <c r="BC680" s="95"/>
      <c r="BD680" s="93" t="s">
        <v>1951</v>
      </c>
    </row>
    <row r="681" spans="1:63" x14ac:dyDescent="0.25">
      <c r="A681" s="82">
        <v>656</v>
      </c>
      <c r="B681" s="64" t="s">
        <v>1468</v>
      </c>
      <c r="C681" s="64">
        <v>1066970823</v>
      </c>
      <c r="D681" s="84" t="str">
        <f t="shared" si="11"/>
        <v>https://portal.dnb.de/opac.htm?method=simpleSearch&amp;cqlMode=true&amp;query=idn%3D1066970823</v>
      </c>
      <c r="E681" s="64" t="s">
        <v>1469</v>
      </c>
      <c r="F681" s="82"/>
      <c r="G681" s="85"/>
      <c r="H681" s="82" t="s">
        <v>51</v>
      </c>
      <c r="I681" s="85"/>
      <c r="J681" s="85"/>
      <c r="K681" s="82"/>
      <c r="L681" s="82"/>
      <c r="M681" s="82"/>
      <c r="N681" s="82"/>
      <c r="O681" s="82"/>
      <c r="P681" s="82"/>
      <c r="Q681" s="82"/>
      <c r="R681" s="82"/>
      <c r="S681" s="97"/>
      <c r="T681" s="97"/>
      <c r="X681" s="94" t="s">
        <v>1722</v>
      </c>
      <c r="Y681" s="95"/>
      <c r="Z681" s="95" t="s">
        <v>1633</v>
      </c>
      <c r="AA681" s="94" t="s">
        <v>1742</v>
      </c>
      <c r="AB681" s="94"/>
      <c r="AC681" s="94"/>
      <c r="AD681" s="94"/>
      <c r="AE681" s="94"/>
      <c r="AF681" s="94"/>
      <c r="AG681" s="93" t="s">
        <v>1724</v>
      </c>
      <c r="AS681" s="94"/>
      <c r="AT681" s="94"/>
      <c r="AU681" s="94">
        <v>110</v>
      </c>
      <c r="AV681" s="94"/>
      <c r="AY681" s="93" t="s">
        <v>1633</v>
      </c>
      <c r="BA681" s="94" t="s">
        <v>1727</v>
      </c>
      <c r="BB681" s="108">
        <f>Schäden_Einband!X681+Schäden_Buchblock!AC681</f>
        <v>0</v>
      </c>
      <c r="BC681" s="95"/>
      <c r="BD681" s="93" t="s">
        <v>1886</v>
      </c>
    </row>
    <row r="682" spans="1:63" x14ac:dyDescent="0.25">
      <c r="A682" s="82">
        <v>657</v>
      </c>
      <c r="B682" s="64" t="s">
        <v>1470</v>
      </c>
      <c r="C682" s="64" t="s">
        <v>1471</v>
      </c>
      <c r="D682" s="84" t="str">
        <f t="shared" si="11"/>
        <v>https://portal.dnb.de/opac.htm?method=simpleSearch&amp;cqlMode=true&amp;query=idn%3D106696999X</v>
      </c>
      <c r="E682" s="64" t="s">
        <v>1472</v>
      </c>
      <c r="F682" s="82"/>
      <c r="G682" s="85"/>
      <c r="H682" s="82"/>
      <c r="I682" s="85"/>
      <c r="J682" s="85"/>
      <c r="K682" s="82"/>
      <c r="L682" s="82"/>
      <c r="M682" s="82"/>
      <c r="N682" s="82"/>
      <c r="O682" s="82"/>
      <c r="P682" s="82"/>
      <c r="Q682" s="82"/>
      <c r="R682" s="82"/>
      <c r="S682" s="97" t="s">
        <v>1721</v>
      </c>
      <c r="T682" s="97"/>
      <c r="X682" s="94"/>
      <c r="Y682" s="95"/>
      <c r="Z682" s="95"/>
      <c r="AA682" s="94"/>
      <c r="AB682" s="94"/>
      <c r="AC682" s="94"/>
      <c r="AD682" s="94"/>
      <c r="AE682" s="94"/>
      <c r="AF682" s="94"/>
      <c r="AS682" s="94"/>
      <c r="AT682" s="94"/>
      <c r="AU682" s="94"/>
      <c r="AV682" s="94"/>
      <c r="BB682" s="108">
        <f>Schäden_Einband!X682+Schäden_Buchblock!AC682</f>
        <v>0</v>
      </c>
      <c r="BC682" s="95"/>
    </row>
    <row r="683" spans="1:63" x14ac:dyDescent="0.25">
      <c r="A683" s="82">
        <v>658</v>
      </c>
      <c r="B683" s="64" t="s">
        <v>1473</v>
      </c>
      <c r="C683" s="64">
        <v>1072379988</v>
      </c>
      <c r="D683" s="84" t="str">
        <f t="shared" si="11"/>
        <v>https://portal.dnb.de/opac.htm?method=simpleSearch&amp;cqlMode=true&amp;query=idn%3D1072379988</v>
      </c>
      <c r="E683" s="63" t="s">
        <v>1474</v>
      </c>
      <c r="F683" s="82"/>
      <c r="G683" s="85"/>
      <c r="H683" s="82" t="s">
        <v>51</v>
      </c>
      <c r="I683" s="85"/>
      <c r="J683" s="85"/>
      <c r="K683" s="82"/>
      <c r="L683" s="82"/>
      <c r="M683" s="82"/>
      <c r="N683" s="82"/>
      <c r="O683" s="82"/>
      <c r="P683" s="82"/>
      <c r="Q683" s="82"/>
      <c r="R683" s="82"/>
      <c r="S683" s="97"/>
      <c r="T683" s="97"/>
      <c r="X683" s="94" t="s">
        <v>1741</v>
      </c>
      <c r="Y683" s="95" t="s">
        <v>1633</v>
      </c>
      <c r="Z683" s="95" t="s">
        <v>1633</v>
      </c>
      <c r="AA683" s="94" t="s">
        <v>1738</v>
      </c>
      <c r="AB683" s="94"/>
      <c r="AC683" s="94"/>
      <c r="AD683" s="94"/>
      <c r="AE683" s="94"/>
      <c r="AF683" s="94"/>
      <c r="AG683" s="93" t="s">
        <v>1724</v>
      </c>
      <c r="AS683" s="94">
        <v>2</v>
      </c>
      <c r="AT683" s="94" t="s">
        <v>1633</v>
      </c>
      <c r="AU683" s="94">
        <v>60</v>
      </c>
      <c r="AV683" s="94"/>
      <c r="BA683" s="94" t="s">
        <v>1727</v>
      </c>
      <c r="BB683" s="108">
        <f>Schäden_Einband!X683+Schäden_Buchblock!AC683</f>
        <v>0</v>
      </c>
      <c r="BC683" s="95"/>
      <c r="BD683" s="93" t="s">
        <v>1951</v>
      </c>
      <c r="BJ683" s="81" t="s">
        <v>1974</v>
      </c>
    </row>
    <row r="684" spans="1:63" x14ac:dyDescent="0.25">
      <c r="A684" s="82">
        <v>659</v>
      </c>
      <c r="B684" s="64" t="s">
        <v>1475</v>
      </c>
      <c r="C684" s="64">
        <v>1066971013</v>
      </c>
      <c r="D684" s="84" t="str">
        <f t="shared" si="11"/>
        <v>https://portal.dnb.de/opac.htm?method=simpleSearch&amp;cqlMode=true&amp;query=idn%3D1066971013</v>
      </c>
      <c r="E684" s="64" t="s">
        <v>1476</v>
      </c>
      <c r="F684" s="82"/>
      <c r="G684" s="85"/>
      <c r="H684" s="82"/>
      <c r="I684" s="85"/>
      <c r="J684" s="85"/>
      <c r="K684" s="82"/>
      <c r="L684" s="82"/>
      <c r="M684" s="82"/>
      <c r="N684" s="82"/>
      <c r="O684" s="82"/>
      <c r="P684" s="82"/>
      <c r="Q684" s="82"/>
      <c r="R684" s="82"/>
      <c r="S684" s="97"/>
      <c r="T684" s="97"/>
      <c r="X684" s="94"/>
      <c r="Y684" s="95"/>
      <c r="Z684" s="95"/>
      <c r="AA684" s="94"/>
      <c r="AB684" s="94"/>
      <c r="AC684" s="94"/>
      <c r="AD684" s="94"/>
      <c r="AE684" s="94"/>
      <c r="AF684" s="94"/>
      <c r="AS684" s="94"/>
      <c r="AT684" s="94"/>
      <c r="AU684" s="94"/>
      <c r="AV684" s="94"/>
      <c r="BB684" s="108">
        <f>Schäden_Einband!X684+Schäden_Buchblock!AC684</f>
        <v>0</v>
      </c>
      <c r="BC684" s="95"/>
    </row>
    <row r="685" spans="1:63" ht="34.5" x14ac:dyDescent="0.25">
      <c r="A685" s="82">
        <v>660</v>
      </c>
      <c r="B685" s="64" t="s">
        <v>1477</v>
      </c>
      <c r="C685" s="64">
        <v>1066967261</v>
      </c>
      <c r="D685" s="84" t="str">
        <f t="shared" si="11"/>
        <v>https://portal.dnb.de/opac.htm?method=simpleSearch&amp;cqlMode=true&amp;query=idn%3D1066967261</v>
      </c>
      <c r="E685" s="64" t="s">
        <v>1478</v>
      </c>
      <c r="F685" s="82"/>
      <c r="G685" s="85"/>
      <c r="H685" s="82" t="s">
        <v>50</v>
      </c>
      <c r="I685" s="85"/>
      <c r="J685" s="85"/>
      <c r="K685" s="82"/>
      <c r="L685" s="82"/>
      <c r="M685" s="82"/>
      <c r="N685" s="82"/>
      <c r="O685" s="82"/>
      <c r="P685" s="82"/>
      <c r="Q685" s="82"/>
      <c r="R685" s="82"/>
      <c r="S685" s="97"/>
      <c r="T685" s="97"/>
      <c r="X685" s="94" t="s">
        <v>1741</v>
      </c>
      <c r="Y685" s="95"/>
      <c r="Z685" s="95" t="s">
        <v>1633</v>
      </c>
      <c r="AA685" s="94" t="s">
        <v>1738</v>
      </c>
      <c r="AB685" s="94"/>
      <c r="AC685" s="94"/>
      <c r="AD685" s="94"/>
      <c r="AE685" s="94"/>
      <c r="AF685" s="94"/>
      <c r="AG685" s="93" t="s">
        <v>1724</v>
      </c>
      <c r="AS685" s="94"/>
      <c r="AT685" s="94"/>
      <c r="AU685" s="94" t="s">
        <v>1726</v>
      </c>
      <c r="AV685" s="94"/>
      <c r="BA685" s="94" t="s">
        <v>1727</v>
      </c>
      <c r="BB685" s="108">
        <f>Schäden_Einband!X685+Schäden_Buchblock!AC685</f>
        <v>0</v>
      </c>
      <c r="BC685" s="95"/>
      <c r="BD685" s="93" t="s">
        <v>1886</v>
      </c>
      <c r="BJ685" s="81" t="s">
        <v>1975</v>
      </c>
    </row>
    <row r="686" spans="1:63" x14ac:dyDescent="0.25">
      <c r="A686" s="82">
        <v>661</v>
      </c>
      <c r="B686" s="64" t="s">
        <v>1479</v>
      </c>
      <c r="C686" s="64">
        <v>1072381877</v>
      </c>
      <c r="D686" s="84" t="str">
        <f t="shared" si="11"/>
        <v>https://portal.dnb.de/opac.htm?method=simpleSearch&amp;cqlMode=true&amp;query=idn%3D1072381877</v>
      </c>
      <c r="E686" s="64" t="s">
        <v>1480</v>
      </c>
      <c r="F686" s="82"/>
      <c r="G686" s="85"/>
      <c r="H686" s="82" t="s">
        <v>51</v>
      </c>
      <c r="I686" s="85"/>
      <c r="J686" s="85"/>
      <c r="K686" s="82"/>
      <c r="L686" s="82"/>
      <c r="M686" s="82"/>
      <c r="N686" s="82"/>
      <c r="O686" s="82"/>
      <c r="P686" s="82"/>
      <c r="Q686" s="82"/>
      <c r="R686" s="82"/>
      <c r="S686" s="97"/>
      <c r="T686" s="97"/>
      <c r="X686" s="94" t="s">
        <v>1728</v>
      </c>
      <c r="Y686" s="95" t="s">
        <v>1633</v>
      </c>
      <c r="Z686" s="95"/>
      <c r="AA686" s="94" t="s">
        <v>1723</v>
      </c>
      <c r="AB686" s="94"/>
      <c r="AC686" s="94"/>
      <c r="AD686" s="94"/>
      <c r="AE686" s="94"/>
      <c r="AF686" s="94"/>
      <c r="AG686" s="93" t="s">
        <v>1724</v>
      </c>
      <c r="AS686" s="94"/>
      <c r="AT686" s="94"/>
      <c r="AU686" s="94">
        <v>110</v>
      </c>
      <c r="AV686" s="94"/>
      <c r="BA686" s="94" t="s">
        <v>1727</v>
      </c>
      <c r="BB686" s="108">
        <f>Schäden_Einband!X686+Schäden_Buchblock!AC686</f>
        <v>0</v>
      </c>
      <c r="BC686" s="95"/>
      <c r="BD686" s="93" t="s">
        <v>1951</v>
      </c>
    </row>
    <row r="687" spans="1:63" x14ac:dyDescent="0.25">
      <c r="A687" s="82">
        <v>662</v>
      </c>
      <c r="B687" s="64" t="s">
        <v>1481</v>
      </c>
      <c r="C687" s="64">
        <v>1066967725</v>
      </c>
      <c r="D687" s="84" t="str">
        <f t="shared" si="11"/>
        <v>https://portal.dnb.de/opac.htm?method=simpleSearch&amp;cqlMode=true&amp;query=idn%3D1066967725</v>
      </c>
      <c r="E687" s="64" t="s">
        <v>1482</v>
      </c>
      <c r="F687" s="82"/>
      <c r="G687" s="85"/>
      <c r="H687" s="82" t="s">
        <v>51</v>
      </c>
      <c r="I687" s="85"/>
      <c r="J687" s="85"/>
      <c r="K687" s="82"/>
      <c r="L687" s="82"/>
      <c r="M687" s="82"/>
      <c r="N687" s="82"/>
      <c r="O687" s="82"/>
      <c r="P687" s="82"/>
      <c r="Q687" s="82"/>
      <c r="R687" s="82"/>
      <c r="S687" s="97"/>
      <c r="T687" s="97"/>
      <c r="X687" s="94" t="s">
        <v>1728</v>
      </c>
      <c r="Y687" s="95" t="s">
        <v>1633</v>
      </c>
      <c r="Z687" s="95"/>
      <c r="AA687" s="94" t="s">
        <v>1723</v>
      </c>
      <c r="AB687" s="94"/>
      <c r="AC687" s="94"/>
      <c r="AD687" s="94"/>
      <c r="AE687" s="94"/>
      <c r="AF687" s="94"/>
      <c r="AG687" s="93" t="s">
        <v>1724</v>
      </c>
      <c r="AS687" s="94"/>
      <c r="AT687" s="94"/>
      <c r="AU687" s="94">
        <v>45</v>
      </c>
      <c r="AV687" s="94"/>
      <c r="BA687" s="94" t="s">
        <v>1727</v>
      </c>
      <c r="BB687" s="108">
        <f>Schäden_Einband!X687+Schäden_Buchblock!AC687</f>
        <v>0</v>
      </c>
      <c r="BC687" s="95"/>
      <c r="BD687" s="93" t="s">
        <v>1951</v>
      </c>
      <c r="BJ687" s="81" t="s">
        <v>1955</v>
      </c>
      <c r="BK687" s="63" t="s">
        <v>1976</v>
      </c>
    </row>
    <row r="688" spans="1:63" x14ac:dyDescent="0.25">
      <c r="A688" s="82">
        <v>663</v>
      </c>
      <c r="B688" s="64" t="s">
        <v>1483</v>
      </c>
      <c r="C688" s="64">
        <v>1066972079</v>
      </c>
      <c r="D688" s="84" t="str">
        <f t="shared" si="11"/>
        <v>https://portal.dnb.de/opac.htm?method=simpleSearch&amp;cqlMode=true&amp;query=idn%3D1066972079</v>
      </c>
      <c r="E688" s="64" t="s">
        <v>1484</v>
      </c>
      <c r="F688" s="82"/>
      <c r="G688" s="85"/>
      <c r="H688" s="82"/>
      <c r="I688" s="85"/>
      <c r="J688" s="85"/>
      <c r="K688" s="82"/>
      <c r="L688" s="82"/>
      <c r="M688" s="82"/>
      <c r="N688" s="82"/>
      <c r="O688" s="82"/>
      <c r="P688" s="82"/>
      <c r="Q688" s="82"/>
      <c r="R688" s="82"/>
      <c r="S688" s="97"/>
      <c r="T688" s="97"/>
      <c r="X688" s="94"/>
      <c r="Y688" s="95"/>
      <c r="Z688" s="95"/>
      <c r="AA688" s="94"/>
      <c r="AB688" s="94"/>
      <c r="AC688" s="94"/>
      <c r="AD688" s="94"/>
      <c r="AE688" s="94"/>
      <c r="AF688" s="94"/>
      <c r="AS688" s="94"/>
      <c r="AT688" s="94"/>
      <c r="AU688" s="94"/>
      <c r="AV688" s="94"/>
      <c r="BB688" s="108">
        <f>Schäden_Einband!X688+Schäden_Buchblock!AC688</f>
        <v>0</v>
      </c>
      <c r="BC688" s="95"/>
    </row>
    <row r="689" spans="1:63" x14ac:dyDescent="0.25">
      <c r="A689" s="82">
        <v>664</v>
      </c>
      <c r="B689" s="64" t="s">
        <v>1485</v>
      </c>
      <c r="C689" s="64">
        <v>1066969345</v>
      </c>
      <c r="D689" s="84" t="str">
        <f t="shared" si="11"/>
        <v>https://portal.dnb.de/opac.htm?method=simpleSearch&amp;cqlMode=true&amp;query=idn%3D1066969345</v>
      </c>
      <c r="E689" s="64" t="s">
        <v>1486</v>
      </c>
      <c r="F689" s="82"/>
      <c r="G689" s="85"/>
      <c r="H689" s="82" t="s">
        <v>51</v>
      </c>
      <c r="I689" s="85"/>
      <c r="J689" s="85"/>
      <c r="K689" s="82"/>
      <c r="L689" s="82"/>
      <c r="M689" s="82"/>
      <c r="N689" s="82"/>
      <c r="O689" s="82"/>
      <c r="P689" s="82"/>
      <c r="Q689" s="82"/>
      <c r="R689" s="82"/>
      <c r="S689" s="97"/>
      <c r="T689" s="97"/>
      <c r="X689" s="94" t="s">
        <v>1741</v>
      </c>
      <c r="Y689" s="95" t="s">
        <v>1633</v>
      </c>
      <c r="Z689" s="95"/>
      <c r="AA689" s="94" t="s">
        <v>1742</v>
      </c>
      <c r="AB689" s="94"/>
      <c r="AC689" s="94"/>
      <c r="AD689" s="94"/>
      <c r="AE689" s="94"/>
      <c r="AF689" s="94"/>
      <c r="AG689" s="93" t="s">
        <v>1724</v>
      </c>
      <c r="AS689" s="94"/>
      <c r="AT689" s="94"/>
      <c r="AU689" s="94">
        <v>110</v>
      </c>
      <c r="AV689" s="94"/>
      <c r="BA689" s="94" t="s">
        <v>1727</v>
      </c>
      <c r="BB689" s="108">
        <f>Schäden_Einband!X689+Schäden_Buchblock!AC689</f>
        <v>0</v>
      </c>
      <c r="BC689" s="95"/>
      <c r="BD689" s="93" t="s">
        <v>1951</v>
      </c>
    </row>
    <row r="690" spans="1:63" x14ac:dyDescent="0.25">
      <c r="A690" s="82">
        <v>665</v>
      </c>
      <c r="B690" s="64" t="s">
        <v>1487</v>
      </c>
      <c r="C690" s="64" t="s">
        <v>1488</v>
      </c>
      <c r="D690" s="84" t="str">
        <f t="shared" si="11"/>
        <v>https://portal.dnb.de/opac.htm?method=simpleSearch&amp;cqlMode=true&amp;query=idn%3D106707564X</v>
      </c>
      <c r="E690" s="64" t="s">
        <v>1489</v>
      </c>
      <c r="F690" s="82"/>
      <c r="G690" s="85"/>
      <c r="H690" s="82" t="s">
        <v>51</v>
      </c>
      <c r="I690" s="85"/>
      <c r="J690" s="85"/>
      <c r="K690" s="82"/>
      <c r="L690" s="82"/>
      <c r="M690" s="82"/>
      <c r="N690" s="82"/>
      <c r="O690" s="82"/>
      <c r="P690" s="82"/>
      <c r="Q690" s="82"/>
      <c r="R690" s="82"/>
      <c r="S690" s="97"/>
      <c r="T690" s="97"/>
      <c r="X690" s="94" t="s">
        <v>1722</v>
      </c>
      <c r="Y690" s="95"/>
      <c r="Z690" s="95"/>
      <c r="AA690" s="94" t="s">
        <v>1742</v>
      </c>
      <c r="AB690" s="94"/>
      <c r="AC690" s="94"/>
      <c r="AD690" s="94"/>
      <c r="AE690" s="94"/>
      <c r="AF690" s="94"/>
      <c r="AG690" s="93" t="s">
        <v>1724</v>
      </c>
      <c r="AS690" s="94"/>
      <c r="AT690" s="94"/>
      <c r="AU690" s="94">
        <v>60</v>
      </c>
      <c r="AV690" s="94"/>
      <c r="BA690" s="94" t="s">
        <v>1727</v>
      </c>
      <c r="BB690" s="108">
        <f>Schäden_Einband!X690+Schäden_Buchblock!AC690</f>
        <v>0</v>
      </c>
      <c r="BC690" s="95"/>
      <c r="BD690" s="93" t="s">
        <v>1951</v>
      </c>
    </row>
    <row r="691" spans="1:63" x14ac:dyDescent="0.25">
      <c r="A691" s="82">
        <v>666</v>
      </c>
      <c r="B691" s="64" t="s">
        <v>1490</v>
      </c>
      <c r="C691" s="64">
        <v>1072382318</v>
      </c>
      <c r="D691" s="84" t="str">
        <f t="shared" si="11"/>
        <v>https://portal.dnb.de/opac.htm?method=simpleSearch&amp;cqlMode=true&amp;query=idn%3D1072382318</v>
      </c>
      <c r="E691" s="64" t="s">
        <v>1491</v>
      </c>
      <c r="F691" s="82"/>
      <c r="G691" s="85"/>
      <c r="H691" s="82"/>
      <c r="I691" s="85"/>
      <c r="J691" s="85"/>
      <c r="K691" s="82"/>
      <c r="L691" s="82"/>
      <c r="M691" s="82"/>
      <c r="N691" s="82"/>
      <c r="O691" s="82"/>
      <c r="P691" s="82"/>
      <c r="Q691" s="82"/>
      <c r="R691" s="82"/>
      <c r="S691" s="97"/>
      <c r="T691" s="97"/>
      <c r="X691" s="94"/>
      <c r="Y691" s="95"/>
      <c r="Z691" s="95"/>
      <c r="AA691" s="94"/>
      <c r="AB691" s="94"/>
      <c r="AC691" s="94"/>
      <c r="AD691" s="94"/>
      <c r="AE691" s="94"/>
      <c r="AF691" s="94"/>
      <c r="AS691" s="94"/>
      <c r="AT691" s="94"/>
      <c r="AU691" s="94"/>
      <c r="AV691" s="94"/>
      <c r="BB691" s="108">
        <f>Schäden_Einband!X691+Schäden_Buchblock!AC691</f>
        <v>0</v>
      </c>
      <c r="BC691" s="95"/>
    </row>
    <row r="692" spans="1:63" x14ac:dyDescent="0.25">
      <c r="A692" s="82">
        <v>667</v>
      </c>
      <c r="B692" s="64" t="s">
        <v>1492</v>
      </c>
      <c r="C692" s="64">
        <v>1066965994</v>
      </c>
      <c r="D692" s="84" t="str">
        <f t="shared" si="11"/>
        <v>https://portal.dnb.de/opac.htm?method=simpleSearch&amp;cqlMode=true&amp;query=idn%3D1066965994</v>
      </c>
      <c r="E692" s="64" t="s">
        <v>1493</v>
      </c>
      <c r="F692" s="82"/>
      <c r="G692" s="85"/>
      <c r="H692" s="82" t="s">
        <v>50</v>
      </c>
      <c r="I692" s="85"/>
      <c r="J692" s="85"/>
      <c r="K692" s="82"/>
      <c r="L692" s="82"/>
      <c r="M692" s="82"/>
      <c r="N692" s="82"/>
      <c r="O692" s="82"/>
      <c r="P692" s="82"/>
      <c r="Q692" s="82"/>
      <c r="R692" s="82"/>
      <c r="S692" s="97"/>
      <c r="T692" s="97"/>
      <c r="X692" s="94" t="s">
        <v>1739</v>
      </c>
      <c r="Y692" s="95" t="s">
        <v>1633</v>
      </c>
      <c r="Z692" s="95"/>
      <c r="AA692" s="94" t="s">
        <v>1723</v>
      </c>
      <c r="AB692" s="94"/>
      <c r="AC692" s="94"/>
      <c r="AD692" s="94"/>
      <c r="AE692" s="94"/>
      <c r="AF692" s="94"/>
      <c r="AG692" s="93" t="s">
        <v>1724</v>
      </c>
      <c r="AH692" s="93" t="s">
        <v>1633</v>
      </c>
      <c r="AQ692" s="93" t="s">
        <v>1729</v>
      </c>
      <c r="AR692" s="93" t="s">
        <v>1633</v>
      </c>
      <c r="AS692" s="94"/>
      <c r="AT692" s="94"/>
      <c r="AU692" s="94">
        <v>110</v>
      </c>
      <c r="AV692" s="94"/>
      <c r="BA692" s="94" t="s">
        <v>1727</v>
      </c>
      <c r="BB692" s="108">
        <f>Schäden_Einband!X692+Schäden_Buchblock!AC692</f>
        <v>0</v>
      </c>
      <c r="BC692" s="95"/>
      <c r="BD692" s="93" t="s">
        <v>1951</v>
      </c>
    </row>
    <row r="693" spans="1:63" x14ac:dyDescent="0.25">
      <c r="A693" s="82">
        <v>668</v>
      </c>
      <c r="B693" s="64" t="s">
        <v>1494</v>
      </c>
      <c r="C693" s="64">
        <v>1066968144</v>
      </c>
      <c r="D693" s="84" t="str">
        <f t="shared" si="11"/>
        <v>https://portal.dnb.de/opac.htm?method=simpleSearch&amp;cqlMode=true&amp;query=idn%3D1066968144</v>
      </c>
      <c r="E693" s="64" t="s">
        <v>1495</v>
      </c>
      <c r="F693" s="82"/>
      <c r="G693" s="85"/>
      <c r="H693" s="82" t="s">
        <v>50</v>
      </c>
      <c r="I693" s="85"/>
      <c r="J693" s="85"/>
      <c r="K693" s="82"/>
      <c r="L693" s="82"/>
      <c r="M693" s="82"/>
      <c r="N693" s="82"/>
      <c r="O693" s="82"/>
      <c r="P693" s="82"/>
      <c r="Q693" s="82"/>
      <c r="R693" s="82"/>
      <c r="S693" s="97"/>
      <c r="T693" s="97"/>
      <c r="X693" s="94" t="s">
        <v>1739</v>
      </c>
      <c r="Y693" s="95" t="s">
        <v>1633</v>
      </c>
      <c r="Z693" s="95"/>
      <c r="AA693" s="94" t="s">
        <v>1723</v>
      </c>
      <c r="AB693" s="94"/>
      <c r="AC693" s="94"/>
      <c r="AD693" s="94"/>
      <c r="AE693" s="94"/>
      <c r="AF693" s="94"/>
      <c r="AG693" s="93" t="s">
        <v>1724</v>
      </c>
      <c r="AQ693" s="93" t="s">
        <v>1757</v>
      </c>
      <c r="AR693" s="93" t="s">
        <v>1633</v>
      </c>
      <c r="AS693" s="94"/>
      <c r="AT693" s="94"/>
      <c r="AU693" s="94">
        <v>110</v>
      </c>
      <c r="AV693" s="94"/>
      <c r="BA693" s="94" t="s">
        <v>1727</v>
      </c>
      <c r="BB693" s="108">
        <f>Schäden_Einband!X693+Schäden_Buchblock!AC693</f>
        <v>0</v>
      </c>
      <c r="BC693" s="95"/>
      <c r="BD693" s="93" t="s">
        <v>1951</v>
      </c>
    </row>
    <row r="694" spans="1:63" ht="23" x14ac:dyDescent="0.25">
      <c r="A694" s="82">
        <v>669</v>
      </c>
      <c r="B694" s="64" t="s">
        <v>1496</v>
      </c>
      <c r="C694" s="64">
        <v>1072187108</v>
      </c>
      <c r="D694" s="84" t="str">
        <f t="shared" si="11"/>
        <v>https://portal.dnb.de/opac.htm?method=simpleSearch&amp;cqlMode=true&amp;query=idn%3D1072187108</v>
      </c>
      <c r="E694" s="64" t="s">
        <v>1497</v>
      </c>
      <c r="F694" s="82"/>
      <c r="G694" s="85"/>
      <c r="H694" s="82" t="s">
        <v>51</v>
      </c>
      <c r="I694" s="85"/>
      <c r="J694" s="85"/>
      <c r="K694" s="82"/>
      <c r="L694" s="82"/>
      <c r="M694" s="82"/>
      <c r="N694" s="82"/>
      <c r="O694" s="82"/>
      <c r="P694" s="82"/>
      <c r="Q694" s="82"/>
      <c r="R694" s="82"/>
      <c r="S694" s="97"/>
      <c r="T694" s="97"/>
      <c r="X694" s="94" t="s">
        <v>1741</v>
      </c>
      <c r="Y694" s="95"/>
      <c r="Z694" s="95" t="s">
        <v>1633</v>
      </c>
      <c r="AA694" s="94" t="s">
        <v>1738</v>
      </c>
      <c r="AB694" s="94"/>
      <c r="AC694" s="94"/>
      <c r="AD694" s="94"/>
      <c r="AE694" s="94"/>
      <c r="AF694" s="94"/>
      <c r="AG694" s="93" t="s">
        <v>1724</v>
      </c>
      <c r="AS694" s="94"/>
      <c r="AT694" s="94"/>
      <c r="AU694" s="94">
        <v>110</v>
      </c>
      <c r="AV694" s="94"/>
      <c r="BA694" s="94" t="s">
        <v>1727</v>
      </c>
      <c r="BB694" s="108">
        <f>Schäden_Einband!X694+Schäden_Buchblock!AC694</f>
        <v>0</v>
      </c>
      <c r="BC694" s="95"/>
      <c r="BD694" s="93" t="s">
        <v>1951</v>
      </c>
      <c r="BJ694" s="81" t="s">
        <v>1977</v>
      </c>
      <c r="BK694" s="63" t="s">
        <v>1952</v>
      </c>
    </row>
    <row r="695" spans="1:63" x14ac:dyDescent="0.25">
      <c r="A695" s="82">
        <v>670</v>
      </c>
      <c r="B695" s="64" t="s">
        <v>1498</v>
      </c>
      <c r="C695" s="64">
        <v>1072187906</v>
      </c>
      <c r="D695" s="84" t="str">
        <f t="shared" si="11"/>
        <v>https://portal.dnb.de/opac.htm?method=simpleSearch&amp;cqlMode=true&amp;query=idn%3D1072187906</v>
      </c>
      <c r="E695" s="64" t="s">
        <v>1499</v>
      </c>
      <c r="F695" s="82"/>
      <c r="G695" s="85"/>
      <c r="H695" s="82"/>
      <c r="I695" s="85"/>
      <c r="J695" s="85"/>
      <c r="K695" s="82"/>
      <c r="L695" s="82"/>
      <c r="M695" s="82"/>
      <c r="N695" s="82"/>
      <c r="O695" s="82"/>
      <c r="P695" s="82"/>
      <c r="Q695" s="82"/>
      <c r="R695" s="82"/>
      <c r="S695" s="97"/>
      <c r="T695" s="97"/>
      <c r="X695" s="94"/>
      <c r="Y695" s="95"/>
      <c r="Z695" s="95"/>
      <c r="AA695" s="94"/>
      <c r="AB695" s="94"/>
      <c r="AC695" s="94"/>
      <c r="AD695" s="94"/>
      <c r="AE695" s="94"/>
      <c r="AF695" s="94"/>
      <c r="AS695" s="94"/>
      <c r="AT695" s="94"/>
      <c r="AU695" s="94"/>
      <c r="AV695" s="94"/>
      <c r="BB695" s="108">
        <f>Schäden_Einband!X695+Schäden_Buchblock!AC695</f>
        <v>0</v>
      </c>
      <c r="BC695" s="95"/>
    </row>
    <row r="696" spans="1:63" x14ac:dyDescent="0.25">
      <c r="A696" s="82">
        <v>671</v>
      </c>
      <c r="B696" s="64" t="s">
        <v>1500</v>
      </c>
      <c r="C696" s="64">
        <v>1066970572</v>
      </c>
      <c r="D696" s="84" t="str">
        <f t="shared" si="11"/>
        <v>https://portal.dnb.de/opac.htm?method=simpleSearch&amp;cqlMode=true&amp;query=idn%3D1066970572</v>
      </c>
      <c r="E696" s="64" t="s">
        <v>1501</v>
      </c>
      <c r="F696" s="82"/>
      <c r="G696" s="85"/>
      <c r="H696" s="82" t="s">
        <v>51</v>
      </c>
      <c r="I696" s="85"/>
      <c r="J696" s="85"/>
      <c r="K696" s="82"/>
      <c r="L696" s="82"/>
      <c r="M696" s="82"/>
      <c r="N696" s="82"/>
      <c r="O696" s="82"/>
      <c r="P696" s="82"/>
      <c r="Q696" s="82"/>
      <c r="R696" s="82"/>
      <c r="S696" s="97"/>
      <c r="T696" s="97"/>
      <c r="X696" s="94" t="s">
        <v>1741</v>
      </c>
      <c r="Y696" s="95" t="s">
        <v>1633</v>
      </c>
      <c r="Z696" s="95"/>
      <c r="AA696" s="94" t="s">
        <v>1742</v>
      </c>
      <c r="AB696" s="94"/>
      <c r="AC696" s="94"/>
      <c r="AD696" s="94"/>
      <c r="AE696" s="94"/>
      <c r="AF696" s="94"/>
      <c r="AG696" s="93" t="s">
        <v>1724</v>
      </c>
      <c r="AS696" s="94"/>
      <c r="AT696" s="94"/>
      <c r="AU696" s="94">
        <v>60</v>
      </c>
      <c r="AV696" s="94"/>
      <c r="BA696" s="94" t="s">
        <v>1733</v>
      </c>
      <c r="BB696" s="108">
        <f>Schäden_Einband!X696+Schäden_Buchblock!AC696</f>
        <v>5</v>
      </c>
      <c r="BC696" s="95"/>
      <c r="BD696" s="93" t="s">
        <v>1951</v>
      </c>
    </row>
    <row r="697" spans="1:63" x14ac:dyDescent="0.25">
      <c r="A697" s="82">
        <v>672</v>
      </c>
      <c r="B697" s="64" t="s">
        <v>1502</v>
      </c>
      <c r="C697" s="64">
        <v>1066971064</v>
      </c>
      <c r="D697" s="84" t="str">
        <f t="shared" si="11"/>
        <v>https://portal.dnb.de/opac.htm?method=simpleSearch&amp;cqlMode=true&amp;query=idn%3D1066971064</v>
      </c>
      <c r="E697" s="64" t="s">
        <v>1503</v>
      </c>
      <c r="F697" s="82"/>
      <c r="G697" s="85"/>
      <c r="H697" s="82"/>
      <c r="I697" s="85"/>
      <c r="J697" s="85"/>
      <c r="K697" s="82"/>
      <c r="L697" s="82"/>
      <c r="M697" s="82"/>
      <c r="N697" s="82"/>
      <c r="O697" s="82"/>
      <c r="P697" s="82"/>
      <c r="Q697" s="82"/>
      <c r="R697" s="82"/>
      <c r="S697" s="97"/>
      <c r="T697" s="97"/>
      <c r="X697" s="94"/>
      <c r="Y697" s="95"/>
      <c r="Z697" s="95"/>
      <c r="AA697" s="94"/>
      <c r="AB697" s="94"/>
      <c r="AC697" s="94"/>
      <c r="AD697" s="94"/>
      <c r="AE697" s="94"/>
      <c r="AF697" s="94"/>
      <c r="AS697" s="94"/>
      <c r="AT697" s="94"/>
      <c r="AU697" s="94"/>
      <c r="AV697" s="94"/>
      <c r="BB697" s="108">
        <f>Schäden_Einband!X697+Schäden_Buchblock!AC697</f>
        <v>0</v>
      </c>
      <c r="BC697" s="95"/>
    </row>
    <row r="698" spans="1:63" x14ac:dyDescent="0.25">
      <c r="A698" s="82">
        <v>673</v>
      </c>
      <c r="B698" s="64" t="s">
        <v>1504</v>
      </c>
      <c r="C698" s="64">
        <v>1066970343</v>
      </c>
      <c r="D698" s="84" t="str">
        <f t="shared" si="11"/>
        <v>https://portal.dnb.de/opac.htm?method=simpleSearch&amp;cqlMode=true&amp;query=idn%3D1066970343</v>
      </c>
      <c r="E698" s="64" t="s">
        <v>1505</v>
      </c>
      <c r="F698" s="82"/>
      <c r="G698" s="85"/>
      <c r="H698" s="82" t="s">
        <v>51</v>
      </c>
      <c r="I698" s="85"/>
      <c r="J698" s="85"/>
      <c r="K698" s="82"/>
      <c r="L698" s="82"/>
      <c r="M698" s="82"/>
      <c r="N698" s="82"/>
      <c r="O698" s="82"/>
      <c r="P698" s="82"/>
      <c r="Q698" s="82"/>
      <c r="R698" s="82"/>
      <c r="S698" s="97"/>
      <c r="T698" s="97"/>
      <c r="X698" s="94" t="s">
        <v>1741</v>
      </c>
      <c r="Y698" s="95" t="s">
        <v>1633</v>
      </c>
      <c r="Z698" s="95"/>
      <c r="AA698" s="94" t="s">
        <v>1738</v>
      </c>
      <c r="AB698" s="94"/>
      <c r="AC698" s="94"/>
      <c r="AD698" s="94"/>
      <c r="AE698" s="94"/>
      <c r="AF698" s="94"/>
      <c r="AG698" s="93" t="s">
        <v>1724</v>
      </c>
      <c r="AI698" s="93" t="s">
        <v>1633</v>
      </c>
      <c r="AS698" s="94"/>
      <c r="AT698" s="94"/>
      <c r="AU698" s="94">
        <v>60</v>
      </c>
      <c r="AV698" s="94"/>
      <c r="AZ698" s="93" t="s">
        <v>1633</v>
      </c>
      <c r="BA698" s="94" t="s">
        <v>1727</v>
      </c>
      <c r="BB698" s="108">
        <f>Schäden_Einband!X698+Schäden_Buchblock!AC698</f>
        <v>0</v>
      </c>
      <c r="BC698" s="95"/>
      <c r="BD698" s="93" t="s">
        <v>1951</v>
      </c>
    </row>
    <row r="699" spans="1:63" x14ac:dyDescent="0.25">
      <c r="A699" s="82">
        <v>674</v>
      </c>
      <c r="B699" s="64" t="s">
        <v>1506</v>
      </c>
      <c r="C699" s="64">
        <v>1066970343</v>
      </c>
      <c r="D699" s="84" t="str">
        <f t="shared" si="11"/>
        <v>https://portal.dnb.de/opac.htm?method=simpleSearch&amp;cqlMode=true&amp;query=idn%3D1066970343</v>
      </c>
      <c r="E699" s="64" t="s">
        <v>1507</v>
      </c>
      <c r="F699" s="82"/>
      <c r="G699" s="85"/>
      <c r="H699" s="82" t="s">
        <v>51</v>
      </c>
      <c r="I699" s="85"/>
      <c r="J699" s="85"/>
      <c r="K699" s="82"/>
      <c r="L699" s="82"/>
      <c r="M699" s="82"/>
      <c r="N699" s="82"/>
      <c r="O699" s="82"/>
      <c r="P699" s="82"/>
      <c r="Q699" s="82"/>
      <c r="R699" s="82"/>
      <c r="S699" s="97"/>
      <c r="T699" s="97"/>
      <c r="X699" s="94" t="s">
        <v>1722</v>
      </c>
      <c r="Y699" s="95"/>
      <c r="Z699" s="95" t="s">
        <v>1633</v>
      </c>
      <c r="AA699" s="94" t="s">
        <v>1738</v>
      </c>
      <c r="AB699" s="94"/>
      <c r="AC699" s="94"/>
      <c r="AD699" s="94"/>
      <c r="AE699" s="94"/>
      <c r="AF699" s="94"/>
      <c r="AG699" s="93" t="s">
        <v>1724</v>
      </c>
      <c r="AS699" s="94"/>
      <c r="AT699" s="94"/>
      <c r="AU699" s="94">
        <v>110</v>
      </c>
      <c r="AV699" s="94"/>
      <c r="AY699" s="93" t="s">
        <v>1633</v>
      </c>
      <c r="AZ699" s="93" t="s">
        <v>1633</v>
      </c>
      <c r="BA699" s="94" t="s">
        <v>1727</v>
      </c>
      <c r="BB699" s="108">
        <f>Schäden_Einband!X699+Schäden_Buchblock!AC699</f>
        <v>0</v>
      </c>
      <c r="BC699" s="95"/>
      <c r="BG699" s="93" t="s">
        <v>1633</v>
      </c>
    </row>
    <row r="700" spans="1:63" x14ac:dyDescent="0.25">
      <c r="A700" s="82">
        <v>675</v>
      </c>
      <c r="B700" s="64" t="s">
        <v>1508</v>
      </c>
      <c r="C700" s="64">
        <v>1066966796</v>
      </c>
      <c r="D700" s="84" t="str">
        <f t="shared" si="11"/>
        <v>https://portal.dnb.de/opac.htm?method=simpleSearch&amp;cqlMode=true&amp;query=idn%3D1066966796</v>
      </c>
      <c r="E700" s="64" t="s">
        <v>1981</v>
      </c>
      <c r="F700" s="82"/>
      <c r="G700" s="85"/>
      <c r="H700" s="82" t="s">
        <v>51</v>
      </c>
      <c r="I700" s="85"/>
      <c r="J700" s="85"/>
      <c r="K700" s="82"/>
      <c r="L700" s="82"/>
      <c r="M700" s="82"/>
      <c r="N700" s="82"/>
      <c r="O700" s="82"/>
      <c r="P700" s="82"/>
      <c r="Q700" s="82"/>
      <c r="R700" s="82"/>
      <c r="S700" s="97"/>
      <c r="T700" s="97"/>
      <c r="X700" s="94" t="s">
        <v>1728</v>
      </c>
      <c r="Y700" s="95" t="s">
        <v>1633</v>
      </c>
      <c r="Z700" s="95"/>
      <c r="AA700" s="94" t="s">
        <v>1738</v>
      </c>
      <c r="AB700" s="94"/>
      <c r="AC700" s="94"/>
      <c r="AD700" s="94"/>
      <c r="AE700" s="94"/>
      <c r="AF700" s="94"/>
      <c r="AG700" s="93" t="s">
        <v>1724</v>
      </c>
      <c r="AS700" s="94"/>
      <c r="AT700" s="94"/>
      <c r="AU700" s="94">
        <v>110</v>
      </c>
      <c r="AV700" s="94"/>
      <c r="BA700" s="94" t="s">
        <v>1727</v>
      </c>
      <c r="BB700" s="108">
        <f>Schäden_Einband!X700+Schäden_Buchblock!AC700</f>
        <v>0</v>
      </c>
      <c r="BC700" s="95"/>
      <c r="BD700" s="93" t="s">
        <v>1951</v>
      </c>
      <c r="BE700" s="93" t="s">
        <v>1979</v>
      </c>
      <c r="BJ700" s="81" t="s">
        <v>1980</v>
      </c>
      <c r="BK700" s="63" t="s">
        <v>1952</v>
      </c>
    </row>
    <row r="701" spans="1:63" x14ac:dyDescent="0.25">
      <c r="A701" s="82"/>
      <c r="B701" s="64"/>
      <c r="C701" s="64"/>
      <c r="D701" s="84"/>
      <c r="E701" s="64" t="s">
        <v>1982</v>
      </c>
      <c r="F701" s="82"/>
      <c r="G701" s="85"/>
      <c r="H701" s="82" t="s">
        <v>51</v>
      </c>
      <c r="I701" s="85"/>
      <c r="J701" s="85"/>
      <c r="K701" s="82"/>
      <c r="L701" s="82"/>
      <c r="M701" s="82"/>
      <c r="N701" s="82"/>
      <c r="O701" s="82"/>
      <c r="P701" s="82"/>
      <c r="Q701" s="82"/>
      <c r="R701" s="82"/>
      <c r="S701" s="97"/>
      <c r="T701" s="97"/>
      <c r="X701" s="94" t="s">
        <v>1730</v>
      </c>
      <c r="Y701" s="95"/>
      <c r="Z701" s="95" t="s">
        <v>1633</v>
      </c>
      <c r="AA701" s="94" t="s">
        <v>1738</v>
      </c>
      <c r="AB701" s="94"/>
      <c r="AC701" s="94"/>
      <c r="AD701" s="94"/>
      <c r="AE701" s="94"/>
      <c r="AF701" s="94"/>
      <c r="AG701" s="93" t="s">
        <v>1724</v>
      </c>
      <c r="AS701" s="94"/>
      <c r="AT701" s="94"/>
      <c r="AU701" s="94">
        <v>110</v>
      </c>
      <c r="AV701" s="94"/>
      <c r="BA701" s="94" t="s">
        <v>1727</v>
      </c>
      <c r="BB701" s="108">
        <f>Schäden_Einband!X701+Schäden_Buchblock!AC701</f>
        <v>0</v>
      </c>
      <c r="BC701" s="95"/>
      <c r="BD701" s="93" t="s">
        <v>1886</v>
      </c>
    </row>
    <row r="702" spans="1:63" x14ac:dyDescent="0.25">
      <c r="A702" s="82">
        <v>676</v>
      </c>
      <c r="B702" s="64" t="s">
        <v>1509</v>
      </c>
      <c r="C702" s="64">
        <v>1066965439</v>
      </c>
      <c r="D702" s="84" t="str">
        <f t="shared" si="11"/>
        <v>https://portal.dnb.de/opac.htm?method=simpleSearch&amp;cqlMode=true&amp;query=idn%3D1066965439</v>
      </c>
      <c r="E702" s="64" t="s">
        <v>1510</v>
      </c>
      <c r="F702" s="82"/>
      <c r="G702" s="85"/>
      <c r="H702" s="82" t="s">
        <v>51</v>
      </c>
      <c r="I702" s="85"/>
      <c r="J702" s="85"/>
      <c r="K702" s="82"/>
      <c r="L702" s="82"/>
      <c r="M702" s="82"/>
      <c r="N702" s="82"/>
      <c r="O702" s="82"/>
      <c r="P702" s="82"/>
      <c r="Q702" s="82"/>
      <c r="R702" s="82"/>
      <c r="S702" s="97"/>
      <c r="T702" s="97"/>
      <c r="X702" s="94" t="s">
        <v>1728</v>
      </c>
      <c r="Y702" s="95" t="s">
        <v>1633</v>
      </c>
      <c r="Z702" s="95"/>
      <c r="AA702" s="94" t="s">
        <v>1723</v>
      </c>
      <c r="AB702" s="94"/>
      <c r="AC702" s="94"/>
      <c r="AD702" s="94"/>
      <c r="AE702" s="94"/>
      <c r="AF702" s="94"/>
      <c r="AG702" s="93" t="s">
        <v>1724</v>
      </c>
      <c r="AQ702" s="93" t="s">
        <v>1757</v>
      </c>
      <c r="AR702" s="93" t="s">
        <v>1633</v>
      </c>
      <c r="AS702" s="94"/>
      <c r="AT702" s="94"/>
      <c r="AU702" s="94">
        <v>110</v>
      </c>
      <c r="AV702" s="94"/>
      <c r="BA702" s="94" t="s">
        <v>1727</v>
      </c>
      <c r="BB702" s="108">
        <f>Schäden_Einband!X702+Schäden_Buchblock!AC702</f>
        <v>0</v>
      </c>
      <c r="BC702" s="95"/>
      <c r="BD702" s="93" t="s">
        <v>1951</v>
      </c>
      <c r="BK702" s="63" t="s">
        <v>1952</v>
      </c>
    </row>
    <row r="703" spans="1:63" x14ac:dyDescent="0.25">
      <c r="A703" s="82">
        <v>677</v>
      </c>
      <c r="B703" s="64" t="s">
        <v>1511</v>
      </c>
      <c r="C703" s="64">
        <v>1072382814</v>
      </c>
      <c r="D703" s="84" t="str">
        <f t="shared" si="11"/>
        <v>https://portal.dnb.de/opac.htm?method=simpleSearch&amp;cqlMode=true&amp;query=idn%3D1072382814</v>
      </c>
      <c r="E703" s="64" t="s">
        <v>1512</v>
      </c>
      <c r="F703" s="82"/>
      <c r="G703" s="85"/>
      <c r="H703" s="82" t="s">
        <v>51</v>
      </c>
      <c r="I703" s="85"/>
      <c r="J703" s="85"/>
      <c r="K703" s="82"/>
      <c r="L703" s="82"/>
      <c r="M703" s="82"/>
      <c r="N703" s="82"/>
      <c r="O703" s="82"/>
      <c r="P703" s="82"/>
      <c r="Q703" s="82"/>
      <c r="R703" s="82"/>
      <c r="S703" s="97"/>
      <c r="T703" s="97"/>
      <c r="X703" s="94" t="s">
        <v>1728</v>
      </c>
      <c r="Y703" s="95" t="s">
        <v>1633</v>
      </c>
      <c r="Z703" s="95"/>
      <c r="AA703" s="94" t="s">
        <v>1723</v>
      </c>
      <c r="AB703" s="94"/>
      <c r="AC703" s="94"/>
      <c r="AD703" s="94"/>
      <c r="AE703" s="94"/>
      <c r="AF703" s="94"/>
      <c r="AG703" s="93" t="s">
        <v>1724</v>
      </c>
      <c r="AS703" s="94"/>
      <c r="AT703" s="94"/>
      <c r="AU703" s="94">
        <v>110</v>
      </c>
      <c r="AV703" s="94"/>
      <c r="BA703" s="94" t="s">
        <v>1727</v>
      </c>
      <c r="BB703" s="108">
        <f>Schäden_Einband!X703+Schäden_Buchblock!AC703</f>
        <v>0</v>
      </c>
      <c r="BC703" s="95"/>
      <c r="BD703" s="93" t="s">
        <v>1951</v>
      </c>
    </row>
    <row r="704" spans="1:63" x14ac:dyDescent="0.25">
      <c r="A704" s="82">
        <v>678</v>
      </c>
      <c r="B704" s="64" t="s">
        <v>1513</v>
      </c>
      <c r="C704" s="64" t="s">
        <v>1514</v>
      </c>
      <c r="D704" s="84" t="str">
        <f t="shared" si="11"/>
        <v>https://portal.dnb.de/opac.htm?method=simpleSearch&amp;cqlMode=true&amp;query=idn%3D107218866X</v>
      </c>
      <c r="E704" s="64" t="s">
        <v>1515</v>
      </c>
      <c r="F704" s="82"/>
      <c r="G704" s="85"/>
      <c r="H704" s="82" t="s">
        <v>50</v>
      </c>
      <c r="I704" s="85"/>
      <c r="J704" s="85"/>
      <c r="K704" s="82"/>
      <c r="L704" s="82"/>
      <c r="M704" s="82"/>
      <c r="N704" s="82"/>
      <c r="O704" s="82"/>
      <c r="P704" s="82"/>
      <c r="Q704" s="82"/>
      <c r="R704" s="82"/>
      <c r="S704" s="97"/>
      <c r="T704" s="97"/>
      <c r="X704" s="94" t="s">
        <v>1814</v>
      </c>
      <c r="Y704" s="95"/>
      <c r="Z704" s="95"/>
      <c r="AA704" s="94" t="s">
        <v>1738</v>
      </c>
      <c r="AB704" s="94"/>
      <c r="AC704" s="94"/>
      <c r="AD704" s="94"/>
      <c r="AE704" s="94"/>
      <c r="AF704" s="94"/>
      <c r="AG704" s="93" t="s">
        <v>1724</v>
      </c>
      <c r="AS704" s="94"/>
      <c r="AT704" s="94"/>
      <c r="AU704" s="94">
        <v>110</v>
      </c>
      <c r="AV704" s="94"/>
      <c r="BA704" s="94" t="s">
        <v>1727</v>
      </c>
      <c r="BB704" s="108">
        <f>Schäden_Einband!X704+Schäden_Buchblock!AC704</f>
        <v>0</v>
      </c>
      <c r="BC704" s="95"/>
      <c r="BG704" s="93" t="s">
        <v>1633</v>
      </c>
    </row>
    <row r="705" spans="1:63" x14ac:dyDescent="0.25">
      <c r="A705" s="82">
        <v>679</v>
      </c>
      <c r="B705" s="64" t="s">
        <v>1516</v>
      </c>
      <c r="C705" s="64">
        <v>1072254964</v>
      </c>
      <c r="D705" s="84" t="str">
        <f t="shared" si="11"/>
        <v>https://portal.dnb.de/opac.htm?method=simpleSearch&amp;cqlMode=true&amp;query=idn%3D1072254964</v>
      </c>
      <c r="E705" s="64" t="s">
        <v>1517</v>
      </c>
      <c r="F705" s="82"/>
      <c r="G705" s="85"/>
      <c r="H705" s="82" t="s">
        <v>51</v>
      </c>
      <c r="I705" s="85"/>
      <c r="J705" s="85"/>
      <c r="K705" s="82"/>
      <c r="L705" s="82"/>
      <c r="M705" s="82"/>
      <c r="N705" s="82"/>
      <c r="O705" s="82"/>
      <c r="P705" s="82"/>
      <c r="Q705" s="82"/>
      <c r="R705" s="82"/>
      <c r="S705" s="97"/>
      <c r="T705" s="97"/>
      <c r="X705" s="94" t="s">
        <v>1728</v>
      </c>
      <c r="Y705" s="95" t="s">
        <v>1633</v>
      </c>
      <c r="Z705" s="95"/>
      <c r="AA705" s="94" t="s">
        <v>1723</v>
      </c>
      <c r="AB705" s="94"/>
      <c r="AC705" s="94"/>
      <c r="AD705" s="94"/>
      <c r="AE705" s="94"/>
      <c r="AF705" s="94"/>
      <c r="AG705" s="93" t="s">
        <v>1724</v>
      </c>
      <c r="AS705" s="94"/>
      <c r="AT705" s="94"/>
      <c r="AU705" s="94">
        <v>60</v>
      </c>
      <c r="AV705" s="94"/>
      <c r="BA705" s="94" t="s">
        <v>1733</v>
      </c>
      <c r="BB705" s="108">
        <f>Schäden_Einband!X705+Schäden_Buchblock!AC705</f>
        <v>0.5</v>
      </c>
      <c r="BC705" s="95"/>
      <c r="BD705" s="93" t="s">
        <v>1951</v>
      </c>
    </row>
    <row r="706" spans="1:63" x14ac:dyDescent="0.25">
      <c r="A706" s="82">
        <v>680</v>
      </c>
      <c r="B706" s="64" t="s">
        <v>1518</v>
      </c>
      <c r="C706" s="64">
        <v>1072255812</v>
      </c>
      <c r="D706" s="84" t="str">
        <f t="shared" si="11"/>
        <v>https://portal.dnb.de/opac.htm?method=simpleSearch&amp;cqlMode=true&amp;query=idn%3D1072255812</v>
      </c>
      <c r="E706" s="64" t="s">
        <v>1519</v>
      </c>
      <c r="F706" s="82"/>
      <c r="G706" s="85"/>
      <c r="H706" s="82" t="s">
        <v>50</v>
      </c>
      <c r="I706" s="85"/>
      <c r="J706" s="85"/>
      <c r="K706" s="82"/>
      <c r="L706" s="82"/>
      <c r="M706" s="82"/>
      <c r="N706" s="82"/>
      <c r="O706" s="82"/>
      <c r="P706" s="82"/>
      <c r="Q706" s="82"/>
      <c r="R706" s="82"/>
      <c r="S706" s="97"/>
      <c r="T706" s="97"/>
      <c r="X706" s="94" t="s">
        <v>1814</v>
      </c>
      <c r="Y706" s="95"/>
      <c r="Z706" s="95"/>
      <c r="AA706" s="94" t="s">
        <v>1738</v>
      </c>
      <c r="AB706" s="94"/>
      <c r="AC706" s="94"/>
      <c r="AD706" s="94"/>
      <c r="AE706" s="94"/>
      <c r="AF706" s="94"/>
      <c r="AG706" s="93" t="s">
        <v>1724</v>
      </c>
      <c r="AQ706" s="93" t="s">
        <v>1729</v>
      </c>
      <c r="AR706" s="93" t="s">
        <v>1633</v>
      </c>
      <c r="AS706" s="94"/>
      <c r="AT706" s="94"/>
      <c r="AU706" s="94">
        <v>110</v>
      </c>
      <c r="AV706" s="94"/>
      <c r="BA706" s="94" t="s">
        <v>1727</v>
      </c>
      <c r="BB706" s="108">
        <f>Schäden_Einband!X706+Schäden_Buchblock!AC706</f>
        <v>0</v>
      </c>
      <c r="BC706" s="95"/>
      <c r="BG706" s="93" t="s">
        <v>1633</v>
      </c>
    </row>
    <row r="707" spans="1:63" ht="34.5" x14ac:dyDescent="0.25">
      <c r="A707" s="82">
        <v>681</v>
      </c>
      <c r="B707" s="64" t="s">
        <v>1520</v>
      </c>
      <c r="C707" s="64">
        <v>1072189011</v>
      </c>
      <c r="D707" s="84" t="str">
        <f t="shared" si="11"/>
        <v>https://portal.dnb.de/opac.htm?method=simpleSearch&amp;cqlMode=true&amp;query=idn%3D1072189011</v>
      </c>
      <c r="E707" s="64" t="s">
        <v>1521</v>
      </c>
      <c r="F707" s="82"/>
      <c r="G707" s="85"/>
      <c r="H707" s="82" t="s">
        <v>51</v>
      </c>
      <c r="I707" s="85"/>
      <c r="J707" s="85"/>
      <c r="K707" s="82"/>
      <c r="L707" s="82"/>
      <c r="M707" s="82"/>
      <c r="N707" s="82"/>
      <c r="O707" s="82"/>
      <c r="P707" s="82"/>
      <c r="Q707" s="82"/>
      <c r="R707" s="82"/>
      <c r="S707" s="97"/>
      <c r="T707" s="97"/>
      <c r="X707" s="94" t="s">
        <v>1741</v>
      </c>
      <c r="Y707" s="95"/>
      <c r="Z707" s="95" t="s">
        <v>1633</v>
      </c>
      <c r="AA707" s="94" t="s">
        <v>1738</v>
      </c>
      <c r="AB707" s="94"/>
      <c r="AC707" s="94"/>
      <c r="AD707" s="94"/>
      <c r="AE707" s="94"/>
      <c r="AF707" s="94"/>
      <c r="AG707" s="93" t="s">
        <v>1724</v>
      </c>
      <c r="AL707" s="93" t="s">
        <v>1633</v>
      </c>
      <c r="AS707" s="94"/>
      <c r="AT707" s="94"/>
      <c r="AU707" s="94">
        <v>110</v>
      </c>
      <c r="AV707" s="94"/>
      <c r="BA707" s="94" t="s">
        <v>1727</v>
      </c>
      <c r="BB707" s="108">
        <f>Schäden_Einband!X707+Schäden_Buchblock!AC707</f>
        <v>0</v>
      </c>
      <c r="BC707" s="95"/>
      <c r="BD707" s="93" t="s">
        <v>1886</v>
      </c>
      <c r="BJ707" s="81" t="s">
        <v>1984</v>
      </c>
      <c r="BK707" s="63" t="s">
        <v>1952</v>
      </c>
    </row>
    <row r="708" spans="1:63" x14ac:dyDescent="0.25">
      <c r="A708" s="82">
        <v>682</v>
      </c>
      <c r="B708" s="64" t="s">
        <v>1522</v>
      </c>
      <c r="C708" s="64">
        <v>1066965463</v>
      </c>
      <c r="D708" s="84" t="str">
        <f t="shared" si="11"/>
        <v>https://portal.dnb.de/opac.htm?method=simpleSearch&amp;cqlMode=true&amp;query=idn%3D1066965463</v>
      </c>
      <c r="E708" s="64" t="s">
        <v>1523</v>
      </c>
      <c r="F708" s="82"/>
      <c r="G708" s="85"/>
      <c r="H708" s="82" t="s">
        <v>51</v>
      </c>
      <c r="I708" s="85"/>
      <c r="J708" s="85"/>
      <c r="K708" s="82"/>
      <c r="L708" s="82"/>
      <c r="M708" s="82"/>
      <c r="N708" s="82"/>
      <c r="O708" s="82"/>
      <c r="P708" s="82"/>
      <c r="Q708" s="82"/>
      <c r="R708" s="82"/>
      <c r="S708" s="97"/>
      <c r="T708" s="97"/>
      <c r="X708" s="94" t="s">
        <v>1728</v>
      </c>
      <c r="Y708" s="95" t="s">
        <v>1633</v>
      </c>
      <c r="Z708" s="95"/>
      <c r="AA708" s="94" t="s">
        <v>1723</v>
      </c>
      <c r="AB708" s="94"/>
      <c r="AC708" s="94"/>
      <c r="AD708" s="94"/>
      <c r="AE708" s="94"/>
      <c r="AF708" s="94"/>
      <c r="AG708" s="93" t="s">
        <v>1724</v>
      </c>
      <c r="AS708" s="94"/>
      <c r="AT708" s="94"/>
      <c r="AU708" s="94" t="s">
        <v>1726</v>
      </c>
      <c r="AV708" s="94"/>
      <c r="BA708" s="94" t="s">
        <v>1727</v>
      </c>
      <c r="BB708" s="108">
        <f>Schäden_Einband!X708+Schäden_Buchblock!AC708</f>
        <v>0</v>
      </c>
      <c r="BC708" s="95"/>
      <c r="BD708" s="93" t="s">
        <v>1951</v>
      </c>
    </row>
    <row r="709" spans="1:63" x14ac:dyDescent="0.25">
      <c r="A709" s="82">
        <v>683</v>
      </c>
      <c r="B709" s="64" t="s">
        <v>1524</v>
      </c>
      <c r="C709" s="64" t="s">
        <v>1525</v>
      </c>
      <c r="D709" s="84" t="str">
        <f t="shared" si="11"/>
        <v>https://portal.dnb.de/opac.htm?method=simpleSearch&amp;cqlMode=true&amp;query=idn%3D107218981X</v>
      </c>
      <c r="E709" s="64" t="s">
        <v>1526</v>
      </c>
      <c r="F709" s="82"/>
      <c r="G709" s="85"/>
      <c r="H709" s="82" t="s">
        <v>50</v>
      </c>
      <c r="I709" s="85"/>
      <c r="J709" s="85"/>
      <c r="K709" s="82"/>
      <c r="L709" s="82"/>
      <c r="M709" s="82"/>
      <c r="N709" s="82"/>
      <c r="O709" s="82"/>
      <c r="P709" s="82"/>
      <c r="Q709" s="82"/>
      <c r="R709" s="82"/>
      <c r="S709" s="97"/>
      <c r="T709" s="97"/>
      <c r="X709" s="94" t="s">
        <v>1730</v>
      </c>
      <c r="Y709" s="95"/>
      <c r="Z709" s="95" t="s">
        <v>1633</v>
      </c>
      <c r="AA709" s="94" t="s">
        <v>1723</v>
      </c>
      <c r="AB709" s="94"/>
      <c r="AC709" s="94"/>
      <c r="AD709" s="94"/>
      <c r="AE709" s="94"/>
      <c r="AF709" s="94"/>
      <c r="AG709" s="93" t="s">
        <v>1724</v>
      </c>
      <c r="AS709" s="94"/>
      <c r="AT709" s="94"/>
      <c r="AU709" s="94">
        <v>80</v>
      </c>
      <c r="AV709" s="94"/>
      <c r="BA709" s="94" t="s">
        <v>1727</v>
      </c>
      <c r="BB709" s="108">
        <f>Schäden_Einband!X709+Schäden_Buchblock!AC709</f>
        <v>0</v>
      </c>
      <c r="BC709" s="95"/>
      <c r="BD709" s="93" t="s">
        <v>1886</v>
      </c>
    </row>
    <row r="710" spans="1:63" x14ac:dyDescent="0.25">
      <c r="A710" s="82">
        <v>684</v>
      </c>
      <c r="B710" s="64" t="s">
        <v>1527</v>
      </c>
      <c r="C710" s="64">
        <v>1072378264</v>
      </c>
      <c r="D710" s="84" t="str">
        <f t="shared" si="11"/>
        <v>https://portal.dnb.de/opac.htm?method=simpleSearch&amp;cqlMode=true&amp;query=idn%3D1072378264</v>
      </c>
      <c r="E710" s="64" t="s">
        <v>1528</v>
      </c>
      <c r="F710" s="82"/>
      <c r="G710" s="85"/>
      <c r="H710" s="82"/>
      <c r="I710" s="85"/>
      <c r="J710" s="85"/>
      <c r="K710" s="82"/>
      <c r="L710" s="82"/>
      <c r="M710" s="82"/>
      <c r="N710" s="82"/>
      <c r="O710" s="82"/>
      <c r="P710" s="82"/>
      <c r="Q710" s="82"/>
      <c r="R710" s="82"/>
      <c r="S710" s="97"/>
      <c r="T710" s="97"/>
      <c r="X710" s="94"/>
      <c r="Y710" s="95"/>
      <c r="Z710" s="95"/>
      <c r="AA710" s="94"/>
      <c r="AB710" s="94"/>
      <c r="AC710" s="94"/>
      <c r="AD710" s="94"/>
      <c r="AE710" s="94"/>
      <c r="AF710" s="94"/>
      <c r="AS710" s="94"/>
      <c r="AT710" s="94"/>
      <c r="AU710" s="94"/>
      <c r="AV710" s="94"/>
      <c r="BB710" s="108">
        <f>Schäden_Einband!X710+Schäden_Buchblock!AC710</f>
        <v>0</v>
      </c>
      <c r="BC710" s="95"/>
    </row>
    <row r="711" spans="1:63" x14ac:dyDescent="0.25">
      <c r="A711" s="82">
        <v>685</v>
      </c>
      <c r="B711" s="64" t="s">
        <v>1529</v>
      </c>
      <c r="C711" s="64">
        <v>1066970084</v>
      </c>
      <c r="D711" s="84" t="str">
        <f t="shared" si="11"/>
        <v>https://portal.dnb.de/opac.htm?method=simpleSearch&amp;cqlMode=true&amp;query=idn%3D1066970084</v>
      </c>
      <c r="E711" s="64" t="s">
        <v>1530</v>
      </c>
      <c r="F711" s="82"/>
      <c r="G711" s="85"/>
      <c r="H711" s="82" t="s">
        <v>51</v>
      </c>
      <c r="I711" s="85"/>
      <c r="J711" s="85"/>
      <c r="K711" s="82"/>
      <c r="L711" s="82"/>
      <c r="M711" s="82"/>
      <c r="N711" s="82"/>
      <c r="O711" s="82"/>
      <c r="P711" s="82"/>
      <c r="Q711" s="82"/>
      <c r="R711" s="82"/>
      <c r="S711" s="97"/>
      <c r="T711" s="97"/>
      <c r="X711" s="94" t="s">
        <v>1722</v>
      </c>
      <c r="Y711" s="95"/>
      <c r="Z711" s="95"/>
      <c r="AA711" s="94" t="s">
        <v>1742</v>
      </c>
      <c r="AB711" s="94"/>
      <c r="AC711" s="94"/>
      <c r="AD711" s="94"/>
      <c r="AE711" s="94"/>
      <c r="AF711" s="94"/>
      <c r="AG711" s="93" t="s">
        <v>1724</v>
      </c>
      <c r="AS711" s="94"/>
      <c r="AT711" s="94"/>
      <c r="AU711" s="94" t="s">
        <v>1726</v>
      </c>
      <c r="AV711" s="94"/>
      <c r="BA711" s="94" t="s">
        <v>1727</v>
      </c>
      <c r="BB711" s="108">
        <f>Schäden_Einband!X711+Schäden_Buchblock!AC711</f>
        <v>0</v>
      </c>
      <c r="BC711" s="95"/>
      <c r="BD711" s="93" t="s">
        <v>1951</v>
      </c>
    </row>
    <row r="712" spans="1:63" ht="23" x14ac:dyDescent="0.25">
      <c r="A712" s="82">
        <v>686</v>
      </c>
      <c r="B712" s="64" t="s">
        <v>1531</v>
      </c>
      <c r="C712" s="64">
        <v>1066971315</v>
      </c>
      <c r="D712" s="84" t="str">
        <f t="shared" si="11"/>
        <v>https://portal.dnb.de/opac.htm?method=simpleSearch&amp;cqlMode=true&amp;query=idn%3D1066971315</v>
      </c>
      <c r="E712" s="64" t="s">
        <v>1532</v>
      </c>
      <c r="F712" s="82"/>
      <c r="G712" s="85"/>
      <c r="H712" s="82" t="s">
        <v>51</v>
      </c>
      <c r="I712" s="85"/>
      <c r="J712" s="85"/>
      <c r="K712" s="82"/>
      <c r="L712" s="82"/>
      <c r="M712" s="82"/>
      <c r="N712" s="82"/>
      <c r="O712" s="82"/>
      <c r="P712" s="82"/>
      <c r="Q712" s="82"/>
      <c r="R712" s="82"/>
      <c r="S712" s="97"/>
      <c r="T712" s="97"/>
      <c r="X712" s="94" t="s">
        <v>1728</v>
      </c>
      <c r="Y712" s="95"/>
      <c r="Z712" s="95"/>
      <c r="AA712" s="94" t="s">
        <v>1723</v>
      </c>
      <c r="AB712" s="94"/>
      <c r="AC712" s="94"/>
      <c r="AD712" s="94"/>
      <c r="AE712" s="94"/>
      <c r="AF712" s="94"/>
      <c r="AG712" s="93" t="s">
        <v>1724</v>
      </c>
      <c r="AQ712" s="93" t="s">
        <v>1729</v>
      </c>
      <c r="AR712" s="93" t="s">
        <v>1633</v>
      </c>
      <c r="AS712" s="94"/>
      <c r="AT712" s="94"/>
      <c r="AU712" s="94" t="s">
        <v>1726</v>
      </c>
      <c r="AV712" s="94"/>
      <c r="BA712" s="94" t="s">
        <v>1727</v>
      </c>
      <c r="BB712" s="108">
        <f>Schäden_Einband!X712+Schäden_Buchblock!AC712</f>
        <v>0</v>
      </c>
      <c r="BC712" s="95"/>
      <c r="BD712" s="93" t="s">
        <v>1951</v>
      </c>
      <c r="BJ712" s="81" t="s">
        <v>1985</v>
      </c>
      <c r="BK712" s="63" t="s">
        <v>1952</v>
      </c>
    </row>
    <row r="713" spans="1:63" x14ac:dyDescent="0.25">
      <c r="A713" s="82">
        <v>687</v>
      </c>
      <c r="B713" s="64" t="s">
        <v>1533</v>
      </c>
      <c r="C713" s="64">
        <v>1066972214</v>
      </c>
      <c r="D713" s="84" t="str">
        <f t="shared" si="11"/>
        <v>https://portal.dnb.de/opac.htm?method=simpleSearch&amp;cqlMode=true&amp;query=idn%3D1066972214</v>
      </c>
      <c r="E713" s="64" t="s">
        <v>1534</v>
      </c>
      <c r="F713" s="82"/>
      <c r="G713" s="85"/>
      <c r="H713" s="82" t="s">
        <v>51</v>
      </c>
      <c r="I713" s="85"/>
      <c r="J713" s="85"/>
      <c r="K713" s="82"/>
      <c r="L713" s="82"/>
      <c r="M713" s="82"/>
      <c r="N713" s="82"/>
      <c r="O713" s="82"/>
      <c r="P713" s="82"/>
      <c r="Q713" s="82"/>
      <c r="R713" s="82"/>
      <c r="S713" s="97"/>
      <c r="T713" s="97"/>
      <c r="X713" s="94" t="s">
        <v>1741</v>
      </c>
      <c r="Y713" s="95" t="s">
        <v>1633</v>
      </c>
      <c r="Z713" s="95"/>
      <c r="AA713" s="94" t="s">
        <v>1742</v>
      </c>
      <c r="AB713" s="94"/>
      <c r="AC713" s="94"/>
      <c r="AD713" s="94"/>
      <c r="AE713" s="94"/>
      <c r="AF713" s="94"/>
      <c r="AG713" s="93" t="s">
        <v>1724</v>
      </c>
      <c r="AQ713" s="93" t="s">
        <v>1729</v>
      </c>
      <c r="AR713" s="93" t="s">
        <v>1633</v>
      </c>
      <c r="AS713" s="94"/>
      <c r="AT713" s="94"/>
      <c r="AU713" s="94">
        <v>60</v>
      </c>
      <c r="AV713" s="94"/>
      <c r="BA713" s="94" t="s">
        <v>1733</v>
      </c>
      <c r="BB713" s="108">
        <f>Schäden_Einband!X713+Schäden_Buchblock!AC713</f>
        <v>3.5</v>
      </c>
      <c r="BC713" s="95"/>
      <c r="BD713" s="93" t="s">
        <v>1951</v>
      </c>
    </row>
    <row r="714" spans="1:63" x14ac:dyDescent="0.25">
      <c r="A714" s="82">
        <v>688</v>
      </c>
      <c r="B714" s="64" t="s">
        <v>1535</v>
      </c>
      <c r="C714" s="64">
        <v>1072383721</v>
      </c>
      <c r="D714" s="84" t="str">
        <f t="shared" si="11"/>
        <v>https://portal.dnb.de/opac.htm?method=simpleSearch&amp;cqlMode=true&amp;query=idn%3D1072383721</v>
      </c>
      <c r="E714" s="64" t="s">
        <v>1536</v>
      </c>
      <c r="F714" s="82"/>
      <c r="G714" s="85"/>
      <c r="H714" s="82" t="s">
        <v>50</v>
      </c>
      <c r="I714" s="85"/>
      <c r="J714" s="85"/>
      <c r="K714" s="82"/>
      <c r="L714" s="82"/>
      <c r="M714" s="82"/>
      <c r="N714" s="82"/>
      <c r="O714" s="82"/>
      <c r="P714" s="82"/>
      <c r="Q714" s="82"/>
      <c r="R714" s="82"/>
      <c r="S714" s="97"/>
      <c r="T714" s="97"/>
      <c r="X714" s="94" t="s">
        <v>1728</v>
      </c>
      <c r="Y714" s="95" t="s">
        <v>1633</v>
      </c>
      <c r="Z714" s="95"/>
      <c r="AA714" s="94" t="s">
        <v>1742</v>
      </c>
      <c r="AB714" s="94"/>
      <c r="AC714" s="94"/>
      <c r="AD714" s="94"/>
      <c r="AE714" s="94"/>
      <c r="AF714" s="94"/>
      <c r="AG714" s="93" t="s">
        <v>1724</v>
      </c>
      <c r="AQ714" s="93" t="s">
        <v>1729</v>
      </c>
      <c r="AR714" s="93" t="s">
        <v>1633</v>
      </c>
      <c r="AS714" s="94"/>
      <c r="AT714" s="94"/>
      <c r="AU714" s="94">
        <v>110</v>
      </c>
      <c r="AV714" s="94"/>
      <c r="BA714" s="94" t="s">
        <v>1727</v>
      </c>
      <c r="BB714" s="108">
        <f>Schäden_Einband!X714+Schäden_Buchblock!AC714</f>
        <v>0</v>
      </c>
      <c r="BC714" s="95"/>
      <c r="BD714" s="93" t="s">
        <v>1951</v>
      </c>
    </row>
    <row r="715" spans="1:63" x14ac:dyDescent="0.25">
      <c r="A715" s="82">
        <v>689</v>
      </c>
      <c r="B715" s="64" t="s">
        <v>1537</v>
      </c>
      <c r="C715" s="64">
        <v>1109774656</v>
      </c>
      <c r="D715" s="84" t="str">
        <f t="shared" si="11"/>
        <v>https://portal.dnb.de/opac.htm?method=simpleSearch&amp;cqlMode=true&amp;query=idn%3D1109774656</v>
      </c>
      <c r="E715" s="64" t="s">
        <v>1538</v>
      </c>
      <c r="F715" s="82"/>
      <c r="G715" s="85"/>
      <c r="H715" s="82" t="s">
        <v>53</v>
      </c>
      <c r="I715" s="85"/>
      <c r="J715" s="85"/>
      <c r="K715" s="82"/>
      <c r="L715" s="82"/>
      <c r="M715" s="82"/>
      <c r="N715" s="82"/>
      <c r="O715" s="82"/>
      <c r="P715" s="82"/>
      <c r="Q715" s="82"/>
      <c r="R715" s="82"/>
      <c r="S715" s="97"/>
      <c r="T715" s="97"/>
      <c r="X715" s="94"/>
      <c r="Y715" s="95"/>
      <c r="Z715" s="95"/>
      <c r="AA715" s="94"/>
      <c r="AB715" s="94"/>
      <c r="AC715" s="94"/>
      <c r="AD715" s="94"/>
      <c r="AE715" s="94"/>
      <c r="AF715" s="94"/>
      <c r="AG715" s="93" t="s">
        <v>1724</v>
      </c>
      <c r="AS715" s="94"/>
      <c r="AT715" s="94"/>
      <c r="AU715" s="94">
        <v>180</v>
      </c>
      <c r="AV715" s="94"/>
      <c r="BB715" s="108">
        <f>Schäden_Einband!X715+Schäden_Buchblock!AC715</f>
        <v>0</v>
      </c>
      <c r="BC715" s="95"/>
    </row>
    <row r="716" spans="1:63" x14ac:dyDescent="0.25">
      <c r="A716" s="82">
        <v>690</v>
      </c>
      <c r="B716" s="64" t="s">
        <v>1539</v>
      </c>
      <c r="C716" s="64" t="s">
        <v>1540</v>
      </c>
      <c r="D716" s="84" t="str">
        <f t="shared" si="11"/>
        <v>https://portal.dnb.de/opac.htm?method=simpleSearch&amp;cqlMode=true&amp;query=idn%3D110977575X</v>
      </c>
      <c r="E716" s="64" t="s">
        <v>1541</v>
      </c>
      <c r="F716" s="82"/>
      <c r="G716" s="85"/>
      <c r="H716" s="82" t="s">
        <v>53</v>
      </c>
      <c r="I716" s="85"/>
      <c r="J716" s="85"/>
      <c r="K716" s="82"/>
      <c r="L716" s="82"/>
      <c r="M716" s="82"/>
      <c r="N716" s="82"/>
      <c r="O716" s="82"/>
      <c r="P716" s="82"/>
      <c r="Q716" s="82"/>
      <c r="R716" s="82"/>
      <c r="S716" s="97"/>
      <c r="T716" s="97"/>
      <c r="X716" s="94"/>
      <c r="Y716" s="95"/>
      <c r="Z716" s="95"/>
      <c r="AA716" s="94"/>
      <c r="AB716" s="94"/>
      <c r="AC716" s="94"/>
      <c r="AD716" s="94"/>
      <c r="AE716" s="94"/>
      <c r="AF716" s="94"/>
      <c r="AG716" s="93" t="s">
        <v>1724</v>
      </c>
      <c r="AS716" s="94"/>
      <c r="AT716" s="94"/>
      <c r="AU716" s="94">
        <v>180</v>
      </c>
      <c r="AV716" s="94"/>
      <c r="BB716" s="108">
        <f>Schäden_Einband!X716+Schäden_Buchblock!AC716</f>
        <v>0</v>
      </c>
      <c r="BC716" s="95"/>
    </row>
    <row r="717" spans="1:63" x14ac:dyDescent="0.25">
      <c r="A717" s="82">
        <v>691</v>
      </c>
      <c r="B717" s="64" t="s">
        <v>1542</v>
      </c>
      <c r="C717" s="64" t="s">
        <v>1540</v>
      </c>
      <c r="D717" s="84" t="str">
        <f t="shared" si="11"/>
        <v>https://portal.dnb.de/opac.htm?method=simpleSearch&amp;cqlMode=true&amp;query=idn%3D110977575X</v>
      </c>
      <c r="E717" s="64" t="s">
        <v>1543</v>
      </c>
      <c r="F717" s="82"/>
      <c r="G717" s="85"/>
      <c r="H717" s="82" t="s">
        <v>53</v>
      </c>
      <c r="I717" s="85"/>
      <c r="J717" s="85"/>
      <c r="K717" s="82"/>
      <c r="L717" s="82"/>
      <c r="M717" s="82"/>
      <c r="N717" s="82"/>
      <c r="O717" s="82"/>
      <c r="P717" s="82"/>
      <c r="Q717" s="82"/>
      <c r="R717" s="82"/>
      <c r="S717" s="97"/>
      <c r="T717" s="97"/>
      <c r="X717" s="94"/>
      <c r="Y717" s="95"/>
      <c r="Z717" s="95"/>
      <c r="AA717" s="94"/>
      <c r="AB717" s="94"/>
      <c r="AC717" s="94"/>
      <c r="AD717" s="94"/>
      <c r="AE717" s="94"/>
      <c r="AF717" s="94"/>
      <c r="AG717" s="93" t="s">
        <v>1724</v>
      </c>
      <c r="AS717" s="94"/>
      <c r="AT717" s="94"/>
      <c r="AU717" s="94">
        <v>180</v>
      </c>
      <c r="AV717" s="94"/>
      <c r="BB717" s="108">
        <f>Schäden_Einband!X717+Schäden_Buchblock!AC717</f>
        <v>0</v>
      </c>
      <c r="BC717" s="95"/>
    </row>
    <row r="718" spans="1:63" x14ac:dyDescent="0.25">
      <c r="A718" s="82">
        <v>692</v>
      </c>
      <c r="B718" s="64" t="s">
        <v>1544</v>
      </c>
      <c r="C718" s="64" t="s">
        <v>1540</v>
      </c>
      <c r="D718" s="84" t="str">
        <f t="shared" si="11"/>
        <v>https://portal.dnb.de/opac.htm?method=simpleSearch&amp;cqlMode=true&amp;query=idn%3D110977575X</v>
      </c>
      <c r="E718" s="64" t="s">
        <v>1545</v>
      </c>
      <c r="F718" s="82"/>
      <c r="G718" s="85"/>
      <c r="H718" s="82" t="s">
        <v>53</v>
      </c>
      <c r="I718" s="85"/>
      <c r="J718" s="85"/>
      <c r="K718" s="82"/>
      <c r="L718" s="82"/>
      <c r="M718" s="82"/>
      <c r="N718" s="82"/>
      <c r="O718" s="82"/>
      <c r="P718" s="82"/>
      <c r="Q718" s="82"/>
      <c r="R718" s="82"/>
      <c r="S718" s="97"/>
      <c r="T718" s="97"/>
      <c r="X718" s="94"/>
      <c r="Y718" s="95"/>
      <c r="Z718" s="95"/>
      <c r="AA718" s="94"/>
      <c r="AB718" s="94"/>
      <c r="AC718" s="94"/>
      <c r="AD718" s="94"/>
      <c r="AE718" s="94"/>
      <c r="AF718" s="94"/>
      <c r="AG718" s="93" t="s">
        <v>1724</v>
      </c>
      <c r="AS718" s="94"/>
      <c r="AT718" s="94"/>
      <c r="AU718" s="94">
        <v>180</v>
      </c>
      <c r="AV718" s="94"/>
      <c r="BB718" s="108">
        <f>Schäden_Einband!X718+Schäden_Buchblock!AC718</f>
        <v>0</v>
      </c>
      <c r="BC718" s="95"/>
    </row>
    <row r="719" spans="1:63" x14ac:dyDescent="0.25">
      <c r="A719" s="82">
        <v>693</v>
      </c>
      <c r="B719" s="64" t="s">
        <v>1546</v>
      </c>
      <c r="C719" s="64">
        <v>1066968020</v>
      </c>
      <c r="D719" s="84" t="str">
        <f t="shared" si="11"/>
        <v>https://portal.dnb.de/opac.htm?method=simpleSearch&amp;cqlMode=true&amp;query=idn%3D1066968020</v>
      </c>
      <c r="E719" s="64" t="s">
        <v>1547</v>
      </c>
      <c r="F719" s="82"/>
      <c r="G719" s="85"/>
      <c r="H719" s="82" t="s">
        <v>53</v>
      </c>
      <c r="I719" s="85"/>
      <c r="J719" s="85"/>
      <c r="K719" s="82"/>
      <c r="L719" s="82"/>
      <c r="M719" s="82"/>
      <c r="N719" s="82"/>
      <c r="O719" s="82"/>
      <c r="P719" s="82"/>
      <c r="Q719" s="82"/>
      <c r="R719" s="82"/>
      <c r="S719" s="97"/>
      <c r="T719" s="97"/>
      <c r="X719" s="94"/>
      <c r="Y719" s="95"/>
      <c r="Z719" s="95"/>
      <c r="AA719" s="94"/>
      <c r="AB719" s="94"/>
      <c r="AC719" s="94"/>
      <c r="AD719" s="94"/>
      <c r="AE719" s="94"/>
      <c r="AF719" s="94"/>
      <c r="AG719" s="93" t="s">
        <v>1724</v>
      </c>
      <c r="AS719" s="94"/>
      <c r="AT719" s="94"/>
      <c r="AU719" s="94">
        <v>180</v>
      </c>
      <c r="AV719" s="94"/>
      <c r="BB719" s="108">
        <f>Schäden_Einband!X719+Schäden_Buchblock!AC719</f>
        <v>0</v>
      </c>
      <c r="BC719" s="95"/>
    </row>
    <row r="720" spans="1:63" x14ac:dyDescent="0.25">
      <c r="A720" s="82">
        <v>694</v>
      </c>
      <c r="B720" s="64" t="s">
        <v>1548</v>
      </c>
      <c r="C720" s="64">
        <v>1109813201</v>
      </c>
      <c r="D720" s="84" t="str">
        <f t="shared" si="11"/>
        <v>https://portal.dnb.de/opac.htm?method=simpleSearch&amp;cqlMode=true&amp;query=idn%3D1109813201</v>
      </c>
      <c r="E720" s="64" t="s">
        <v>1549</v>
      </c>
      <c r="F720" s="82"/>
      <c r="G720" s="85"/>
      <c r="H720" s="82" t="s">
        <v>53</v>
      </c>
      <c r="I720" s="85"/>
      <c r="J720" s="85"/>
      <c r="K720" s="82"/>
      <c r="L720" s="82"/>
      <c r="M720" s="82"/>
      <c r="N720" s="82"/>
      <c r="O720" s="82"/>
      <c r="P720" s="82"/>
      <c r="Q720" s="82"/>
      <c r="R720" s="82"/>
      <c r="S720" s="97"/>
      <c r="T720" s="97"/>
      <c r="X720" s="94"/>
      <c r="Y720" s="95"/>
      <c r="Z720" s="95"/>
      <c r="AA720" s="94"/>
      <c r="AB720" s="94"/>
      <c r="AC720" s="94"/>
      <c r="AD720" s="94"/>
      <c r="AE720" s="94"/>
      <c r="AF720" s="94"/>
      <c r="AG720" s="93" t="s">
        <v>1724</v>
      </c>
      <c r="AS720" s="94"/>
      <c r="AT720" s="94"/>
      <c r="AU720" s="94">
        <v>180</v>
      </c>
      <c r="AV720" s="94"/>
      <c r="BB720" s="108">
        <f>Schäden_Einband!X720+Schäden_Buchblock!AC720</f>
        <v>0</v>
      </c>
      <c r="BC720" s="95"/>
    </row>
    <row r="721" spans="1:55" x14ac:dyDescent="0.25">
      <c r="A721" s="82">
        <v>695</v>
      </c>
      <c r="B721" s="64" t="s">
        <v>1550</v>
      </c>
      <c r="C721" s="64">
        <v>1109774656</v>
      </c>
      <c r="D721" s="84" t="str">
        <f t="shared" si="11"/>
        <v>https://portal.dnb.de/opac.htm?method=simpleSearch&amp;cqlMode=true&amp;query=idn%3D1109774656</v>
      </c>
      <c r="E721" s="64" t="s">
        <v>1551</v>
      </c>
      <c r="F721" s="82"/>
      <c r="G721" s="85"/>
      <c r="H721" s="82" t="s">
        <v>53</v>
      </c>
      <c r="I721" s="85"/>
      <c r="J721" s="85"/>
      <c r="K721" s="82"/>
      <c r="L721" s="82"/>
      <c r="M721" s="82"/>
      <c r="N721" s="82"/>
      <c r="O721" s="82"/>
      <c r="P721" s="82"/>
      <c r="Q721" s="82"/>
      <c r="R721" s="82"/>
      <c r="S721" s="97"/>
      <c r="T721" s="97"/>
      <c r="X721" s="94"/>
      <c r="Y721" s="95"/>
      <c r="Z721" s="95"/>
      <c r="AA721" s="94"/>
      <c r="AB721" s="94"/>
      <c r="AC721" s="94"/>
      <c r="AD721" s="94"/>
      <c r="AE721" s="94"/>
      <c r="AF721" s="94"/>
      <c r="AG721" s="93" t="s">
        <v>1724</v>
      </c>
      <c r="AS721" s="94"/>
      <c r="AT721" s="94"/>
      <c r="AU721" s="94">
        <v>180</v>
      </c>
      <c r="AV721" s="94"/>
      <c r="BB721" s="108">
        <f>Schäden_Einband!X721+Schäden_Buchblock!AC721</f>
        <v>0</v>
      </c>
      <c r="BC721" s="95"/>
    </row>
    <row r="722" spans="1:55" x14ac:dyDescent="0.25">
      <c r="A722" s="82">
        <v>696</v>
      </c>
      <c r="B722" s="64" t="s">
        <v>1552</v>
      </c>
      <c r="C722" s="64">
        <v>1109815573</v>
      </c>
      <c r="D722" s="84" t="str">
        <f t="shared" si="11"/>
        <v>https://portal.dnb.de/opac.htm?method=simpleSearch&amp;cqlMode=true&amp;query=idn%3D1109815573</v>
      </c>
      <c r="E722" s="64" t="s">
        <v>1553</v>
      </c>
      <c r="F722" s="82"/>
      <c r="G722" s="85"/>
      <c r="H722" s="82" t="s">
        <v>53</v>
      </c>
      <c r="I722" s="85"/>
      <c r="J722" s="85"/>
      <c r="K722" s="82"/>
      <c r="L722" s="82"/>
      <c r="M722" s="82"/>
      <c r="N722" s="82"/>
      <c r="O722" s="82"/>
      <c r="P722" s="82"/>
      <c r="Q722" s="82"/>
      <c r="R722" s="82"/>
      <c r="S722" s="97"/>
      <c r="T722" s="97"/>
      <c r="X722" s="94"/>
      <c r="Y722" s="95"/>
      <c r="Z722" s="95"/>
      <c r="AA722" s="94"/>
      <c r="AB722" s="94"/>
      <c r="AC722" s="94"/>
      <c r="AD722" s="94"/>
      <c r="AE722" s="94"/>
      <c r="AF722" s="94"/>
      <c r="AG722" s="93" t="s">
        <v>1724</v>
      </c>
      <c r="AS722" s="94"/>
      <c r="AT722" s="94"/>
      <c r="AU722" s="94">
        <v>180</v>
      </c>
      <c r="AV722" s="94"/>
      <c r="BB722" s="108">
        <f>Schäden_Einband!X722+Schäden_Buchblock!AC722</f>
        <v>0</v>
      </c>
      <c r="BC722" s="95"/>
    </row>
    <row r="723" spans="1:55" x14ac:dyDescent="0.25">
      <c r="A723" s="82">
        <v>697</v>
      </c>
      <c r="B723" s="64" t="s">
        <v>1554</v>
      </c>
      <c r="C723" s="64">
        <v>1109815573</v>
      </c>
      <c r="D723" s="84" t="str">
        <f t="shared" si="11"/>
        <v>https://portal.dnb.de/opac.htm?method=simpleSearch&amp;cqlMode=true&amp;query=idn%3D1109815573</v>
      </c>
      <c r="E723" s="64" t="s">
        <v>1555</v>
      </c>
      <c r="F723" s="82"/>
      <c r="G723" s="85"/>
      <c r="H723" s="82" t="s">
        <v>53</v>
      </c>
      <c r="I723" s="85"/>
      <c r="J723" s="85"/>
      <c r="K723" s="82"/>
      <c r="L723" s="82"/>
      <c r="M723" s="82"/>
      <c r="N723" s="82"/>
      <c r="O723" s="82"/>
      <c r="P723" s="82"/>
      <c r="Q723" s="82"/>
      <c r="R723" s="82"/>
      <c r="S723" s="97"/>
      <c r="T723" s="97"/>
      <c r="X723" s="94"/>
      <c r="Y723" s="95"/>
      <c r="Z723" s="95"/>
      <c r="AA723" s="94"/>
      <c r="AB723" s="94"/>
      <c r="AC723" s="94"/>
      <c r="AD723" s="94"/>
      <c r="AE723" s="94"/>
      <c r="AF723" s="94"/>
      <c r="AG723" s="93" t="s">
        <v>1724</v>
      </c>
      <c r="AS723" s="94"/>
      <c r="AT723" s="94"/>
      <c r="AU723" s="94">
        <v>180</v>
      </c>
      <c r="AV723" s="94"/>
      <c r="BB723" s="108">
        <f>Schäden_Einband!X723+Schäden_Buchblock!AC723</f>
        <v>0</v>
      </c>
      <c r="BC723" s="95"/>
    </row>
    <row r="724" spans="1:55" x14ac:dyDescent="0.25">
      <c r="A724" s="82">
        <v>698</v>
      </c>
      <c r="B724" s="64" t="s">
        <v>1556</v>
      </c>
      <c r="C724" s="64">
        <v>1109815573</v>
      </c>
      <c r="D724" s="84" t="str">
        <f t="shared" si="11"/>
        <v>https://portal.dnb.de/opac.htm?method=simpleSearch&amp;cqlMode=true&amp;query=idn%3D1109815573</v>
      </c>
      <c r="E724" s="64" t="s">
        <v>1557</v>
      </c>
      <c r="F724" s="82"/>
      <c r="G724" s="85"/>
      <c r="H724" s="82" t="s">
        <v>53</v>
      </c>
      <c r="I724" s="85"/>
      <c r="J724" s="85"/>
      <c r="K724" s="82"/>
      <c r="L724" s="82"/>
      <c r="M724" s="82"/>
      <c r="N724" s="82"/>
      <c r="O724" s="82"/>
      <c r="P724" s="82"/>
      <c r="Q724" s="82"/>
      <c r="R724" s="82"/>
      <c r="S724" s="97"/>
      <c r="T724" s="97"/>
      <c r="X724" s="94"/>
      <c r="Y724" s="95"/>
      <c r="Z724" s="95"/>
      <c r="AA724" s="94"/>
      <c r="AB724" s="94"/>
      <c r="AC724" s="94"/>
      <c r="AD724" s="94"/>
      <c r="AE724" s="94"/>
      <c r="AF724" s="94"/>
      <c r="AG724" s="93" t="s">
        <v>1724</v>
      </c>
      <c r="AS724" s="94"/>
      <c r="AT724" s="94"/>
      <c r="AU724" s="94">
        <v>180</v>
      </c>
      <c r="AV724" s="94"/>
      <c r="BB724" s="108">
        <f>Schäden_Einband!X724+Schäden_Buchblock!AC724</f>
        <v>0</v>
      </c>
      <c r="BC724" s="95"/>
    </row>
    <row r="725" spans="1:55" x14ac:dyDescent="0.25">
      <c r="A725" s="82">
        <v>699</v>
      </c>
      <c r="B725" s="64" t="s">
        <v>1558</v>
      </c>
      <c r="C725" s="64">
        <v>1066964505</v>
      </c>
      <c r="D725" s="84" t="str">
        <f t="shared" si="11"/>
        <v>https://portal.dnb.de/opac.htm?method=simpleSearch&amp;cqlMode=true&amp;query=idn%3D1066964505</v>
      </c>
      <c r="E725" s="64" t="s">
        <v>1559</v>
      </c>
      <c r="F725" s="82"/>
      <c r="G725" s="85"/>
      <c r="H725" s="82" t="s">
        <v>53</v>
      </c>
      <c r="I725" s="85"/>
      <c r="J725" s="85"/>
      <c r="K725" s="82"/>
      <c r="L725" s="82"/>
      <c r="M725" s="82"/>
      <c r="N725" s="82"/>
      <c r="O725" s="82"/>
      <c r="P725" s="82"/>
      <c r="Q725" s="82"/>
      <c r="R725" s="82"/>
      <c r="S725" s="97"/>
      <c r="T725" s="97"/>
      <c r="X725" s="94"/>
      <c r="Y725" s="95"/>
      <c r="Z725" s="95"/>
      <c r="AA725" s="94"/>
      <c r="AB725" s="94"/>
      <c r="AC725" s="94"/>
      <c r="AD725" s="94"/>
      <c r="AE725" s="94"/>
      <c r="AF725" s="94"/>
      <c r="AG725" s="93" t="s">
        <v>1724</v>
      </c>
      <c r="AS725" s="94"/>
      <c r="AT725" s="94"/>
      <c r="AU725" s="94">
        <v>180</v>
      </c>
      <c r="AV725" s="94"/>
      <c r="BB725" s="108">
        <f>Schäden_Einband!X725+Schäden_Buchblock!AC725</f>
        <v>0</v>
      </c>
      <c r="BC725" s="95"/>
    </row>
    <row r="726" spans="1:55" x14ac:dyDescent="0.25">
      <c r="A726" s="82">
        <v>700</v>
      </c>
      <c r="B726" s="64" t="s">
        <v>1560</v>
      </c>
      <c r="C726" s="64">
        <v>1066965390</v>
      </c>
      <c r="D726" s="84" t="str">
        <f t="shared" si="11"/>
        <v>https://portal.dnb.de/opac.htm?method=simpleSearch&amp;cqlMode=true&amp;query=idn%3D1066965390</v>
      </c>
      <c r="E726" s="64" t="s">
        <v>1561</v>
      </c>
      <c r="F726" s="82"/>
      <c r="G726" s="85"/>
      <c r="H726" s="82" t="s">
        <v>53</v>
      </c>
      <c r="I726" s="85"/>
      <c r="J726" s="85"/>
      <c r="K726" s="82"/>
      <c r="L726" s="82"/>
      <c r="M726" s="82"/>
      <c r="N726" s="82"/>
      <c r="O726" s="82"/>
      <c r="P726" s="82"/>
      <c r="Q726" s="82"/>
      <c r="R726" s="82"/>
      <c r="S726" s="97"/>
      <c r="T726" s="97"/>
      <c r="X726" s="94"/>
      <c r="Y726" s="95"/>
      <c r="Z726" s="95"/>
      <c r="AA726" s="94"/>
      <c r="AB726" s="94"/>
      <c r="AC726" s="94"/>
      <c r="AD726" s="94"/>
      <c r="AE726" s="94"/>
      <c r="AF726" s="94"/>
      <c r="AG726" s="93" t="s">
        <v>1724</v>
      </c>
      <c r="AS726" s="94"/>
      <c r="AT726" s="94"/>
      <c r="AU726" s="94">
        <v>180</v>
      </c>
      <c r="AV726" s="94"/>
      <c r="BB726" s="108">
        <f>Schäden_Einband!X726+Schäden_Buchblock!AC726</f>
        <v>0</v>
      </c>
      <c r="BC726" s="95"/>
    </row>
    <row r="727" spans="1:55" x14ac:dyDescent="0.25">
      <c r="A727" s="82">
        <v>701</v>
      </c>
      <c r="B727" s="64" t="s">
        <v>1562</v>
      </c>
      <c r="C727" s="64" t="s">
        <v>1563</v>
      </c>
      <c r="D727" s="84" t="str">
        <f t="shared" si="11"/>
        <v>https://portal.dnb.de/opac.htm?method=simpleSearch&amp;cqlMode=true&amp;query=idn%3D110982050X</v>
      </c>
      <c r="E727" s="64" t="s">
        <v>1564</v>
      </c>
      <c r="F727" s="82"/>
      <c r="G727" s="85"/>
      <c r="H727" s="82" t="s">
        <v>53</v>
      </c>
      <c r="I727" s="85"/>
      <c r="J727" s="85"/>
      <c r="K727" s="82"/>
      <c r="L727" s="82"/>
      <c r="M727" s="82"/>
      <c r="N727" s="82"/>
      <c r="O727" s="82"/>
      <c r="P727" s="82"/>
      <c r="Q727" s="82"/>
      <c r="R727" s="82"/>
      <c r="S727" s="97"/>
      <c r="T727" s="97"/>
      <c r="X727" s="94"/>
      <c r="Y727" s="95"/>
      <c r="Z727" s="95"/>
      <c r="AA727" s="94"/>
      <c r="AB727" s="94"/>
      <c r="AC727" s="94"/>
      <c r="AD727" s="94"/>
      <c r="AE727" s="94"/>
      <c r="AF727" s="94"/>
      <c r="AG727" s="93" t="s">
        <v>1724</v>
      </c>
      <c r="AS727" s="94"/>
      <c r="AT727" s="94"/>
      <c r="AU727" s="94">
        <v>180</v>
      </c>
      <c r="AV727" s="94"/>
      <c r="BB727" s="108">
        <f>Schäden_Einband!X727+Schäden_Buchblock!AC727</f>
        <v>0</v>
      </c>
      <c r="BC727" s="95"/>
    </row>
    <row r="728" spans="1:55" x14ac:dyDescent="0.25">
      <c r="A728" s="82">
        <v>702</v>
      </c>
      <c r="B728" s="64" t="s">
        <v>1565</v>
      </c>
      <c r="C728" s="64">
        <v>1109921993</v>
      </c>
      <c r="D728" s="84" t="str">
        <f t="shared" si="11"/>
        <v>https://portal.dnb.de/opac.htm?method=simpleSearch&amp;cqlMode=true&amp;query=idn%3D1109921993</v>
      </c>
      <c r="E728" s="64" t="s">
        <v>1566</v>
      </c>
      <c r="F728" s="82"/>
      <c r="G728" s="85"/>
      <c r="H728" s="82" t="s">
        <v>53</v>
      </c>
      <c r="I728" s="85"/>
      <c r="J728" s="85"/>
      <c r="K728" s="82"/>
      <c r="L728" s="82"/>
      <c r="M728" s="82"/>
      <c r="N728" s="82"/>
      <c r="O728" s="82"/>
      <c r="P728" s="82"/>
      <c r="Q728" s="82"/>
      <c r="R728" s="82"/>
      <c r="S728" s="97"/>
      <c r="T728" s="97"/>
      <c r="X728" s="94"/>
      <c r="Y728" s="95"/>
      <c r="Z728" s="95"/>
      <c r="AA728" s="94"/>
      <c r="AB728" s="94"/>
      <c r="AC728" s="94"/>
      <c r="AD728" s="94"/>
      <c r="AE728" s="94"/>
      <c r="AF728" s="94"/>
      <c r="AG728" s="93" t="s">
        <v>1724</v>
      </c>
      <c r="AS728" s="94"/>
      <c r="AT728" s="94"/>
      <c r="AU728" s="94">
        <v>180</v>
      </c>
      <c r="AV728" s="94"/>
      <c r="BB728" s="108">
        <f>Schäden_Einband!X728+Schäden_Buchblock!AC728</f>
        <v>0</v>
      </c>
      <c r="BC728" s="95"/>
    </row>
    <row r="729" spans="1:55" x14ac:dyDescent="0.25">
      <c r="A729" s="82">
        <v>703</v>
      </c>
      <c r="B729" s="64" t="s">
        <v>1567</v>
      </c>
      <c r="C729" s="64">
        <v>1110068220</v>
      </c>
      <c r="D729" s="84" t="str">
        <f t="shared" si="11"/>
        <v>https://portal.dnb.de/opac.htm?method=simpleSearch&amp;cqlMode=true&amp;query=idn%3D1110068220</v>
      </c>
      <c r="E729" s="64" t="s">
        <v>1568</v>
      </c>
      <c r="F729" s="82"/>
      <c r="G729" s="85"/>
      <c r="H729" s="82" t="s">
        <v>53</v>
      </c>
      <c r="I729" s="85"/>
      <c r="J729" s="85"/>
      <c r="K729" s="82"/>
      <c r="L729" s="82"/>
      <c r="M729" s="82"/>
      <c r="N729" s="82"/>
      <c r="O729" s="82"/>
      <c r="P729" s="82"/>
      <c r="Q729" s="82"/>
      <c r="R729" s="82"/>
      <c r="S729" s="97"/>
      <c r="T729" s="97"/>
      <c r="X729" s="94"/>
      <c r="Y729" s="95"/>
      <c r="Z729" s="95"/>
      <c r="AA729" s="94"/>
      <c r="AB729" s="94"/>
      <c r="AC729" s="94"/>
      <c r="AD729" s="94"/>
      <c r="AE729" s="94"/>
      <c r="AF729" s="94"/>
      <c r="AG729" s="93" t="s">
        <v>1724</v>
      </c>
      <c r="AS729" s="94"/>
      <c r="AT729" s="94"/>
      <c r="AU729" s="94">
        <v>180</v>
      </c>
      <c r="AV729" s="94"/>
      <c r="BB729" s="108">
        <f>Schäden_Einband!X729+Schäden_Buchblock!AC729</f>
        <v>0</v>
      </c>
      <c r="BC729" s="95"/>
    </row>
    <row r="730" spans="1:55" x14ac:dyDescent="0.25">
      <c r="A730" s="82">
        <v>704</v>
      </c>
      <c r="B730" s="64" t="s">
        <v>1569</v>
      </c>
      <c r="C730" s="64">
        <v>1066966613</v>
      </c>
      <c r="D730" s="84" t="str">
        <f t="shared" si="11"/>
        <v>https://portal.dnb.de/opac.htm?method=simpleSearch&amp;cqlMode=true&amp;query=idn%3D1066966613</v>
      </c>
      <c r="E730" s="64" t="s">
        <v>1570</v>
      </c>
      <c r="F730" s="82"/>
      <c r="G730" s="85"/>
      <c r="H730" s="82" t="s">
        <v>53</v>
      </c>
      <c r="I730" s="85"/>
      <c r="J730" s="85"/>
      <c r="K730" s="82"/>
      <c r="L730" s="82"/>
      <c r="M730" s="82"/>
      <c r="N730" s="82"/>
      <c r="O730" s="82"/>
      <c r="P730" s="82"/>
      <c r="Q730" s="82"/>
      <c r="R730" s="82"/>
      <c r="S730" s="97"/>
      <c r="T730" s="97"/>
      <c r="X730" s="94"/>
      <c r="Y730" s="95"/>
      <c r="Z730" s="95"/>
      <c r="AA730" s="94"/>
      <c r="AB730" s="94"/>
      <c r="AC730" s="94"/>
      <c r="AD730" s="94"/>
      <c r="AE730" s="94"/>
      <c r="AF730" s="94"/>
      <c r="AG730" s="93" t="s">
        <v>1724</v>
      </c>
      <c r="AS730" s="94"/>
      <c r="AT730" s="94"/>
      <c r="AU730" s="94">
        <v>180</v>
      </c>
      <c r="AV730" s="94"/>
      <c r="BB730" s="108">
        <f>Schäden_Einband!X730+Schäden_Buchblock!AC730</f>
        <v>0</v>
      </c>
      <c r="BC730" s="95"/>
    </row>
    <row r="731" spans="1:55" x14ac:dyDescent="0.25">
      <c r="A731" s="82">
        <v>705</v>
      </c>
      <c r="B731" s="64" t="s">
        <v>1560</v>
      </c>
      <c r="C731" s="64">
        <v>1066965390</v>
      </c>
      <c r="D731" s="84" t="str">
        <f t="shared" si="11"/>
        <v>https://portal.dnb.de/opac.htm?method=simpleSearch&amp;cqlMode=true&amp;query=idn%3D1066965390</v>
      </c>
      <c r="E731" s="64" t="s">
        <v>1571</v>
      </c>
      <c r="F731" s="82"/>
      <c r="G731" s="85"/>
      <c r="H731" s="82" t="s">
        <v>53</v>
      </c>
      <c r="I731" s="85"/>
      <c r="J731" s="85"/>
      <c r="K731" s="82"/>
      <c r="L731" s="82"/>
      <c r="M731" s="82"/>
      <c r="N731" s="82"/>
      <c r="O731" s="82"/>
      <c r="P731" s="82"/>
      <c r="Q731" s="82"/>
      <c r="R731" s="82"/>
      <c r="S731" s="97"/>
      <c r="T731" s="97"/>
      <c r="X731" s="94"/>
      <c r="Y731" s="95"/>
      <c r="Z731" s="95"/>
      <c r="AA731" s="94"/>
      <c r="AB731" s="94"/>
      <c r="AC731" s="94"/>
      <c r="AD731" s="94"/>
      <c r="AE731" s="94"/>
      <c r="AF731" s="94"/>
      <c r="AG731" s="93" t="s">
        <v>1724</v>
      </c>
      <c r="AS731" s="94"/>
      <c r="AT731" s="94"/>
      <c r="AU731" s="94">
        <v>180</v>
      </c>
      <c r="AV731" s="94"/>
      <c r="BB731" s="108">
        <f>Schäden_Einband!X731+Schäden_Buchblock!AC731</f>
        <v>0</v>
      </c>
      <c r="BC731" s="95"/>
    </row>
    <row r="732" spans="1:55" x14ac:dyDescent="0.25">
      <c r="A732" s="82">
        <v>706</v>
      </c>
      <c r="B732" s="64" t="s">
        <v>1572</v>
      </c>
      <c r="C732" s="64" t="s">
        <v>1563</v>
      </c>
      <c r="D732" s="84" t="str">
        <f t="shared" ref="D732:D736" si="12">HYPERLINK(CONCATENATE("https://portal.dnb.de/opac.htm?method=simpleSearch&amp;cqlMode=true&amp;query=idn%3D",C732))</f>
        <v>https://portal.dnb.de/opac.htm?method=simpleSearch&amp;cqlMode=true&amp;query=idn%3D110982050X</v>
      </c>
      <c r="E732" s="64" t="s">
        <v>1573</v>
      </c>
      <c r="F732" s="82"/>
      <c r="G732" s="85"/>
      <c r="H732" s="82" t="s">
        <v>53</v>
      </c>
      <c r="I732" s="85"/>
      <c r="J732" s="85"/>
      <c r="K732" s="82"/>
      <c r="L732" s="82"/>
      <c r="M732" s="82"/>
      <c r="N732" s="82"/>
      <c r="O732" s="82"/>
      <c r="P732" s="82"/>
      <c r="Q732" s="82"/>
      <c r="R732" s="82"/>
      <c r="S732" s="97"/>
      <c r="T732" s="97"/>
      <c r="X732" s="94"/>
      <c r="Y732" s="95"/>
      <c r="Z732" s="95"/>
      <c r="AA732" s="94"/>
      <c r="AB732" s="94"/>
      <c r="AC732" s="94"/>
      <c r="AD732" s="94"/>
      <c r="AE732" s="94"/>
      <c r="AF732" s="94"/>
      <c r="AG732" s="93" t="s">
        <v>1724</v>
      </c>
      <c r="AS732" s="94"/>
      <c r="AT732" s="94"/>
      <c r="AU732" s="94">
        <v>180</v>
      </c>
      <c r="AV732" s="94"/>
      <c r="BB732" s="108">
        <f>Schäden_Einband!X732+Schäden_Buchblock!AC732</f>
        <v>0</v>
      </c>
      <c r="BC732" s="95"/>
    </row>
    <row r="733" spans="1:55" x14ac:dyDescent="0.25">
      <c r="A733" s="82">
        <v>707</v>
      </c>
      <c r="B733" s="64" t="s">
        <v>1574</v>
      </c>
      <c r="C733" s="64" t="s">
        <v>1575</v>
      </c>
      <c r="D733" s="84" t="str">
        <f t="shared" si="12"/>
        <v>https://portal.dnb.de/opac.htm?method=simpleSearch&amp;cqlMode=true&amp;query=idn%3D111007414X</v>
      </c>
      <c r="E733" s="64" t="s">
        <v>1576</v>
      </c>
      <c r="F733" s="82"/>
      <c r="G733" s="85"/>
      <c r="H733" s="82" t="s">
        <v>53</v>
      </c>
      <c r="I733" s="85"/>
      <c r="J733" s="85"/>
      <c r="K733" s="82"/>
      <c r="L733" s="82"/>
      <c r="M733" s="82"/>
      <c r="N733" s="82"/>
      <c r="O733" s="82"/>
      <c r="P733" s="82"/>
      <c r="Q733" s="82"/>
      <c r="R733" s="82"/>
      <c r="S733" s="97"/>
      <c r="T733" s="97"/>
      <c r="X733" s="94"/>
      <c r="Y733" s="95"/>
      <c r="Z733" s="95"/>
      <c r="AA733" s="94"/>
      <c r="AB733" s="94"/>
      <c r="AC733" s="94"/>
      <c r="AD733" s="94"/>
      <c r="AE733" s="94"/>
      <c r="AF733" s="94"/>
      <c r="AG733" s="93" t="s">
        <v>1724</v>
      </c>
      <c r="AS733" s="94"/>
      <c r="AT733" s="94"/>
      <c r="AU733" s="94">
        <v>180</v>
      </c>
      <c r="AV733" s="94"/>
      <c r="BB733" s="108">
        <f>Schäden_Einband!X733+Schäden_Buchblock!AC733</f>
        <v>0</v>
      </c>
      <c r="BC733" s="95"/>
    </row>
    <row r="734" spans="1:55" x14ac:dyDescent="0.25">
      <c r="A734" s="82">
        <v>708</v>
      </c>
      <c r="B734" s="64" t="s">
        <v>1577</v>
      </c>
      <c r="C734" s="64" t="s">
        <v>1575</v>
      </c>
      <c r="D734" s="84" t="str">
        <f t="shared" si="12"/>
        <v>https://portal.dnb.de/opac.htm?method=simpleSearch&amp;cqlMode=true&amp;query=idn%3D111007414X</v>
      </c>
      <c r="E734" s="64" t="s">
        <v>1578</v>
      </c>
      <c r="F734" s="82"/>
      <c r="G734" s="85"/>
      <c r="H734" s="82" t="s">
        <v>53</v>
      </c>
      <c r="I734" s="85"/>
      <c r="J734" s="85"/>
      <c r="K734" s="82"/>
      <c r="L734" s="82"/>
      <c r="M734" s="82"/>
      <c r="N734" s="82"/>
      <c r="O734" s="82"/>
      <c r="P734" s="82"/>
      <c r="Q734" s="82"/>
      <c r="R734" s="82"/>
      <c r="S734" s="97"/>
      <c r="T734" s="97"/>
      <c r="X734" s="94"/>
      <c r="Y734" s="95"/>
      <c r="Z734" s="95"/>
      <c r="AA734" s="94"/>
      <c r="AB734" s="94"/>
      <c r="AC734" s="94"/>
      <c r="AD734" s="94"/>
      <c r="AE734" s="94"/>
      <c r="AF734" s="94"/>
      <c r="AG734" s="93" t="s">
        <v>1724</v>
      </c>
      <c r="AS734" s="94"/>
      <c r="AT734" s="94"/>
      <c r="AU734" s="94">
        <v>180</v>
      </c>
      <c r="AV734" s="94"/>
      <c r="BB734" s="108">
        <f>Schäden_Einband!X734+Schäden_Buchblock!AC734</f>
        <v>0</v>
      </c>
      <c r="BC734" s="95"/>
    </row>
    <row r="735" spans="1:55" x14ac:dyDescent="0.25">
      <c r="A735" s="82">
        <v>709</v>
      </c>
      <c r="B735" s="64" t="s">
        <v>1579</v>
      </c>
      <c r="C735" s="64" t="s">
        <v>1575</v>
      </c>
      <c r="D735" s="84" t="str">
        <f t="shared" si="12"/>
        <v>https://portal.dnb.de/opac.htm?method=simpleSearch&amp;cqlMode=true&amp;query=idn%3D111007414X</v>
      </c>
      <c r="E735" s="64" t="s">
        <v>1580</v>
      </c>
      <c r="F735" s="82"/>
      <c r="G735" s="85"/>
      <c r="H735" s="82" t="s">
        <v>53</v>
      </c>
      <c r="I735" s="85"/>
      <c r="J735" s="85"/>
      <c r="K735" s="82"/>
      <c r="L735" s="82"/>
      <c r="M735" s="82"/>
      <c r="N735" s="82"/>
      <c r="O735" s="82"/>
      <c r="P735" s="82"/>
      <c r="Q735" s="82"/>
      <c r="R735" s="82"/>
      <c r="S735" s="97"/>
      <c r="T735" s="97"/>
      <c r="X735" s="94"/>
      <c r="Y735" s="95"/>
      <c r="Z735" s="95"/>
      <c r="AA735" s="94"/>
      <c r="AB735" s="94"/>
      <c r="AC735" s="94"/>
      <c r="AD735" s="94"/>
      <c r="AE735" s="94"/>
      <c r="AF735" s="94"/>
      <c r="AG735" s="93" t="s">
        <v>1724</v>
      </c>
      <c r="AS735" s="94"/>
      <c r="AT735" s="94"/>
      <c r="AU735" s="94">
        <v>180</v>
      </c>
      <c r="AV735" s="94"/>
      <c r="BB735" s="108">
        <f>Schäden_Einband!X735+Schäden_Buchblock!AC735</f>
        <v>0</v>
      </c>
      <c r="BC735" s="95"/>
    </row>
    <row r="736" spans="1:55" x14ac:dyDescent="0.25">
      <c r="A736" s="82">
        <v>710</v>
      </c>
      <c r="B736" s="64" t="s">
        <v>1581</v>
      </c>
      <c r="C736" s="64" t="s">
        <v>1575</v>
      </c>
      <c r="D736" s="84" t="str">
        <f t="shared" si="12"/>
        <v>https://portal.dnb.de/opac.htm?method=simpleSearch&amp;cqlMode=true&amp;query=idn%3D111007414X</v>
      </c>
      <c r="E736" s="64" t="s">
        <v>1582</v>
      </c>
      <c r="F736" s="82"/>
      <c r="G736" s="85"/>
      <c r="H736" s="82" t="s">
        <v>53</v>
      </c>
      <c r="I736" s="85"/>
      <c r="J736" s="85"/>
      <c r="K736" s="82"/>
      <c r="L736" s="82"/>
      <c r="M736" s="82"/>
      <c r="N736" s="82"/>
      <c r="O736" s="82"/>
      <c r="P736" s="82"/>
      <c r="Q736" s="82"/>
      <c r="R736" s="82"/>
      <c r="S736" s="97"/>
      <c r="T736" s="97"/>
      <c r="X736" s="94"/>
      <c r="Y736" s="95"/>
      <c r="Z736" s="95"/>
      <c r="AA736" s="94"/>
      <c r="AB736" s="94"/>
      <c r="AC736" s="94"/>
      <c r="AD736" s="94"/>
      <c r="AE736" s="94"/>
      <c r="AF736" s="94"/>
      <c r="AG736" s="93" t="s">
        <v>1724</v>
      </c>
      <c r="AS736" s="94"/>
      <c r="AT736" s="94"/>
      <c r="AU736" s="94">
        <v>180</v>
      </c>
      <c r="AV736" s="94"/>
      <c r="BB736" s="108">
        <f>Schäden_Einband!X736+Schäden_Buchblock!AC736</f>
        <v>0</v>
      </c>
      <c r="BC736" s="95"/>
    </row>
    <row r="737" spans="1:63" ht="99.75" customHeight="1" x14ac:dyDescent="0.25">
      <c r="A737" s="82"/>
      <c r="B737" s="64"/>
      <c r="C737" s="64"/>
      <c r="D737" s="84"/>
      <c r="E737" s="88" t="s">
        <v>1764</v>
      </c>
      <c r="F737" s="82"/>
      <c r="G737" s="85"/>
      <c r="H737" s="82"/>
      <c r="I737" s="85"/>
      <c r="J737" s="85"/>
      <c r="K737" s="82"/>
      <c r="L737" s="82"/>
      <c r="M737" s="82"/>
      <c r="N737" s="82"/>
      <c r="O737" s="82"/>
      <c r="P737" s="82"/>
      <c r="Q737" s="82"/>
      <c r="R737" s="82"/>
      <c r="S737" s="96"/>
      <c r="T737" s="96"/>
      <c r="X737" s="96" t="s">
        <v>1765</v>
      </c>
      <c r="Y737" s="95"/>
      <c r="Z737" s="95"/>
      <c r="AA737" s="94"/>
      <c r="AB737" s="94"/>
      <c r="AC737" s="94"/>
      <c r="AD737" s="94"/>
      <c r="AE737" s="94"/>
      <c r="AF737" s="94"/>
      <c r="AS737" s="94"/>
      <c r="AT737" s="94"/>
      <c r="AU737" s="94"/>
      <c r="AV737" s="94"/>
      <c r="BB737" s="108">
        <f>Schäden_Einband!X737+Schäden_Buchblock!AC737</f>
        <v>0</v>
      </c>
      <c r="BC737" s="95"/>
    </row>
    <row r="738" spans="1:63" x14ac:dyDescent="0.25">
      <c r="A738" s="105"/>
      <c r="B738" s="106"/>
      <c r="C738" s="106"/>
      <c r="D738" s="90"/>
      <c r="E738" s="106"/>
      <c r="F738" s="105"/>
      <c r="G738" s="107"/>
      <c r="H738" s="105"/>
      <c r="I738" s="104"/>
      <c r="J738" s="85"/>
      <c r="K738" s="82"/>
      <c r="L738" s="82"/>
      <c r="M738" s="82"/>
      <c r="N738" s="82"/>
      <c r="O738" s="82"/>
      <c r="P738" s="82"/>
      <c r="Q738" s="82"/>
      <c r="R738" s="82"/>
      <c r="S738" s="97"/>
      <c r="T738" s="97"/>
      <c r="U738" s="98"/>
      <c r="V738" s="98"/>
      <c r="W738" s="98"/>
      <c r="X738" s="99"/>
      <c r="Y738" s="100"/>
      <c r="Z738" s="100"/>
      <c r="AA738" s="99"/>
      <c r="AB738" s="99"/>
      <c r="AC738" s="99"/>
      <c r="AD738" s="99"/>
      <c r="AE738" s="99"/>
      <c r="AF738" s="99"/>
      <c r="AG738" s="98"/>
      <c r="AH738" s="98"/>
      <c r="AI738" s="98"/>
      <c r="AJ738" s="98"/>
      <c r="AK738" s="98"/>
      <c r="AL738" s="98"/>
      <c r="AM738" s="98"/>
      <c r="AN738" s="98"/>
      <c r="AO738" s="98"/>
      <c r="AP738" s="98"/>
      <c r="AQ738" s="98"/>
      <c r="AR738" s="98"/>
      <c r="AS738" s="99"/>
      <c r="AT738" s="99"/>
      <c r="AU738" s="99"/>
      <c r="AV738" s="99"/>
      <c r="AW738" s="98"/>
      <c r="AX738" s="98"/>
      <c r="AY738" s="98"/>
      <c r="AZ738" s="98"/>
      <c r="BA738" s="99"/>
      <c r="BB738" s="101"/>
      <c r="BC738" s="100"/>
      <c r="BD738" s="98"/>
      <c r="BE738" s="98"/>
      <c r="BF738" s="98"/>
      <c r="BG738" s="98"/>
      <c r="BH738" s="98"/>
      <c r="BI738" s="98"/>
      <c r="BJ738" s="89"/>
    </row>
    <row r="739" spans="1:63" x14ac:dyDescent="0.25">
      <c r="A739" s="105"/>
      <c r="B739" s="106"/>
      <c r="C739" s="106"/>
      <c r="D739" s="90"/>
      <c r="E739" s="97">
        <f>COUNTIF(E2:E737,"&lt;&gt;")</f>
        <v>736</v>
      </c>
      <c r="F739" s="105"/>
      <c r="G739" s="107"/>
      <c r="H739" s="97">
        <f>COUNTIF(H$2:H$737,"bis 25 cm")</f>
        <v>154</v>
      </c>
      <c r="I739" s="104"/>
      <c r="J739" s="85"/>
      <c r="K739" s="82"/>
      <c r="L739" s="82"/>
      <c r="M739" s="82"/>
      <c r="N739" s="82"/>
      <c r="O739" s="82"/>
      <c r="P739" s="82"/>
      <c r="Q739" s="82"/>
      <c r="R739" s="82"/>
      <c r="S739" s="97">
        <f>COUNTIF(S2:S737,"*")</f>
        <v>6</v>
      </c>
      <c r="T739" s="97">
        <f>COUNTIF(T2:T737,"&lt;&gt;")</f>
        <v>0</v>
      </c>
      <c r="U739" s="97">
        <f>COUNTIF(U2:U737,"&lt;&gt;")</f>
        <v>0</v>
      </c>
      <c r="V739" s="97">
        <f>COUNTIF(V2:V737,"&lt;&gt;")</f>
        <v>5</v>
      </c>
      <c r="W739" s="97">
        <f>COUNTIF(W2:W737,"x")</f>
        <v>0</v>
      </c>
      <c r="X739" s="97">
        <f>COUNTIF(X$2:X$737,"Pa")</f>
        <v>0</v>
      </c>
      <c r="Y739" s="97">
        <f>COUNTIF(Y2:Y737,"x")</f>
        <v>126</v>
      </c>
      <c r="Z739" s="97">
        <f>COUNTIF(Z2:Z737,"x")</f>
        <v>36</v>
      </c>
      <c r="AA739" s="97">
        <f>COUNTIF(AA$2:AA$737,"f")</f>
        <v>43</v>
      </c>
      <c r="AB739" s="97">
        <f>COUNTIF(AB2:AB737,"x")</f>
        <v>1</v>
      </c>
      <c r="AC739" s="97">
        <f>COUNTIF(AC$2:AC$737,"x")</f>
        <v>11</v>
      </c>
      <c r="AD739" s="97">
        <f>COUNTIF(AD2:AD737,"x")</f>
        <v>0</v>
      </c>
      <c r="AE739" s="97">
        <f>COUNTIF(AE2:AE737,"x")</f>
        <v>1</v>
      </c>
      <c r="AF739" s="97">
        <f>COUNTIF(AF2:AF737,"x")</f>
        <v>0</v>
      </c>
      <c r="AG739" s="97">
        <f>COUNTIF(AG$2:AG$737,"Pa")</f>
        <v>191</v>
      </c>
      <c r="AH739" s="97">
        <f t="shared" ref="AH739:AN739" si="13">COUNTIF(AH2:AH737,"x")</f>
        <v>16</v>
      </c>
      <c r="AI739" s="97">
        <f t="shared" si="13"/>
        <v>4</v>
      </c>
      <c r="AJ739" s="97">
        <f t="shared" si="13"/>
        <v>0</v>
      </c>
      <c r="AK739" s="97">
        <f>COUNTIF(AK$2:AK$737,"x")</f>
        <v>8</v>
      </c>
      <c r="AL739" s="97">
        <f>COUNTIF(AL$2:AL$737,"x")</f>
        <v>18</v>
      </c>
      <c r="AM739" s="97">
        <f t="shared" si="13"/>
        <v>0</v>
      </c>
      <c r="AN739" s="97">
        <f t="shared" si="13"/>
        <v>0</v>
      </c>
      <c r="AO739" s="97">
        <f>COUNTIF(AO2:AO737,"&lt;&gt;")</f>
        <v>0</v>
      </c>
      <c r="AP739" s="97">
        <f>COUNTIF(AP2:AP737,"x")</f>
        <v>0</v>
      </c>
      <c r="AQ739" s="97">
        <f>COUNTIF(AQ$2:AQ$737,"K")</f>
        <v>2</v>
      </c>
      <c r="AR739" s="97">
        <f>COUNTIF(AR$2:AR$737,"x")</f>
        <v>93</v>
      </c>
      <c r="AS739" s="97">
        <f>COUNTIF(AS$2:AS$737,"0")</f>
        <v>10</v>
      </c>
      <c r="AT739" s="97">
        <f>COUNTIF(AT2:AT737,"x")</f>
        <v>3</v>
      </c>
      <c r="AU739" s="97">
        <f>COUNTIF(AU$2:AU$737,"0")</f>
        <v>0</v>
      </c>
      <c r="AV739" s="97">
        <f>COUNTIF(AV2:AV737,"&lt;&gt;")</f>
        <v>4</v>
      </c>
      <c r="AW739" s="97">
        <f>COUNTIF(AW2:AW737,"x")</f>
        <v>1</v>
      </c>
      <c r="AX739" s="97">
        <f>COUNTIF(AX2:AX737,"x")</f>
        <v>0</v>
      </c>
      <c r="AY739" s="97">
        <f>COUNTIF(AY2:AY737,"x")</f>
        <v>2</v>
      </c>
      <c r="AZ739" s="97">
        <f>COUNTIF(AZ2:AZ737,"x")</f>
        <v>2</v>
      </c>
      <c r="BA739" s="97">
        <f>COUNTIF(BA$2:BA$737,"n")</f>
        <v>116</v>
      </c>
      <c r="BB739" s="102"/>
      <c r="BC739" s="97">
        <f>COUNTIF(BC2:BC737,"x")</f>
        <v>0</v>
      </c>
      <c r="BD739" s="97">
        <f>COUNTIF(BD$2:BD$737,"Gewebe")</f>
        <v>22</v>
      </c>
      <c r="BE739" s="97">
        <f>COUNTIF(BE$2:BE$737,"x")</f>
        <v>1</v>
      </c>
      <c r="BF739" s="97">
        <f>COUNTIF(BF2:BF737,"x")</f>
        <v>5</v>
      </c>
      <c r="BG739" s="97">
        <f>COUNTIF(BG$2:BG$737,"x")</f>
        <v>6</v>
      </c>
      <c r="BH739" s="97">
        <f>COUNTIF(BH$2:BH$737,"x")</f>
        <v>0</v>
      </c>
      <c r="BI739" s="97">
        <f>COUNTIF(BI2:BI737,"x")</f>
        <v>1</v>
      </c>
      <c r="BJ739" s="97">
        <f>COUNTIF(BJ2:BJ737,"&lt;&gt;")</f>
        <v>27</v>
      </c>
      <c r="BK739" s="97">
        <f>COUNTIF(BK2:BK737,"x 45")</f>
        <v>1</v>
      </c>
    </row>
    <row r="740" spans="1:63" x14ac:dyDescent="0.25">
      <c r="A740" s="105"/>
      <c r="B740" s="106"/>
      <c r="C740" s="106"/>
      <c r="D740" s="90"/>
      <c r="E740" s="106"/>
      <c r="F740" s="105"/>
      <c r="G740" s="107"/>
      <c r="H740" s="97">
        <f>COUNTIF(H$2:H$737,"bis 35 cm")</f>
        <v>212</v>
      </c>
      <c r="I740" s="104"/>
      <c r="J740" s="85"/>
      <c r="K740" s="82"/>
      <c r="L740" s="82"/>
      <c r="M740" s="82"/>
      <c r="N740" s="82"/>
      <c r="O740" s="82"/>
      <c r="P740" s="82"/>
      <c r="Q740" s="82"/>
      <c r="R740" s="82"/>
      <c r="S740" s="97"/>
      <c r="T740" s="97"/>
      <c r="U740" s="98"/>
      <c r="V740" s="98"/>
      <c r="W740" s="98"/>
      <c r="X740" s="97">
        <f>COUNTIF(X$2:X$737,"Br")</f>
        <v>2</v>
      </c>
      <c r="Y740" s="100"/>
      <c r="Z740" s="100"/>
      <c r="AA740" s="97">
        <f>COUNTIF(AA$2:AA$737,"f/E")</f>
        <v>3</v>
      </c>
      <c r="AB740" s="99"/>
      <c r="AC740" s="97">
        <f>COUNTIF(AC$2:AC$737,"xx")</f>
        <v>1</v>
      </c>
      <c r="AD740" s="99"/>
      <c r="AE740" s="99"/>
      <c r="AF740" s="99"/>
      <c r="AG740" s="122">
        <f>COUNTIF(AG$2:AG$737,"Pg")</f>
        <v>2</v>
      </c>
      <c r="AH740" s="98"/>
      <c r="AI740" s="98"/>
      <c r="AJ740" s="98"/>
      <c r="AK740" s="97">
        <f>COUNTIF(AK$2:AK$737,"xx")</f>
        <v>2</v>
      </c>
      <c r="AL740" s="97">
        <f>COUNTIF(AL$2:AL$737,"xx")</f>
        <v>1</v>
      </c>
      <c r="AM740" s="98"/>
      <c r="AN740" s="98"/>
      <c r="AO740" s="98"/>
      <c r="AP740" s="98"/>
      <c r="AQ740" s="97">
        <f>COUNTIF(AQ$2:AQ$737,"B")</f>
        <v>1</v>
      </c>
      <c r="AR740" s="97">
        <f>COUNTIF(AR$2:AR$737,"xx")</f>
        <v>9</v>
      </c>
      <c r="AS740" s="97">
        <f>COUNTIF(AS$2:AS$737,"2")</f>
        <v>5</v>
      </c>
      <c r="AT740" s="97"/>
      <c r="AU740" s="97">
        <f>COUNTIF(AU$2:AU$737,"45")</f>
        <v>8</v>
      </c>
      <c r="AV740" s="99"/>
      <c r="AW740" s="98"/>
      <c r="AX740" s="98"/>
      <c r="AY740" s="98"/>
      <c r="AZ740" s="98"/>
      <c r="BA740" s="97">
        <f>COUNTIF(BA$2:BA$737,"ja vor")</f>
        <v>48</v>
      </c>
      <c r="BB740" s="101"/>
      <c r="BC740" s="100"/>
      <c r="BD740" s="97">
        <f>COUNTIF(BD$2:BD$737,"Wellpappe")</f>
        <v>65</v>
      </c>
      <c r="BE740" s="97">
        <f>COUNTIF(BE$2:BE$737,"historisch")</f>
        <v>0</v>
      </c>
      <c r="BF740" s="98"/>
      <c r="BG740" s="97">
        <f>COUNTIF(BG$2:BG$737,"x sauer")</f>
        <v>0</v>
      </c>
      <c r="BH740" s="97">
        <f>COUNTIF(BH$2:BH$737,"x sauer")</f>
        <v>0</v>
      </c>
      <c r="BI740" s="98"/>
      <c r="BJ740" s="89"/>
      <c r="BK740" s="97">
        <f>COUNTIF(BK2:BK737,"x 110")</f>
        <v>13</v>
      </c>
    </row>
    <row r="741" spans="1:63" x14ac:dyDescent="0.25">
      <c r="A741" s="105"/>
      <c r="B741" s="106"/>
      <c r="C741" s="106"/>
      <c r="D741" s="90"/>
      <c r="E741" s="106"/>
      <c r="F741" s="105"/>
      <c r="G741" s="107"/>
      <c r="H741" s="97">
        <f>COUNTIF(H$2:H$737,"bis 42 cm")</f>
        <v>56</v>
      </c>
      <c r="I741" s="104"/>
      <c r="J741" s="85"/>
      <c r="K741" s="82"/>
      <c r="L741" s="82"/>
      <c r="M741" s="82"/>
      <c r="N741" s="82"/>
      <c r="O741" s="82"/>
      <c r="P741" s="82"/>
      <c r="Q741" s="82"/>
      <c r="R741" s="82"/>
      <c r="S741" s="97"/>
      <c r="T741" s="97"/>
      <c r="U741" s="98"/>
      <c r="V741" s="98"/>
      <c r="W741" s="98"/>
      <c r="X741" s="97">
        <f>COUNTIF(X$2:X$737,"G")</f>
        <v>9</v>
      </c>
      <c r="Y741" s="100"/>
      <c r="Z741" s="100"/>
      <c r="AA741" s="97">
        <f>COUNTIF(AA$2:AA$737,"f/V")</f>
        <v>33</v>
      </c>
      <c r="AB741" s="99"/>
      <c r="AC741" s="99"/>
      <c r="AD741" s="99"/>
      <c r="AE741" s="99"/>
      <c r="AF741" s="99"/>
      <c r="AG741" s="98"/>
      <c r="AH741" s="98"/>
      <c r="AI741" s="98"/>
      <c r="AJ741" s="98"/>
      <c r="AK741" s="98"/>
      <c r="AL741" s="98"/>
      <c r="AM741" s="98"/>
      <c r="AN741" s="98"/>
      <c r="AO741" s="98"/>
      <c r="AP741" s="98"/>
      <c r="AQ741" s="97">
        <f>COUNTIF(AQ$2:AQ$737,"I")</f>
        <v>5</v>
      </c>
      <c r="AR741" s="98"/>
      <c r="AS741" s="97">
        <f>COUNTIF(AS$2:AS$737,"3")</f>
        <v>1</v>
      </c>
      <c r="AT741" s="97"/>
      <c r="AU741" s="97">
        <f>COUNTIF(AU$2:AU$737,"max 45")</f>
        <v>1</v>
      </c>
      <c r="AV741" s="99"/>
      <c r="AW741" s="98"/>
      <c r="AX741" s="98"/>
      <c r="AY741" s="98"/>
      <c r="AZ741" s="98"/>
      <c r="BA741" s="97">
        <f>COUNTIF(BA$2:BA$737,"ja nach")</f>
        <v>3</v>
      </c>
      <c r="BB741" s="101"/>
      <c r="BC741" s="100"/>
      <c r="BD741" s="98"/>
      <c r="BE741" s="98"/>
      <c r="BF741" s="98"/>
      <c r="BG741" s="98"/>
      <c r="BH741" s="98"/>
      <c r="BI741" s="98"/>
      <c r="BJ741" s="89"/>
    </row>
    <row r="742" spans="1:63" x14ac:dyDescent="0.25">
      <c r="A742" s="105"/>
      <c r="B742" s="106"/>
      <c r="C742" s="106"/>
      <c r="D742" s="90"/>
      <c r="E742" s="106"/>
      <c r="F742" s="105"/>
      <c r="G742" s="107"/>
      <c r="H742" s="97">
        <f>COUNTIF(H$2:H$737,"? 42 cm")</f>
        <v>48</v>
      </c>
      <c r="I742" s="104"/>
      <c r="J742" s="85"/>
      <c r="K742" s="82"/>
      <c r="L742" s="82"/>
      <c r="M742" s="82"/>
      <c r="N742" s="82"/>
      <c r="O742" s="82"/>
      <c r="P742" s="82"/>
      <c r="Q742" s="82"/>
      <c r="R742" s="82"/>
      <c r="S742" s="97"/>
      <c r="T742" s="97"/>
      <c r="U742" s="98"/>
      <c r="V742" s="98"/>
      <c r="W742" s="98"/>
      <c r="X742" s="97">
        <f>COUNTIF(X$2:X$737,"HG")</f>
        <v>0</v>
      </c>
      <c r="Y742" s="100"/>
      <c r="Z742" s="100"/>
      <c r="AA742" s="97">
        <f>COUNTIF(AA$2:AA$737,"h")</f>
        <v>15</v>
      </c>
      <c r="AB742" s="99"/>
      <c r="AC742" s="99"/>
      <c r="AD742" s="99"/>
      <c r="AE742" s="99"/>
      <c r="AF742" s="99"/>
      <c r="AG742" s="98"/>
      <c r="AH742" s="98"/>
      <c r="AI742" s="98"/>
      <c r="AJ742" s="98"/>
      <c r="AK742" s="98"/>
      <c r="AL742" s="98"/>
      <c r="AM742" s="98"/>
      <c r="AN742" s="98"/>
      <c r="AO742" s="98"/>
      <c r="AP742" s="98"/>
      <c r="AQ742" s="97">
        <f>COUNTIF(AQ$2:AQ$737,"R")</f>
        <v>2</v>
      </c>
      <c r="AR742" s="98"/>
      <c r="AS742" s="97">
        <f>COUNTIF(AS$2:AS$737,"4")</f>
        <v>2</v>
      </c>
      <c r="AT742" s="97"/>
      <c r="AU742" s="97">
        <f>COUNTIF(AU$2:AU$737,"60")</f>
        <v>33</v>
      </c>
      <c r="AV742" s="99"/>
      <c r="AW742" s="98"/>
      <c r="AX742" s="98"/>
      <c r="AY742" s="98"/>
      <c r="AZ742" s="98"/>
      <c r="BA742" s="97">
        <f>COUNTIF(BA$2:BA$737,"ja vor und nach")</f>
        <v>0</v>
      </c>
      <c r="BB742" s="101"/>
      <c r="BC742" s="100"/>
      <c r="BD742" s="98"/>
      <c r="BE742" s="98"/>
      <c r="BF742" s="98"/>
      <c r="BG742" s="98"/>
      <c r="BH742" s="98"/>
      <c r="BI742" s="98"/>
      <c r="BJ742" s="89"/>
    </row>
    <row r="743" spans="1:63" x14ac:dyDescent="0.25">
      <c r="A743" s="105"/>
      <c r="B743" s="106"/>
      <c r="C743" s="106"/>
      <c r="D743" s="90"/>
      <c r="E743" s="106"/>
      <c r="F743" s="105"/>
      <c r="G743" s="107"/>
      <c r="H743" s="105"/>
      <c r="I743" s="104"/>
      <c r="J743" s="85"/>
      <c r="K743" s="82"/>
      <c r="L743" s="82"/>
      <c r="M743" s="82"/>
      <c r="N743" s="82"/>
      <c r="O743" s="82"/>
      <c r="P743" s="82"/>
      <c r="Q743" s="82"/>
      <c r="R743" s="82"/>
      <c r="S743" s="97"/>
      <c r="T743" s="97"/>
      <c r="U743" s="98"/>
      <c r="V743" s="98"/>
      <c r="W743" s="98"/>
      <c r="X743" s="97">
        <f>COUNTIF(X$2:X$737,"HD")</f>
        <v>48</v>
      </c>
      <c r="Y743" s="100"/>
      <c r="Z743" s="100"/>
      <c r="AA743" s="97">
        <f>COUNTIF(AA$2:AA$737,"h/E")</f>
        <v>77</v>
      </c>
      <c r="AB743" s="99"/>
      <c r="AC743" s="99"/>
      <c r="AD743" s="99"/>
      <c r="AE743" s="99"/>
      <c r="AF743" s="99"/>
      <c r="AG743" s="98"/>
      <c r="AH743" s="98"/>
      <c r="AI743" s="98"/>
      <c r="AJ743" s="98"/>
      <c r="AK743" s="98"/>
      <c r="AL743" s="98"/>
      <c r="AM743" s="98"/>
      <c r="AN743" s="98"/>
      <c r="AO743" s="98"/>
      <c r="AP743" s="98"/>
      <c r="AQ743" s="97">
        <f>COUNTIF(AQ$2:AQ$737,"K/I")</f>
        <v>1</v>
      </c>
      <c r="AR743" s="98"/>
      <c r="AS743" s="97">
        <f>COUNTIF(AS$2:AS$737,"0-2")</f>
        <v>1</v>
      </c>
      <c r="AT743" s="97"/>
      <c r="AU743" s="97">
        <f>COUNTIF(AU$2:AU$737,"max 60")</f>
        <v>6</v>
      </c>
      <c r="AV743" s="99"/>
      <c r="AW743" s="98"/>
      <c r="AX743" s="98"/>
      <c r="AY743" s="98"/>
      <c r="AZ743" s="98"/>
      <c r="BA743" s="99"/>
      <c r="BB743" s="101"/>
      <c r="BC743" s="100"/>
      <c r="BD743" s="98"/>
      <c r="BE743" s="98"/>
      <c r="BF743" s="98"/>
      <c r="BG743" s="98"/>
      <c r="BH743" s="98"/>
      <c r="BI743" s="98"/>
      <c r="BJ743" s="89"/>
    </row>
    <row r="744" spans="1:63" x14ac:dyDescent="0.25">
      <c r="A744" s="105"/>
      <c r="B744" s="106"/>
      <c r="C744" s="106"/>
      <c r="D744" s="90"/>
      <c r="E744" s="106"/>
      <c r="F744" s="105"/>
      <c r="G744" s="107"/>
      <c r="H744" s="105"/>
      <c r="I744" s="104"/>
      <c r="J744" s="85"/>
      <c r="K744" s="82"/>
      <c r="L744" s="82"/>
      <c r="M744" s="82"/>
      <c r="N744" s="82"/>
      <c r="O744" s="82"/>
      <c r="P744" s="82"/>
      <c r="Q744" s="82"/>
      <c r="R744" s="82"/>
      <c r="S744" s="97"/>
      <c r="T744" s="97"/>
      <c r="U744" s="98"/>
      <c r="V744" s="98"/>
      <c r="W744" s="98"/>
      <c r="X744" s="97">
        <f>COUNTIF(X$2:X$737,"L")</f>
        <v>37</v>
      </c>
      <c r="Y744" s="100"/>
      <c r="Z744" s="100"/>
      <c r="AA744" s="99"/>
      <c r="AB744" s="99"/>
      <c r="AC744" s="99"/>
      <c r="AD744" s="99"/>
      <c r="AE744" s="99"/>
      <c r="AF744" s="99"/>
      <c r="AG744" s="98"/>
      <c r="AH744" s="98"/>
      <c r="AI744" s="98"/>
      <c r="AJ744" s="98"/>
      <c r="AK744" s="98"/>
      <c r="AL744" s="98"/>
      <c r="AM744" s="98"/>
      <c r="AN744" s="98"/>
      <c r="AO744" s="98"/>
      <c r="AP744" s="98"/>
      <c r="AQ744" s="97">
        <f>COUNTIF(AQ$2:AQ$737,"B/I/R")</f>
        <v>11</v>
      </c>
      <c r="AR744" s="98"/>
      <c r="AS744" s="99"/>
      <c r="AT744" s="99"/>
      <c r="AU744" s="97">
        <f>COUNTIF(AU$2:AU$737,"80")</f>
        <v>4</v>
      </c>
      <c r="AV744" s="99"/>
      <c r="AW744" s="98"/>
      <c r="AX744" s="98"/>
      <c r="AY744" s="98"/>
      <c r="AZ744" s="98"/>
      <c r="BA744" s="99"/>
      <c r="BB744" s="101"/>
      <c r="BC744" s="100"/>
      <c r="BD744" s="98"/>
      <c r="BE744" s="98"/>
      <c r="BF744" s="98"/>
      <c r="BG744" s="98"/>
      <c r="BH744" s="98"/>
      <c r="BI744" s="98"/>
      <c r="BJ744" s="89"/>
    </row>
    <row r="745" spans="1:63" x14ac:dyDescent="0.25">
      <c r="A745" s="105"/>
      <c r="B745" s="106"/>
      <c r="C745" s="106"/>
      <c r="D745" s="90"/>
      <c r="E745" s="106"/>
      <c r="F745" s="105"/>
      <c r="G745" s="107"/>
      <c r="H745" s="105"/>
      <c r="I745" s="104"/>
      <c r="J745" s="85"/>
      <c r="K745" s="82"/>
      <c r="L745" s="82"/>
      <c r="M745" s="82"/>
      <c r="N745" s="82"/>
      <c r="O745" s="82"/>
      <c r="P745" s="82"/>
      <c r="Q745" s="82"/>
      <c r="R745" s="82"/>
      <c r="S745" s="97"/>
      <c r="T745" s="97"/>
      <c r="U745" s="98"/>
      <c r="V745" s="98"/>
      <c r="W745" s="98"/>
      <c r="X745" s="97">
        <f>COUNTIF(X$2:X$737,"HL")</f>
        <v>56</v>
      </c>
      <c r="Y745" s="100"/>
      <c r="Z745" s="100"/>
      <c r="AA745" s="99"/>
      <c r="AB745" s="99"/>
      <c r="AC745" s="99"/>
      <c r="AD745" s="99"/>
      <c r="AE745" s="99"/>
      <c r="AF745" s="99"/>
      <c r="AG745" s="98"/>
      <c r="AH745" s="98"/>
      <c r="AI745" s="98"/>
      <c r="AJ745" s="98"/>
      <c r="AK745" s="98"/>
      <c r="AL745" s="98"/>
      <c r="AM745" s="98"/>
      <c r="AN745" s="98"/>
      <c r="AO745" s="98"/>
      <c r="AP745" s="98"/>
      <c r="AQ745" s="97">
        <f>COUNTIF(AQ$2:AQ$737,"I/R")</f>
        <v>77</v>
      </c>
      <c r="AR745" s="98"/>
      <c r="AS745" s="99"/>
      <c r="AT745" s="99"/>
      <c r="AU745" s="97">
        <f>COUNTIF(AU$2:AU$737,"max 80")</f>
        <v>0</v>
      </c>
      <c r="AV745" s="99"/>
      <c r="AW745" s="98"/>
      <c r="AX745" s="98"/>
      <c r="AY745" s="98"/>
      <c r="AZ745" s="98"/>
      <c r="BA745" s="99"/>
      <c r="BB745" s="101"/>
      <c r="BC745" s="100"/>
      <c r="BD745" s="98"/>
      <c r="BE745" s="98"/>
      <c r="BF745" s="98"/>
      <c r="BG745" s="98"/>
      <c r="BH745" s="98"/>
      <c r="BI745" s="98"/>
      <c r="BJ745" s="89"/>
    </row>
    <row r="746" spans="1:63" x14ac:dyDescent="0.25">
      <c r="A746" s="105"/>
      <c r="B746" s="106"/>
      <c r="C746" s="106"/>
      <c r="D746" s="90"/>
      <c r="E746" s="106"/>
      <c r="F746" s="105"/>
      <c r="G746" s="107"/>
      <c r="H746" s="105"/>
      <c r="I746" s="104"/>
      <c r="J746" s="85"/>
      <c r="K746" s="82"/>
      <c r="L746" s="82"/>
      <c r="M746" s="82"/>
      <c r="N746" s="82"/>
      <c r="O746" s="82"/>
      <c r="P746" s="82"/>
      <c r="Q746" s="82"/>
      <c r="R746" s="82"/>
      <c r="S746" s="97"/>
      <c r="T746" s="97"/>
      <c r="U746" s="98"/>
      <c r="V746" s="98"/>
      <c r="W746" s="98"/>
      <c r="X746" s="126">
        <f>COUNTIF(X$2:X$737,"Pg")</f>
        <v>15</v>
      </c>
      <c r="Y746" s="100"/>
      <c r="Z746" s="100"/>
      <c r="AA746" s="99"/>
      <c r="AB746" s="99"/>
      <c r="AC746" s="99"/>
      <c r="AD746" s="99"/>
      <c r="AE746" s="99"/>
      <c r="AF746" s="99"/>
      <c r="AG746" s="98"/>
      <c r="AH746" s="98"/>
      <c r="AI746" s="98"/>
      <c r="AJ746" s="98"/>
      <c r="AK746" s="98"/>
      <c r="AL746" s="98"/>
      <c r="AM746" s="98"/>
      <c r="AN746" s="98"/>
      <c r="AO746" s="98"/>
      <c r="AP746" s="98"/>
      <c r="AQ746" s="98"/>
      <c r="AR746" s="98"/>
      <c r="AS746" s="99"/>
      <c r="AT746" s="99"/>
      <c r="AU746" s="97">
        <f>COUNTIF(AU$2:AU$737,"110")</f>
        <v>94</v>
      </c>
      <c r="AV746" s="99"/>
      <c r="AW746" s="98"/>
      <c r="AX746" s="98"/>
      <c r="AY746" s="98"/>
      <c r="AZ746" s="98"/>
      <c r="BA746" s="99"/>
      <c r="BB746" s="101"/>
      <c r="BC746" s="100"/>
      <c r="BD746" s="98"/>
      <c r="BE746" s="98"/>
      <c r="BF746" s="98"/>
      <c r="BG746" s="98"/>
      <c r="BH746" s="98"/>
      <c r="BI746" s="98"/>
      <c r="BJ746" s="89"/>
    </row>
    <row r="747" spans="1:63" x14ac:dyDescent="0.25">
      <c r="A747" s="105"/>
      <c r="B747" s="106"/>
      <c r="C747" s="106"/>
      <c r="D747" s="90"/>
      <c r="E747" s="106"/>
      <c r="F747" s="105"/>
      <c r="G747" s="107"/>
      <c r="H747" s="105"/>
      <c r="I747" s="104"/>
      <c r="J747" s="85"/>
      <c r="K747" s="82"/>
      <c r="L747" s="82"/>
      <c r="M747" s="82"/>
      <c r="N747" s="82"/>
      <c r="O747" s="82"/>
      <c r="P747" s="82"/>
      <c r="Q747" s="82"/>
      <c r="R747" s="82"/>
      <c r="S747" s="97"/>
      <c r="T747" s="97"/>
      <c r="U747" s="98"/>
      <c r="V747" s="98"/>
      <c r="W747" s="98"/>
      <c r="X747" s="126">
        <f>COUNTIF(X$2:X$737,"HPg")</f>
        <v>4</v>
      </c>
      <c r="Y747" s="100"/>
      <c r="Z747" s="100"/>
      <c r="AA747" s="99"/>
      <c r="AB747" s="99"/>
      <c r="AC747" s="99"/>
      <c r="AD747" s="99"/>
      <c r="AE747" s="99"/>
      <c r="AF747" s="99"/>
      <c r="AG747" s="98"/>
      <c r="AH747" s="98"/>
      <c r="AI747" s="98"/>
      <c r="AJ747" s="98"/>
      <c r="AK747" s="98"/>
      <c r="AL747" s="98"/>
      <c r="AM747" s="98"/>
      <c r="AN747" s="98"/>
      <c r="AO747" s="98"/>
      <c r="AP747" s="98"/>
      <c r="AQ747" s="98"/>
      <c r="AR747" s="98"/>
      <c r="AS747" s="99"/>
      <c r="AT747" s="99"/>
      <c r="AU747" s="97">
        <f>COUNTIF(AU$2:AU$737,"max 110")</f>
        <v>8</v>
      </c>
      <c r="AV747" s="99"/>
      <c r="AW747" s="98"/>
      <c r="AX747" s="98"/>
      <c r="AY747" s="98"/>
      <c r="AZ747" s="98"/>
      <c r="BA747" s="99"/>
      <c r="BB747" s="101"/>
      <c r="BC747" s="100"/>
      <c r="BD747" s="98"/>
      <c r="BE747" s="98"/>
      <c r="BF747" s="98"/>
      <c r="BG747" s="98"/>
      <c r="BH747" s="98"/>
      <c r="BI747" s="98"/>
      <c r="BJ747" s="89"/>
    </row>
    <row r="748" spans="1:63" x14ac:dyDescent="0.25">
      <c r="A748" s="105"/>
      <c r="B748" s="106"/>
      <c r="C748" s="106"/>
      <c r="D748" s="90"/>
      <c r="E748" s="106"/>
      <c r="F748" s="105"/>
      <c r="G748" s="107"/>
      <c r="H748" s="105"/>
      <c r="I748" s="104"/>
      <c r="J748" s="85"/>
      <c r="K748" s="82"/>
      <c r="L748" s="82"/>
      <c r="M748" s="82"/>
      <c r="N748" s="82"/>
      <c r="O748" s="82"/>
      <c r="P748" s="82"/>
      <c r="Q748" s="82"/>
      <c r="R748" s="82"/>
      <c r="S748" s="97"/>
      <c r="T748" s="97"/>
      <c r="U748" s="98"/>
      <c r="V748" s="98"/>
      <c r="W748" s="98"/>
      <c r="X748" s="126">
        <f>COUNTIF(X$2:X$737,"Pg (Mak.)")</f>
        <v>0</v>
      </c>
      <c r="Y748" s="100"/>
      <c r="Z748" s="100"/>
      <c r="AA748" s="99"/>
      <c r="AB748" s="99"/>
      <c r="AC748" s="99"/>
      <c r="AD748" s="99"/>
      <c r="AE748" s="99"/>
      <c r="AF748" s="99"/>
      <c r="AG748" s="98"/>
      <c r="AH748" s="98"/>
      <c r="AI748" s="98"/>
      <c r="AJ748" s="98"/>
      <c r="AK748" s="98"/>
      <c r="AL748" s="98"/>
      <c r="AM748" s="98"/>
      <c r="AN748" s="98"/>
      <c r="AO748" s="98"/>
      <c r="AP748" s="98"/>
      <c r="AQ748" s="98"/>
      <c r="AR748" s="98"/>
      <c r="AS748" s="99"/>
      <c r="AT748" s="99"/>
      <c r="AU748" s="97">
        <f>COUNTIF(AU$2:AU$737,"nur 110")</f>
        <v>1</v>
      </c>
      <c r="AV748" s="99"/>
      <c r="AW748" s="98"/>
      <c r="AX748" s="98"/>
      <c r="AY748" s="98"/>
      <c r="AZ748" s="98"/>
      <c r="BA748" s="99"/>
      <c r="BB748" s="101"/>
      <c r="BC748" s="100"/>
      <c r="BD748" s="98"/>
      <c r="BE748" s="98"/>
      <c r="BF748" s="98"/>
      <c r="BG748" s="98"/>
      <c r="BH748" s="98"/>
      <c r="BI748" s="98"/>
      <c r="BJ748" s="89"/>
    </row>
    <row r="749" spans="1:63" x14ac:dyDescent="0.25">
      <c r="A749" s="105"/>
      <c r="B749" s="106"/>
      <c r="C749" s="106"/>
      <c r="D749" s="90"/>
      <c r="E749" s="106"/>
      <c r="F749" s="105"/>
      <c r="G749" s="107"/>
      <c r="I749" s="104"/>
      <c r="J749" s="85"/>
      <c r="K749" s="82"/>
      <c r="L749" s="82"/>
      <c r="M749" s="82"/>
      <c r="N749" s="82"/>
      <c r="O749" s="82"/>
      <c r="P749" s="82"/>
      <c r="Q749" s="82"/>
      <c r="R749" s="82"/>
      <c r="S749" s="97"/>
      <c r="T749" s="97"/>
      <c r="U749" s="98"/>
      <c r="V749" s="98"/>
      <c r="W749" s="98"/>
      <c r="X749" s="97">
        <f>COUNTIF(X$2:X$737,"oE")</f>
        <v>0</v>
      </c>
      <c r="Y749" s="100"/>
      <c r="Z749" s="100"/>
      <c r="AA749" s="99"/>
      <c r="AB749" s="99"/>
      <c r="AD749" s="99"/>
      <c r="AE749" s="99"/>
      <c r="AF749" s="99"/>
      <c r="AG749" s="98"/>
      <c r="AH749" s="98"/>
      <c r="AI749" s="98"/>
      <c r="AJ749" s="98"/>
      <c r="AM749" s="98"/>
      <c r="AN749" s="98"/>
      <c r="AO749" s="98"/>
      <c r="AP749" s="98"/>
      <c r="AR749" s="98"/>
      <c r="AS749" s="99"/>
      <c r="AT749" s="99"/>
      <c r="AU749" s="97">
        <f>COUNTIF(AU$2:AU$737,"180")</f>
        <v>34</v>
      </c>
      <c r="AV749" s="99"/>
      <c r="AW749" s="98"/>
      <c r="AX749" s="98"/>
      <c r="AY749" s="98"/>
      <c r="AZ749" s="98"/>
      <c r="BA749" s="99"/>
      <c r="BB749" s="101"/>
      <c r="BC749" s="100"/>
      <c r="BD749" s="98"/>
      <c r="BE749" s="98"/>
      <c r="BF749" s="98"/>
      <c r="BG749" s="98"/>
      <c r="BH749" s="98"/>
      <c r="BI749" s="98"/>
      <c r="BJ749" s="89"/>
    </row>
    <row r="750" spans="1:63" x14ac:dyDescent="0.25">
      <c r="A750" s="105"/>
      <c r="B750" s="106"/>
      <c r="C750" s="106"/>
      <c r="D750" s="90"/>
      <c r="E750" s="124"/>
      <c r="F750" s="105"/>
      <c r="G750" s="107"/>
      <c r="H750" s="111"/>
      <c r="I750" s="104"/>
      <c r="J750" s="85"/>
      <c r="K750" s="82"/>
      <c r="L750" s="82"/>
      <c r="M750" s="82"/>
      <c r="N750" s="82"/>
      <c r="O750" s="82"/>
      <c r="P750" s="82"/>
      <c r="Q750" s="82"/>
      <c r="R750" s="82"/>
      <c r="S750" s="110"/>
      <c r="T750" s="110"/>
      <c r="U750" s="112"/>
      <c r="V750" s="112"/>
      <c r="W750" s="112"/>
      <c r="X750" s="110">
        <f>COUNTIF(X$2:X$737,"EB")</f>
        <v>0</v>
      </c>
      <c r="Y750" s="113"/>
      <c r="Z750" s="113"/>
      <c r="AA750" s="114"/>
      <c r="AB750" s="114"/>
      <c r="AC750" s="114"/>
      <c r="AD750" s="114"/>
      <c r="AE750" s="114"/>
      <c r="AF750" s="114"/>
      <c r="AG750" s="112"/>
      <c r="AH750" s="112"/>
      <c r="AI750" s="112"/>
      <c r="AJ750" s="112"/>
      <c r="AK750" s="112"/>
      <c r="AL750" s="112"/>
      <c r="AM750" s="112"/>
      <c r="AN750" s="112"/>
      <c r="AO750" s="112"/>
      <c r="AP750" s="112"/>
      <c r="AQ750" s="112"/>
      <c r="AR750" s="112"/>
      <c r="AS750" s="114"/>
      <c r="AT750" s="114"/>
      <c r="AU750" s="110">
        <f>COUNTIF(AU$2:AU$737,"max 180")</f>
        <v>3</v>
      </c>
      <c r="AV750" s="114"/>
      <c r="AW750" s="112"/>
      <c r="AX750" s="112"/>
      <c r="AY750" s="112"/>
      <c r="AZ750" s="112"/>
      <c r="BA750" s="114"/>
      <c r="BB750" s="115"/>
      <c r="BC750" s="113"/>
      <c r="BD750" s="112"/>
      <c r="BE750" s="112"/>
      <c r="BF750" s="112"/>
      <c r="BG750" s="112"/>
      <c r="BH750" s="112"/>
      <c r="BI750" s="112"/>
      <c r="BJ750" s="123"/>
    </row>
    <row r="751" spans="1:63" x14ac:dyDescent="0.25">
      <c r="A751" s="105"/>
      <c r="B751" s="106"/>
      <c r="C751" s="106"/>
      <c r="D751" s="90"/>
      <c r="E751" s="116">
        <f>SUM(E739:E750)</f>
        <v>736</v>
      </c>
      <c r="F751" s="105"/>
      <c r="G751" s="107"/>
      <c r="H751" s="125">
        <f>SUM(H739:H750)</f>
        <v>470</v>
      </c>
      <c r="I751" s="117"/>
      <c r="J751" s="118"/>
      <c r="K751" s="119"/>
      <c r="L751" s="119"/>
      <c r="M751" s="119"/>
      <c r="N751" s="119"/>
      <c r="O751" s="119"/>
      <c r="P751" s="119"/>
      <c r="Q751" s="119"/>
      <c r="R751" s="119"/>
      <c r="S751" s="120">
        <f>SUM(S739:S750)</f>
        <v>6</v>
      </c>
      <c r="T751" s="120">
        <f>SUM(T739:T750)</f>
        <v>0</v>
      </c>
      <c r="U751" s="120">
        <f>SUM(U739:U750)</f>
        <v>0</v>
      </c>
      <c r="V751" s="120">
        <f>SUM(V739:V750)</f>
        <v>5</v>
      </c>
      <c r="W751" s="120">
        <f>SUM(W739:W750)</f>
        <v>0</v>
      </c>
      <c r="X751" s="120"/>
      <c r="Y751" s="120">
        <f>SUM(Y739:Y750)</f>
        <v>126</v>
      </c>
      <c r="Z751" s="120">
        <f>SUM(Z739:Z750)</f>
        <v>36</v>
      </c>
      <c r="AA751" s="120">
        <f>SUM(AA739:AA741)</f>
        <v>79</v>
      </c>
      <c r="AB751" s="120">
        <f>SUM(AB739:AB750)</f>
        <v>1</v>
      </c>
      <c r="AC751" s="116">
        <f>SUM(AC739:AC750)</f>
        <v>12</v>
      </c>
      <c r="AD751" s="120">
        <f>SUM(AD739:AD750)</f>
        <v>0</v>
      </c>
      <c r="AE751" s="120">
        <f>SUM(AE739:AE750)</f>
        <v>1</v>
      </c>
      <c r="AF751" s="120">
        <f>SUM(AF739:AF750)</f>
        <v>0</v>
      </c>
      <c r="AG751" s="122">
        <f>COUNTIF(AG$2:AG$737,"Pg")</f>
        <v>2</v>
      </c>
      <c r="AH751" s="120">
        <f t="shared" ref="AH751:AZ751" si="14">SUM(AH739:AH750)</f>
        <v>16</v>
      </c>
      <c r="AI751" s="120">
        <f t="shared" si="14"/>
        <v>4</v>
      </c>
      <c r="AJ751" s="120">
        <f t="shared" si="14"/>
        <v>0</v>
      </c>
      <c r="AK751" s="116">
        <f t="shared" si="14"/>
        <v>10</v>
      </c>
      <c r="AL751" s="116">
        <f t="shared" si="14"/>
        <v>19</v>
      </c>
      <c r="AM751" s="120">
        <f t="shared" si="14"/>
        <v>0</v>
      </c>
      <c r="AN751" s="120">
        <f t="shared" si="14"/>
        <v>0</v>
      </c>
      <c r="AO751" s="120">
        <f t="shared" si="14"/>
        <v>0</v>
      </c>
      <c r="AP751" s="120">
        <f t="shared" si="14"/>
        <v>0</v>
      </c>
      <c r="AQ751" s="116">
        <f t="shared" si="14"/>
        <v>99</v>
      </c>
      <c r="AR751" s="116">
        <f t="shared" si="14"/>
        <v>102</v>
      </c>
      <c r="AS751" s="116">
        <f t="shared" si="14"/>
        <v>19</v>
      </c>
      <c r="AT751" s="120">
        <f t="shared" si="14"/>
        <v>3</v>
      </c>
      <c r="AU751" s="120">
        <f t="shared" si="14"/>
        <v>192</v>
      </c>
      <c r="AV751" s="120">
        <f t="shared" si="14"/>
        <v>4</v>
      </c>
      <c r="AW751" s="120">
        <f t="shared" si="14"/>
        <v>1</v>
      </c>
      <c r="AX751" s="120">
        <f t="shared" si="14"/>
        <v>0</v>
      </c>
      <c r="AY751" s="120">
        <f t="shared" si="14"/>
        <v>2</v>
      </c>
      <c r="AZ751" s="120">
        <f t="shared" si="14"/>
        <v>2</v>
      </c>
      <c r="BA751" s="120">
        <f>SUM(BA740:BA742)</f>
        <v>51</v>
      </c>
      <c r="BB751" s="121">
        <f>SUM(BB2:BB737)</f>
        <v>170.5</v>
      </c>
      <c r="BC751" s="120">
        <f t="shared" ref="BC751:BJ751" si="15">SUM(BC739:BC750)</f>
        <v>0</v>
      </c>
      <c r="BD751" s="120">
        <f t="shared" si="15"/>
        <v>87</v>
      </c>
      <c r="BE751" s="120">
        <f t="shared" si="15"/>
        <v>1</v>
      </c>
      <c r="BF751" s="120">
        <f t="shared" si="15"/>
        <v>5</v>
      </c>
      <c r="BG751" s="120">
        <f t="shared" si="15"/>
        <v>6</v>
      </c>
      <c r="BH751" s="120">
        <f t="shared" si="15"/>
        <v>0</v>
      </c>
      <c r="BI751" s="120">
        <f t="shared" si="15"/>
        <v>1</v>
      </c>
      <c r="BJ751" s="120">
        <f t="shared" si="15"/>
        <v>27</v>
      </c>
      <c r="BK751" s="138">
        <f>BK739</f>
        <v>1</v>
      </c>
    </row>
    <row r="752" spans="1:63" x14ac:dyDescent="0.25">
      <c r="A752" s="105"/>
      <c r="B752" s="106"/>
      <c r="C752" s="106"/>
      <c r="D752" s="90"/>
      <c r="E752" s="106"/>
      <c r="F752" s="105"/>
      <c r="G752" s="107"/>
      <c r="H752" s="105"/>
      <c r="I752" s="104"/>
      <c r="J752" s="85"/>
      <c r="K752" s="82"/>
      <c r="L752" s="82"/>
      <c r="M752" s="82"/>
      <c r="N752" s="82"/>
      <c r="O752" s="82"/>
      <c r="P752" s="82"/>
      <c r="Q752" s="82"/>
      <c r="R752" s="82"/>
      <c r="S752" s="97"/>
      <c r="T752" s="97"/>
      <c r="U752" s="98"/>
      <c r="V752" s="98"/>
      <c r="W752" s="98"/>
      <c r="X752" s="99"/>
      <c r="Y752" s="100"/>
      <c r="Z752" s="100"/>
      <c r="AA752" s="120">
        <f>SUM(AA742:AA743)</f>
        <v>92</v>
      </c>
      <c r="AB752" s="99"/>
      <c r="AC752" s="99"/>
      <c r="AD752" s="99"/>
      <c r="AE752" s="99"/>
      <c r="AF752" s="99"/>
      <c r="AG752" s="98"/>
      <c r="AH752" s="98"/>
      <c r="AI752" s="98"/>
      <c r="AJ752" s="98"/>
      <c r="AK752" s="98"/>
      <c r="AL752" s="98"/>
      <c r="AM752" s="98"/>
      <c r="AN752" s="98"/>
      <c r="AO752" s="98"/>
      <c r="AP752" s="98"/>
      <c r="AQ752" s="98"/>
      <c r="AR752" s="98"/>
      <c r="AS752" s="99"/>
      <c r="AT752" s="99"/>
      <c r="AU752" s="99"/>
      <c r="AV752" s="99"/>
      <c r="AW752" s="98"/>
      <c r="AX752" s="98"/>
      <c r="AY752" s="98"/>
      <c r="AZ752" s="98"/>
      <c r="BA752" s="99"/>
      <c r="BB752" s="101"/>
      <c r="BC752" s="100"/>
      <c r="BD752" s="98"/>
      <c r="BE752" s="98"/>
      <c r="BF752" s="98"/>
      <c r="BG752" s="98"/>
      <c r="BH752" s="98"/>
      <c r="BI752" s="98"/>
      <c r="BJ752" s="89"/>
      <c r="BK752" s="93">
        <f>BK740</f>
        <v>13</v>
      </c>
    </row>
    <row r="753" spans="1:63" x14ac:dyDescent="0.25">
      <c r="A753" s="105"/>
      <c r="B753" s="106"/>
      <c r="C753" s="106"/>
      <c r="D753" s="90"/>
      <c r="E753" s="106"/>
      <c r="F753" s="105"/>
      <c r="G753" s="107"/>
      <c r="H753" s="105"/>
      <c r="I753" s="104"/>
      <c r="J753" s="85"/>
      <c r="K753" s="82"/>
      <c r="L753" s="82"/>
      <c r="M753" s="82"/>
      <c r="N753" s="82"/>
      <c r="O753" s="82"/>
      <c r="P753" s="82"/>
      <c r="Q753" s="82"/>
      <c r="R753" s="82"/>
      <c r="S753" s="97"/>
      <c r="T753" s="97"/>
      <c r="U753" s="98"/>
      <c r="V753" s="98"/>
      <c r="W753" s="98"/>
      <c r="X753" s="99"/>
      <c r="Y753" s="100"/>
      <c r="Z753" s="100"/>
      <c r="AA753" s="99"/>
      <c r="AB753" s="99"/>
      <c r="AC753" s="99"/>
      <c r="AD753" s="99"/>
      <c r="AE753" s="99"/>
      <c r="AF753" s="99"/>
      <c r="AG753" s="98"/>
      <c r="AH753" s="98"/>
      <c r="AI753" s="98"/>
      <c r="AJ753" s="98"/>
      <c r="AK753" s="98"/>
      <c r="AL753" s="98"/>
      <c r="AM753" s="98"/>
      <c r="AN753" s="98"/>
      <c r="AO753" s="98"/>
      <c r="AP753" s="98"/>
      <c r="AQ753" s="98"/>
      <c r="AR753" s="98"/>
      <c r="AS753" s="99"/>
      <c r="AT753" s="99"/>
      <c r="AU753" s="99"/>
      <c r="AV753" s="99"/>
      <c r="AW753" s="98"/>
      <c r="AX753" s="98"/>
      <c r="AY753" s="98"/>
      <c r="AZ753" s="98"/>
      <c r="BA753" s="99"/>
      <c r="BB753" s="101"/>
      <c r="BC753" s="100"/>
      <c r="BD753" s="98"/>
      <c r="BE753" s="98"/>
      <c r="BF753" s="98"/>
      <c r="BG753" s="98"/>
      <c r="BH753" s="98"/>
      <c r="BI753" s="98"/>
      <c r="BJ753" s="89"/>
      <c r="BK753" s="139">
        <f>SUM(BK739:BK750)</f>
        <v>14</v>
      </c>
    </row>
    <row r="754" spans="1:63" x14ac:dyDescent="0.25">
      <c r="A754" s="105"/>
      <c r="B754" s="106"/>
      <c r="C754" s="106"/>
      <c r="D754" s="90"/>
      <c r="E754" s="106"/>
      <c r="F754" s="105"/>
      <c r="G754" s="107"/>
      <c r="H754" s="105"/>
      <c r="I754" s="104"/>
      <c r="J754" s="85"/>
      <c r="K754" s="82"/>
      <c r="L754" s="82"/>
      <c r="M754" s="82"/>
      <c r="N754" s="82"/>
      <c r="O754" s="82"/>
      <c r="P754" s="82"/>
      <c r="Q754" s="82"/>
      <c r="R754" s="82"/>
      <c r="S754" s="97"/>
      <c r="T754" s="97"/>
      <c r="U754" s="98"/>
      <c r="V754" s="98"/>
      <c r="W754" s="98"/>
      <c r="X754" s="99"/>
      <c r="Y754" s="100"/>
      <c r="Z754" s="100"/>
      <c r="AA754" s="99"/>
      <c r="AB754" s="99"/>
      <c r="AC754" s="99"/>
      <c r="AD754" s="99"/>
      <c r="AE754" s="99"/>
      <c r="AF754" s="99"/>
      <c r="AG754" s="98"/>
      <c r="AH754" s="98"/>
      <c r="AI754" s="98"/>
      <c r="AJ754" s="98"/>
      <c r="AK754" s="98"/>
      <c r="AL754" s="98"/>
      <c r="AM754" s="98"/>
      <c r="AN754" s="98"/>
      <c r="AO754" s="98"/>
      <c r="AP754" s="98"/>
      <c r="AQ754" s="98"/>
      <c r="AR754" s="98"/>
      <c r="AS754" s="99"/>
      <c r="AT754" s="99"/>
      <c r="AU754" s="99"/>
      <c r="AV754" s="99"/>
      <c r="AW754" s="98"/>
      <c r="AX754" s="98"/>
      <c r="AY754" s="98"/>
      <c r="AZ754" s="98"/>
      <c r="BA754" s="99"/>
      <c r="BB754" s="101"/>
      <c r="BC754" s="100"/>
      <c r="BD754" s="98"/>
      <c r="BE754" s="98"/>
      <c r="BF754" s="98"/>
      <c r="BG754" s="98"/>
      <c r="BH754" s="98"/>
      <c r="BI754" s="98"/>
      <c r="BJ754" s="89"/>
    </row>
    <row r="755" spans="1:63" x14ac:dyDescent="0.25">
      <c r="A755" s="105"/>
      <c r="B755" s="106"/>
      <c r="C755" s="106"/>
      <c r="D755" s="90"/>
      <c r="E755" s="106"/>
      <c r="F755" s="105"/>
      <c r="G755" s="107"/>
      <c r="H755" s="105"/>
      <c r="I755" s="104"/>
      <c r="J755" s="85"/>
      <c r="K755" s="82"/>
      <c r="L755" s="82"/>
      <c r="M755" s="82"/>
      <c r="N755" s="82"/>
      <c r="O755" s="82"/>
      <c r="P755" s="82"/>
      <c r="Q755" s="82"/>
      <c r="R755" s="82"/>
    </row>
    <row r="756" spans="1:63" x14ac:dyDescent="0.25">
      <c r="A756" s="105"/>
      <c r="B756" s="106"/>
      <c r="C756" s="106"/>
      <c r="D756" s="90"/>
      <c r="E756" s="106"/>
      <c r="F756" s="105"/>
      <c r="G756" s="107"/>
      <c r="H756" s="105"/>
      <c r="I756" s="104"/>
      <c r="J756" s="85"/>
      <c r="K756" s="82"/>
      <c r="L756" s="82"/>
      <c r="M756" s="82"/>
      <c r="N756" s="82"/>
      <c r="O756" s="82"/>
      <c r="P756" s="82"/>
      <c r="Q756" s="82"/>
      <c r="R756" s="82"/>
    </row>
    <row r="757" spans="1:63" x14ac:dyDescent="0.25">
      <c r="A757" s="105"/>
      <c r="B757" s="106"/>
      <c r="C757" s="106"/>
      <c r="D757" s="90"/>
      <c r="E757" s="106"/>
      <c r="F757" s="105"/>
      <c r="G757" s="107"/>
      <c r="H757" s="105"/>
      <c r="I757" s="104"/>
      <c r="J757" s="85"/>
      <c r="K757" s="82"/>
      <c r="L757" s="82"/>
      <c r="M757" s="82"/>
      <c r="N757" s="82"/>
      <c r="O757" s="82"/>
      <c r="P757" s="82"/>
      <c r="Q757" s="82"/>
      <c r="R757" s="82"/>
      <c r="X757" s="63"/>
    </row>
    <row r="758" spans="1:63" x14ac:dyDescent="0.25">
      <c r="A758" s="105"/>
      <c r="B758" s="106"/>
      <c r="C758" s="106"/>
      <c r="D758" s="90"/>
      <c r="E758" s="106"/>
      <c r="F758" s="105"/>
      <c r="G758" s="107"/>
      <c r="H758" s="105"/>
      <c r="I758" s="104"/>
      <c r="J758" s="85"/>
      <c r="K758" s="82"/>
      <c r="L758" s="82"/>
      <c r="M758" s="82"/>
      <c r="N758" s="82"/>
      <c r="O758" s="82"/>
      <c r="P758" s="82"/>
      <c r="Q758" s="82"/>
      <c r="R758" s="82"/>
      <c r="X758" s="63"/>
    </row>
    <row r="759" spans="1:63" x14ac:dyDescent="0.25">
      <c r="A759" s="105"/>
      <c r="B759" s="106"/>
      <c r="C759" s="106"/>
      <c r="D759" s="90"/>
      <c r="E759" s="106"/>
      <c r="F759" s="105"/>
      <c r="G759" s="107"/>
      <c r="H759" s="105"/>
      <c r="I759" s="104"/>
      <c r="J759" s="85"/>
      <c r="K759" s="82"/>
      <c r="L759" s="82"/>
      <c r="M759" s="82"/>
      <c r="N759" s="82"/>
      <c r="O759" s="82"/>
      <c r="P759" s="82"/>
      <c r="Q759" s="82"/>
      <c r="R759" s="82"/>
      <c r="X759" s="63"/>
    </row>
    <row r="760" spans="1:63" x14ac:dyDescent="0.25">
      <c r="A760" s="105"/>
      <c r="B760" s="106"/>
      <c r="C760" s="106"/>
      <c r="D760" s="90"/>
      <c r="E760" s="106"/>
      <c r="F760" s="105"/>
      <c r="G760" s="107"/>
      <c r="H760" s="105"/>
      <c r="I760" s="104"/>
      <c r="J760" s="85"/>
      <c r="K760" s="82"/>
      <c r="L760" s="82"/>
      <c r="M760" s="82"/>
      <c r="N760" s="82"/>
      <c r="O760" s="82"/>
      <c r="P760" s="82"/>
      <c r="Q760" s="82"/>
      <c r="R760" s="82"/>
      <c r="X760" s="63"/>
    </row>
    <row r="761" spans="1:63" x14ac:dyDescent="0.25">
      <c r="A761" s="105"/>
      <c r="B761" s="106"/>
      <c r="C761" s="106"/>
      <c r="D761" s="90"/>
      <c r="E761" s="106"/>
      <c r="F761" s="105"/>
      <c r="G761" s="107"/>
      <c r="H761" s="105"/>
      <c r="I761" s="104"/>
      <c r="J761" s="85"/>
      <c r="K761" s="82"/>
      <c r="L761" s="82"/>
      <c r="M761" s="82"/>
      <c r="N761" s="82"/>
      <c r="O761" s="82"/>
      <c r="P761" s="82"/>
      <c r="Q761" s="82"/>
      <c r="R761" s="82"/>
      <c r="X761" s="63"/>
    </row>
    <row r="762" spans="1:63" x14ac:dyDescent="0.25">
      <c r="A762" s="105"/>
      <c r="B762" s="106"/>
      <c r="C762" s="106"/>
      <c r="D762" s="90"/>
      <c r="E762" s="106"/>
      <c r="F762" s="105"/>
      <c r="G762" s="107"/>
      <c r="H762" s="105"/>
      <c r="I762" s="104"/>
      <c r="J762" s="85"/>
      <c r="K762" s="82"/>
      <c r="L762" s="82"/>
      <c r="M762" s="82"/>
      <c r="N762" s="82"/>
      <c r="O762" s="82"/>
      <c r="P762" s="82"/>
      <c r="Q762" s="82"/>
      <c r="R762" s="82"/>
      <c r="X762" s="63"/>
    </row>
    <row r="763" spans="1:63" x14ac:dyDescent="0.25">
      <c r="A763" s="105"/>
      <c r="B763" s="106"/>
      <c r="C763" s="106"/>
      <c r="D763" s="90"/>
      <c r="E763" s="106"/>
      <c r="F763" s="105"/>
      <c r="G763" s="107"/>
      <c r="H763" s="105"/>
      <c r="I763" s="104"/>
      <c r="J763" s="85"/>
      <c r="K763" s="82"/>
      <c r="L763" s="82"/>
      <c r="M763" s="82"/>
      <c r="N763" s="82"/>
      <c r="O763" s="82"/>
      <c r="P763" s="82"/>
      <c r="Q763" s="82"/>
      <c r="R763" s="82"/>
      <c r="X763" s="63"/>
    </row>
    <row r="764" spans="1:63" x14ac:dyDescent="0.25">
      <c r="A764" s="105"/>
      <c r="B764" s="106"/>
      <c r="C764" s="106"/>
      <c r="D764" s="90"/>
      <c r="E764" s="106"/>
      <c r="F764" s="105"/>
      <c r="G764" s="107"/>
      <c r="H764" s="105"/>
      <c r="I764" s="104"/>
      <c r="J764" s="85"/>
      <c r="K764" s="82"/>
      <c r="L764" s="82"/>
      <c r="M764" s="82"/>
      <c r="N764" s="82"/>
      <c r="O764" s="82"/>
      <c r="P764" s="82"/>
      <c r="Q764" s="82"/>
      <c r="R764" s="82"/>
      <c r="X764" s="63"/>
    </row>
    <row r="765" spans="1:63" x14ac:dyDescent="0.25">
      <c r="A765" s="105"/>
      <c r="B765" s="106"/>
      <c r="C765" s="106"/>
      <c r="D765" s="90"/>
      <c r="E765" s="106"/>
      <c r="F765" s="105"/>
      <c r="G765" s="107"/>
      <c r="H765" s="105"/>
      <c r="I765" s="104"/>
      <c r="J765" s="85"/>
      <c r="K765" s="82"/>
      <c r="L765" s="82"/>
      <c r="M765" s="82"/>
      <c r="N765" s="82"/>
      <c r="O765" s="82"/>
      <c r="P765" s="82"/>
      <c r="Q765" s="82"/>
      <c r="R765" s="82"/>
      <c r="X765" s="63"/>
    </row>
    <row r="766" spans="1:63" x14ac:dyDescent="0.25">
      <c r="A766" s="105"/>
      <c r="B766" s="106"/>
      <c r="C766" s="106"/>
      <c r="D766" s="90"/>
      <c r="E766" s="106"/>
      <c r="F766" s="105"/>
      <c r="G766" s="107"/>
      <c r="H766" s="105"/>
      <c r="I766" s="104"/>
      <c r="J766" s="85"/>
      <c r="K766" s="82"/>
      <c r="L766" s="82"/>
      <c r="M766" s="82"/>
      <c r="N766" s="82"/>
      <c r="O766" s="82"/>
      <c r="P766" s="82"/>
      <c r="Q766" s="82"/>
      <c r="R766" s="82"/>
      <c r="X766" s="63"/>
    </row>
    <row r="767" spans="1:63" x14ac:dyDescent="0.25">
      <c r="A767" s="105"/>
      <c r="B767" s="106"/>
      <c r="C767" s="106"/>
      <c r="D767" s="90"/>
      <c r="E767" s="106"/>
      <c r="F767" s="105"/>
      <c r="G767" s="107"/>
      <c r="H767" s="105"/>
      <c r="I767" s="104"/>
      <c r="J767" s="85"/>
      <c r="K767" s="82"/>
      <c r="L767" s="82"/>
      <c r="M767" s="82"/>
      <c r="N767" s="82"/>
      <c r="O767" s="82"/>
      <c r="P767" s="82"/>
      <c r="Q767" s="82"/>
      <c r="R767" s="82"/>
      <c r="X767" s="63"/>
    </row>
    <row r="768" spans="1:63" x14ac:dyDescent="0.25">
      <c r="A768" s="105"/>
      <c r="B768" s="106"/>
      <c r="C768" s="106"/>
      <c r="D768" s="90"/>
      <c r="E768" s="106"/>
      <c r="F768" s="105"/>
      <c r="G768" s="107"/>
      <c r="H768" s="105"/>
      <c r="I768" s="104"/>
      <c r="J768" s="85"/>
      <c r="K768" s="82"/>
      <c r="L768" s="82"/>
      <c r="M768" s="82"/>
      <c r="N768" s="82"/>
      <c r="O768" s="82"/>
      <c r="P768" s="82"/>
      <c r="Q768" s="82"/>
      <c r="R768" s="82"/>
    </row>
    <row r="769" spans="1:18" x14ac:dyDescent="0.25">
      <c r="A769" s="105"/>
      <c r="B769" s="106"/>
      <c r="C769" s="106"/>
      <c r="D769" s="90"/>
      <c r="E769" s="106"/>
      <c r="F769" s="105"/>
      <c r="G769" s="107"/>
      <c r="H769" s="105"/>
      <c r="I769" s="104"/>
      <c r="J769" s="85"/>
      <c r="K769" s="82"/>
      <c r="L769" s="82"/>
      <c r="M769" s="82"/>
      <c r="N769" s="82"/>
      <c r="O769" s="82"/>
      <c r="P769" s="82"/>
      <c r="Q769" s="82"/>
      <c r="R769" s="82"/>
    </row>
    <row r="770" spans="1:18" x14ac:dyDescent="0.25">
      <c r="A770" s="105"/>
      <c r="B770" s="106"/>
      <c r="C770" s="106"/>
      <c r="D770" s="90"/>
      <c r="E770" s="106"/>
      <c r="F770" s="105"/>
      <c r="G770" s="107"/>
      <c r="H770" s="105"/>
      <c r="I770" s="104"/>
      <c r="J770" s="85"/>
      <c r="K770" s="82"/>
      <c r="L770" s="82"/>
      <c r="M770" s="82"/>
      <c r="N770" s="82"/>
      <c r="O770" s="82"/>
      <c r="P770" s="82"/>
      <c r="Q770" s="82"/>
      <c r="R770" s="82"/>
    </row>
    <row r="771" spans="1:18" x14ac:dyDescent="0.25">
      <c r="A771" s="105"/>
      <c r="B771" s="106"/>
      <c r="C771" s="106"/>
      <c r="D771" s="90"/>
      <c r="E771" s="106"/>
      <c r="F771" s="105"/>
      <c r="G771" s="107"/>
      <c r="H771" s="105"/>
      <c r="I771" s="104"/>
      <c r="J771" s="85"/>
      <c r="K771" s="82"/>
      <c r="L771" s="82"/>
      <c r="M771" s="82"/>
      <c r="N771" s="82"/>
      <c r="O771" s="82"/>
      <c r="P771" s="82"/>
      <c r="Q771" s="82"/>
      <c r="R771" s="82"/>
    </row>
    <row r="772" spans="1:18" x14ac:dyDescent="0.25">
      <c r="A772" s="105"/>
      <c r="B772" s="106"/>
      <c r="C772" s="106"/>
      <c r="D772" s="90"/>
      <c r="E772" s="106"/>
      <c r="F772" s="105"/>
      <c r="G772" s="107"/>
      <c r="H772" s="105"/>
      <c r="I772" s="104"/>
      <c r="J772" s="85"/>
      <c r="K772" s="82"/>
      <c r="L772" s="82"/>
      <c r="M772" s="82"/>
      <c r="N772" s="82"/>
      <c r="O772" s="82"/>
      <c r="P772" s="82"/>
      <c r="Q772" s="82"/>
      <c r="R772" s="82"/>
    </row>
    <row r="773" spans="1:18" x14ac:dyDescent="0.25">
      <c r="A773" s="105"/>
      <c r="B773" s="106"/>
      <c r="C773" s="106"/>
      <c r="D773" s="90"/>
      <c r="E773" s="106"/>
      <c r="F773" s="105"/>
      <c r="G773" s="107"/>
      <c r="H773" s="105"/>
      <c r="I773" s="104"/>
      <c r="J773" s="85"/>
      <c r="K773" s="82"/>
      <c r="L773" s="82"/>
      <c r="M773" s="82"/>
      <c r="N773" s="82"/>
      <c r="O773" s="82"/>
      <c r="P773" s="82"/>
      <c r="Q773" s="82"/>
      <c r="R773" s="82"/>
    </row>
    <row r="774" spans="1:18" x14ac:dyDescent="0.25">
      <c r="A774" s="105"/>
      <c r="B774" s="106"/>
      <c r="C774" s="106"/>
      <c r="D774" s="90"/>
      <c r="E774" s="106"/>
      <c r="F774" s="105"/>
      <c r="G774" s="107"/>
      <c r="H774" s="105"/>
      <c r="I774" s="104"/>
      <c r="J774" s="85"/>
      <c r="K774" s="82"/>
      <c r="L774" s="82"/>
      <c r="M774" s="82"/>
      <c r="N774" s="82"/>
      <c r="O774" s="82"/>
      <c r="P774" s="82"/>
      <c r="Q774" s="82"/>
      <c r="R774" s="82"/>
    </row>
    <row r="775" spans="1:18" x14ac:dyDescent="0.25">
      <c r="A775" s="105"/>
      <c r="B775" s="106"/>
      <c r="C775" s="106"/>
      <c r="D775" s="90"/>
      <c r="E775" s="106"/>
      <c r="F775" s="105"/>
      <c r="G775" s="107"/>
      <c r="H775" s="105"/>
      <c r="I775" s="104"/>
      <c r="J775" s="85"/>
      <c r="K775" s="82"/>
      <c r="L775" s="82"/>
      <c r="M775" s="82"/>
      <c r="N775" s="82"/>
      <c r="O775" s="82"/>
      <c r="P775" s="82"/>
      <c r="Q775" s="82"/>
      <c r="R775" s="82"/>
    </row>
    <row r="776" spans="1:18" x14ac:dyDescent="0.25">
      <c r="A776" s="105"/>
      <c r="B776" s="106"/>
      <c r="C776" s="106"/>
      <c r="D776" s="90"/>
      <c r="E776" s="106"/>
      <c r="F776" s="105"/>
      <c r="G776" s="107"/>
      <c r="H776" s="105"/>
      <c r="I776" s="104"/>
      <c r="J776" s="85"/>
      <c r="K776" s="82"/>
      <c r="L776" s="82"/>
      <c r="M776" s="82"/>
      <c r="N776" s="82"/>
      <c r="O776" s="82"/>
      <c r="P776" s="82"/>
      <c r="Q776" s="82"/>
      <c r="R776" s="82"/>
    </row>
    <row r="777" spans="1:18" x14ac:dyDescent="0.25">
      <c r="A777" s="105"/>
      <c r="B777" s="106"/>
      <c r="C777" s="106"/>
      <c r="D777" s="90"/>
      <c r="E777" s="106"/>
      <c r="F777" s="105"/>
      <c r="G777" s="107"/>
      <c r="H777" s="105"/>
      <c r="I777" s="104"/>
      <c r="J777" s="85"/>
      <c r="K777" s="82"/>
      <c r="L777" s="82"/>
      <c r="M777" s="82"/>
      <c r="N777" s="82"/>
      <c r="O777" s="82"/>
      <c r="P777" s="82"/>
      <c r="Q777" s="82"/>
      <c r="R777" s="82"/>
    </row>
    <row r="778" spans="1:18" x14ac:dyDescent="0.25">
      <c r="A778" s="105"/>
      <c r="B778" s="106"/>
      <c r="C778" s="106"/>
      <c r="D778" s="90"/>
      <c r="E778" s="106"/>
      <c r="F778" s="105"/>
      <c r="G778" s="107"/>
      <c r="H778" s="105"/>
      <c r="I778" s="104"/>
      <c r="J778" s="85"/>
      <c r="K778" s="82"/>
      <c r="L778" s="82"/>
      <c r="M778" s="82"/>
      <c r="N778" s="82"/>
      <c r="O778" s="82"/>
      <c r="P778" s="82"/>
      <c r="Q778" s="82"/>
      <c r="R778" s="82"/>
    </row>
    <row r="779" spans="1:18" x14ac:dyDescent="0.25">
      <c r="A779" s="105"/>
      <c r="B779" s="106"/>
      <c r="C779" s="106"/>
      <c r="D779" s="90"/>
      <c r="E779" s="106"/>
      <c r="F779" s="105"/>
      <c r="G779" s="107"/>
      <c r="H779" s="105"/>
      <c r="I779" s="104"/>
      <c r="J779" s="85"/>
      <c r="K779" s="82"/>
      <c r="L779" s="82"/>
      <c r="M779" s="82"/>
      <c r="N779" s="82"/>
      <c r="O779" s="82"/>
      <c r="P779" s="82"/>
      <c r="Q779" s="82"/>
      <c r="R779" s="82"/>
    </row>
    <row r="780" spans="1:18" x14ac:dyDescent="0.25">
      <c r="A780" s="105"/>
      <c r="B780" s="106"/>
      <c r="C780" s="106"/>
      <c r="D780" s="90"/>
      <c r="E780" s="106"/>
      <c r="F780" s="105"/>
      <c r="G780" s="107"/>
      <c r="H780" s="105"/>
      <c r="I780" s="104"/>
      <c r="J780" s="85"/>
      <c r="K780" s="82"/>
      <c r="L780" s="82"/>
      <c r="M780" s="82"/>
      <c r="N780" s="82"/>
      <c r="O780" s="82"/>
      <c r="P780" s="82"/>
      <c r="Q780" s="82"/>
      <c r="R780" s="82"/>
    </row>
    <row r="781" spans="1:18" x14ac:dyDescent="0.25">
      <c r="A781" s="105"/>
      <c r="B781" s="106"/>
      <c r="C781" s="106"/>
      <c r="D781" s="90"/>
      <c r="E781" s="106"/>
      <c r="F781" s="105"/>
      <c r="G781" s="107"/>
      <c r="H781" s="105"/>
      <c r="I781" s="104"/>
      <c r="J781" s="85"/>
      <c r="K781" s="82"/>
      <c r="L781" s="82"/>
      <c r="M781" s="82"/>
      <c r="N781" s="82"/>
      <c r="O781" s="82"/>
      <c r="P781" s="82"/>
      <c r="Q781" s="82"/>
      <c r="R781" s="82"/>
    </row>
    <row r="782" spans="1:18" x14ac:dyDescent="0.25">
      <c r="A782" s="105"/>
      <c r="B782" s="106"/>
      <c r="C782" s="106"/>
      <c r="D782" s="90"/>
      <c r="E782" s="106"/>
      <c r="F782" s="105"/>
      <c r="G782" s="107"/>
      <c r="H782" s="105"/>
      <c r="I782" s="104"/>
      <c r="J782" s="85"/>
      <c r="K782" s="82"/>
      <c r="L782" s="82"/>
      <c r="M782" s="82"/>
      <c r="N782" s="82"/>
      <c r="O782" s="82"/>
      <c r="P782" s="82"/>
      <c r="Q782" s="82"/>
      <c r="R782" s="82"/>
    </row>
    <row r="783" spans="1:18" x14ac:dyDescent="0.25">
      <c r="A783" s="105"/>
      <c r="B783" s="106"/>
      <c r="C783" s="106"/>
      <c r="D783" s="90"/>
      <c r="E783" s="106"/>
      <c r="F783" s="105"/>
      <c r="G783" s="107"/>
      <c r="H783" s="105"/>
      <c r="I783" s="104"/>
      <c r="J783" s="85"/>
      <c r="K783" s="82"/>
      <c r="L783" s="82"/>
      <c r="M783" s="82"/>
      <c r="N783" s="82"/>
      <c r="O783" s="82"/>
      <c r="P783" s="82"/>
      <c r="Q783" s="82"/>
      <c r="R783" s="82"/>
    </row>
    <row r="784" spans="1:18" x14ac:dyDescent="0.25">
      <c r="A784" s="105"/>
      <c r="B784" s="106"/>
      <c r="C784" s="106"/>
      <c r="D784" s="90"/>
      <c r="E784" s="106"/>
      <c r="F784" s="105"/>
      <c r="G784" s="107"/>
      <c r="H784" s="105"/>
      <c r="I784" s="104"/>
      <c r="J784" s="85"/>
      <c r="K784" s="82"/>
      <c r="L784" s="82"/>
      <c r="M784" s="82"/>
      <c r="N784" s="82"/>
      <c r="O784" s="82"/>
      <c r="P784" s="82"/>
      <c r="Q784" s="82"/>
      <c r="R784" s="82"/>
    </row>
    <row r="785" spans="1:18" x14ac:dyDescent="0.25">
      <c r="A785" s="105"/>
      <c r="B785" s="106"/>
      <c r="C785" s="106"/>
      <c r="D785" s="90"/>
      <c r="E785" s="106"/>
      <c r="F785" s="105"/>
      <c r="G785" s="107"/>
      <c r="H785" s="105"/>
      <c r="I785" s="104"/>
      <c r="J785" s="85"/>
      <c r="K785" s="82"/>
      <c r="L785" s="82"/>
      <c r="M785" s="82"/>
      <c r="N785" s="82"/>
      <c r="O785" s="82"/>
      <c r="P785" s="82"/>
      <c r="Q785" s="82"/>
      <c r="R785" s="82"/>
    </row>
    <row r="786" spans="1:18" x14ac:dyDescent="0.25">
      <c r="A786" s="105"/>
      <c r="B786" s="106"/>
      <c r="C786" s="106"/>
      <c r="D786" s="90"/>
      <c r="E786" s="106"/>
      <c r="F786" s="105"/>
      <c r="G786" s="107"/>
      <c r="H786" s="105"/>
      <c r="I786" s="104"/>
      <c r="J786" s="85"/>
      <c r="K786" s="82"/>
      <c r="L786" s="82"/>
      <c r="M786" s="82"/>
      <c r="N786" s="82"/>
      <c r="O786" s="82"/>
      <c r="P786" s="82"/>
      <c r="Q786" s="82"/>
      <c r="R786" s="82"/>
    </row>
    <row r="787" spans="1:18" x14ac:dyDescent="0.25">
      <c r="A787" s="105"/>
      <c r="B787" s="106"/>
      <c r="C787" s="106"/>
      <c r="D787" s="90"/>
      <c r="E787" s="106"/>
      <c r="F787" s="105"/>
      <c r="G787" s="107"/>
      <c r="H787" s="105"/>
      <c r="I787" s="104"/>
      <c r="J787" s="85"/>
      <c r="K787" s="82"/>
      <c r="L787" s="82"/>
      <c r="M787" s="82"/>
      <c r="N787" s="82"/>
      <c r="O787" s="82"/>
      <c r="P787" s="82"/>
      <c r="Q787" s="82"/>
      <c r="R787" s="82"/>
    </row>
    <row r="788" spans="1:18" x14ac:dyDescent="0.25">
      <c r="A788" s="105"/>
      <c r="B788" s="106"/>
      <c r="C788" s="106"/>
      <c r="D788" s="90"/>
      <c r="E788" s="106"/>
      <c r="F788" s="105"/>
      <c r="G788" s="107"/>
      <c r="H788" s="105"/>
      <c r="I788" s="104"/>
      <c r="J788" s="85"/>
      <c r="K788" s="82"/>
      <c r="L788" s="82"/>
      <c r="M788" s="82"/>
      <c r="N788" s="82"/>
      <c r="O788" s="82"/>
      <c r="P788" s="82"/>
      <c r="Q788" s="82"/>
      <c r="R788" s="82"/>
    </row>
    <row r="789" spans="1:18" x14ac:dyDescent="0.25">
      <c r="A789" s="105"/>
      <c r="B789" s="106"/>
      <c r="C789" s="106"/>
      <c r="D789" s="90"/>
      <c r="E789" s="106"/>
      <c r="F789" s="105"/>
      <c r="G789" s="107"/>
      <c r="H789" s="105"/>
      <c r="I789" s="104"/>
      <c r="J789" s="85"/>
      <c r="K789" s="82"/>
      <c r="L789" s="82"/>
      <c r="M789" s="82"/>
      <c r="N789" s="82"/>
      <c r="O789" s="82"/>
      <c r="P789" s="82"/>
      <c r="Q789" s="82"/>
      <c r="R789" s="82"/>
    </row>
    <row r="790" spans="1:18" x14ac:dyDescent="0.25">
      <c r="A790" s="105"/>
      <c r="B790" s="106"/>
      <c r="C790" s="106"/>
      <c r="D790" s="90"/>
      <c r="E790" s="106"/>
      <c r="F790" s="105"/>
      <c r="G790" s="107"/>
      <c r="H790" s="105"/>
      <c r="I790" s="104"/>
      <c r="J790" s="85"/>
      <c r="K790" s="82"/>
      <c r="L790" s="82"/>
      <c r="M790" s="82"/>
      <c r="N790" s="82"/>
      <c r="O790" s="82"/>
      <c r="P790" s="82"/>
      <c r="Q790" s="82"/>
      <c r="R790" s="82"/>
    </row>
    <row r="791" spans="1:18" x14ac:dyDescent="0.25">
      <c r="A791" s="105"/>
      <c r="B791" s="106"/>
      <c r="C791" s="106"/>
      <c r="D791" s="90"/>
      <c r="E791" s="106"/>
      <c r="F791" s="105"/>
      <c r="G791" s="107"/>
      <c r="H791" s="105"/>
      <c r="I791" s="104"/>
      <c r="J791" s="85"/>
      <c r="K791" s="82"/>
      <c r="L791" s="82"/>
      <c r="M791" s="82"/>
      <c r="N791" s="82"/>
      <c r="O791" s="82"/>
      <c r="P791" s="82"/>
      <c r="Q791" s="82"/>
      <c r="R791" s="82"/>
    </row>
    <row r="792" spans="1:18" x14ac:dyDescent="0.25">
      <c r="A792" s="105"/>
      <c r="B792" s="106"/>
      <c r="C792" s="106"/>
      <c r="D792" s="90"/>
      <c r="E792" s="106"/>
      <c r="F792" s="105"/>
      <c r="G792" s="107"/>
      <c r="H792" s="105"/>
      <c r="I792" s="104"/>
      <c r="J792" s="85"/>
      <c r="K792" s="82"/>
      <c r="L792" s="82"/>
      <c r="M792" s="82"/>
      <c r="N792" s="82"/>
      <c r="O792" s="82"/>
      <c r="P792" s="82"/>
      <c r="Q792" s="82"/>
      <c r="R792" s="82"/>
    </row>
    <row r="793" spans="1:18" x14ac:dyDescent="0.25">
      <c r="A793" s="105"/>
      <c r="B793" s="106"/>
      <c r="C793" s="106"/>
      <c r="D793" s="90"/>
      <c r="E793" s="106"/>
      <c r="F793" s="105"/>
      <c r="G793" s="107"/>
      <c r="H793" s="105"/>
      <c r="I793" s="104"/>
      <c r="J793" s="85"/>
      <c r="K793" s="82"/>
      <c r="L793" s="82"/>
      <c r="M793" s="82"/>
      <c r="N793" s="82"/>
      <c r="O793" s="82"/>
      <c r="P793" s="82"/>
      <c r="Q793" s="82"/>
      <c r="R793" s="82"/>
    </row>
    <row r="794" spans="1:18" x14ac:dyDescent="0.25">
      <c r="A794" s="105"/>
      <c r="B794" s="106"/>
      <c r="C794" s="106"/>
      <c r="D794" s="90"/>
      <c r="E794" s="106"/>
      <c r="F794" s="105"/>
      <c r="G794" s="107"/>
      <c r="H794" s="105"/>
      <c r="I794" s="104"/>
      <c r="J794" s="85"/>
      <c r="K794" s="82"/>
      <c r="L794" s="82"/>
      <c r="M794" s="82"/>
      <c r="N794" s="82"/>
      <c r="O794" s="82"/>
      <c r="P794" s="82"/>
      <c r="Q794" s="82"/>
      <c r="R794" s="82"/>
    </row>
    <row r="795" spans="1:18" x14ac:dyDescent="0.25">
      <c r="A795" s="105"/>
      <c r="B795" s="106"/>
      <c r="C795" s="106"/>
      <c r="D795" s="90"/>
      <c r="E795" s="106"/>
      <c r="F795" s="105"/>
      <c r="G795" s="107"/>
      <c r="H795" s="105"/>
      <c r="I795" s="104"/>
      <c r="J795" s="85"/>
      <c r="K795" s="82"/>
      <c r="L795" s="82"/>
      <c r="M795" s="82"/>
      <c r="N795" s="82"/>
      <c r="O795" s="82"/>
      <c r="P795" s="82"/>
      <c r="Q795" s="82"/>
      <c r="R795" s="82"/>
    </row>
    <row r="796" spans="1:18" x14ac:dyDescent="0.25">
      <c r="A796" s="105"/>
      <c r="B796" s="106"/>
      <c r="C796" s="106"/>
      <c r="D796" s="90"/>
      <c r="E796" s="106"/>
      <c r="F796" s="105"/>
      <c r="G796" s="107"/>
      <c r="H796" s="105"/>
      <c r="I796" s="104"/>
      <c r="J796" s="85"/>
      <c r="K796" s="82"/>
      <c r="L796" s="82"/>
      <c r="M796" s="82"/>
      <c r="N796" s="82"/>
      <c r="O796" s="82"/>
      <c r="P796" s="82"/>
      <c r="Q796" s="82"/>
      <c r="R796" s="82"/>
    </row>
    <row r="797" spans="1:18" x14ac:dyDescent="0.25">
      <c r="A797" s="105"/>
      <c r="B797" s="106"/>
      <c r="C797" s="106"/>
      <c r="D797" s="90"/>
      <c r="E797" s="106"/>
      <c r="F797" s="105"/>
      <c r="G797" s="107"/>
      <c r="H797" s="105"/>
      <c r="I797" s="104"/>
      <c r="J797" s="85"/>
      <c r="K797" s="82"/>
      <c r="L797" s="82"/>
      <c r="M797" s="82"/>
      <c r="N797" s="82"/>
      <c r="O797" s="82"/>
      <c r="P797" s="82"/>
      <c r="Q797" s="82"/>
      <c r="R797" s="82"/>
    </row>
    <row r="798" spans="1:18" x14ac:dyDescent="0.25">
      <c r="A798" s="105"/>
      <c r="B798" s="106"/>
      <c r="C798" s="106"/>
      <c r="D798" s="90"/>
      <c r="E798" s="106"/>
      <c r="F798" s="105"/>
      <c r="G798" s="107"/>
      <c r="H798" s="105"/>
      <c r="I798" s="104"/>
      <c r="J798" s="85"/>
      <c r="K798" s="82"/>
      <c r="L798" s="82"/>
      <c r="M798" s="82"/>
      <c r="N798" s="82"/>
      <c r="O798" s="82"/>
      <c r="P798" s="82"/>
      <c r="Q798" s="82"/>
      <c r="R798" s="82"/>
    </row>
    <row r="799" spans="1:18" x14ac:dyDescent="0.25">
      <c r="A799" s="105"/>
      <c r="B799" s="106"/>
      <c r="C799" s="106"/>
      <c r="D799" s="90"/>
      <c r="E799" s="106"/>
      <c r="F799" s="105"/>
      <c r="G799" s="107"/>
      <c r="H799" s="105"/>
      <c r="I799" s="104"/>
      <c r="J799" s="85"/>
      <c r="K799" s="82"/>
      <c r="L799" s="82"/>
      <c r="M799" s="82"/>
      <c r="N799" s="82"/>
      <c r="O799" s="82"/>
      <c r="P799" s="82"/>
      <c r="Q799" s="82"/>
      <c r="R799" s="82"/>
    </row>
    <row r="800" spans="1:18" x14ac:dyDescent="0.25">
      <c r="A800" s="105"/>
      <c r="B800" s="106"/>
      <c r="C800" s="106"/>
      <c r="D800" s="90"/>
      <c r="E800" s="106"/>
      <c r="F800" s="105"/>
      <c r="G800" s="107"/>
      <c r="H800" s="105"/>
      <c r="I800" s="104"/>
      <c r="J800" s="85"/>
      <c r="K800" s="82"/>
      <c r="L800" s="82"/>
      <c r="M800" s="82"/>
      <c r="N800" s="82"/>
      <c r="O800" s="82"/>
      <c r="P800" s="82"/>
      <c r="Q800" s="82"/>
      <c r="R800" s="82"/>
    </row>
    <row r="801" spans="1:18" x14ac:dyDescent="0.25">
      <c r="A801" s="105"/>
      <c r="B801" s="106"/>
      <c r="C801" s="106"/>
      <c r="D801" s="90"/>
      <c r="E801" s="106"/>
      <c r="F801" s="105"/>
      <c r="G801" s="107"/>
      <c r="H801" s="105"/>
      <c r="I801" s="104"/>
      <c r="J801" s="85"/>
      <c r="K801" s="82"/>
      <c r="L801" s="82"/>
      <c r="M801" s="82"/>
      <c r="N801" s="82"/>
      <c r="O801" s="82"/>
      <c r="P801" s="82"/>
      <c r="Q801" s="82"/>
      <c r="R801" s="82"/>
    </row>
    <row r="802" spans="1:18" x14ac:dyDescent="0.25">
      <c r="A802" s="105"/>
      <c r="B802" s="106"/>
      <c r="C802" s="106"/>
      <c r="D802" s="90"/>
      <c r="E802" s="106"/>
      <c r="F802" s="105"/>
      <c r="G802" s="107"/>
      <c r="H802" s="105"/>
      <c r="I802" s="104"/>
      <c r="J802" s="85"/>
      <c r="K802" s="82"/>
      <c r="L802" s="82"/>
      <c r="M802" s="82"/>
      <c r="N802" s="82"/>
      <c r="O802" s="82"/>
      <c r="P802" s="82"/>
      <c r="Q802" s="82"/>
      <c r="R802" s="82"/>
    </row>
    <row r="803" spans="1:18" x14ac:dyDescent="0.25">
      <c r="A803" s="105"/>
      <c r="B803" s="106"/>
      <c r="C803" s="106"/>
      <c r="D803" s="90"/>
      <c r="E803" s="106"/>
      <c r="F803" s="105"/>
      <c r="G803" s="107"/>
      <c r="H803" s="105"/>
      <c r="I803" s="104"/>
      <c r="J803" s="85"/>
      <c r="K803" s="82"/>
      <c r="L803" s="82"/>
      <c r="M803" s="82"/>
      <c r="N803" s="82"/>
      <c r="O803" s="82"/>
      <c r="P803" s="82"/>
      <c r="Q803" s="82"/>
      <c r="R803" s="82"/>
    </row>
    <row r="804" spans="1:18" x14ac:dyDescent="0.25">
      <c r="A804" s="105"/>
      <c r="B804" s="106"/>
      <c r="C804" s="106"/>
      <c r="D804" s="90"/>
      <c r="E804" s="106"/>
      <c r="F804" s="105"/>
      <c r="G804" s="107"/>
      <c r="H804" s="105"/>
      <c r="I804" s="104"/>
      <c r="J804" s="85"/>
      <c r="K804" s="82"/>
      <c r="L804" s="82"/>
      <c r="M804" s="82"/>
      <c r="N804" s="82"/>
      <c r="O804" s="82"/>
      <c r="P804" s="82"/>
      <c r="Q804" s="82"/>
      <c r="R804" s="82"/>
    </row>
    <row r="805" spans="1:18" x14ac:dyDescent="0.25">
      <c r="A805" s="105"/>
      <c r="B805" s="106"/>
      <c r="C805" s="106"/>
      <c r="D805" s="90"/>
      <c r="E805" s="106"/>
      <c r="F805" s="105"/>
      <c r="G805" s="107"/>
      <c r="H805" s="105"/>
      <c r="I805" s="104"/>
      <c r="J805" s="85"/>
      <c r="K805" s="82"/>
      <c r="L805" s="82"/>
      <c r="M805" s="82"/>
      <c r="N805" s="82"/>
      <c r="O805" s="82"/>
      <c r="P805" s="82"/>
      <c r="Q805" s="82"/>
      <c r="R805" s="82"/>
    </row>
    <row r="806" spans="1:18" x14ac:dyDescent="0.25">
      <c r="A806" s="105"/>
      <c r="B806" s="106"/>
      <c r="C806" s="106"/>
      <c r="D806" s="90"/>
      <c r="E806" s="106"/>
      <c r="F806" s="105"/>
      <c r="G806" s="107"/>
      <c r="H806" s="105"/>
      <c r="I806" s="104"/>
      <c r="J806" s="85"/>
      <c r="K806" s="82"/>
      <c r="L806" s="82"/>
      <c r="M806" s="82"/>
      <c r="N806" s="82"/>
      <c r="O806" s="82"/>
      <c r="P806" s="82"/>
      <c r="Q806" s="82"/>
      <c r="R806" s="82"/>
    </row>
    <row r="807" spans="1:18" x14ac:dyDescent="0.25">
      <c r="A807" s="105"/>
      <c r="B807" s="106"/>
      <c r="C807" s="106"/>
      <c r="D807" s="90"/>
      <c r="E807" s="106"/>
      <c r="F807" s="105"/>
      <c r="G807" s="107"/>
      <c r="H807" s="105"/>
      <c r="I807" s="104"/>
      <c r="J807" s="85"/>
      <c r="K807" s="82"/>
      <c r="L807" s="82"/>
      <c r="M807" s="82"/>
      <c r="N807" s="82"/>
      <c r="O807" s="82"/>
      <c r="P807" s="82"/>
      <c r="Q807" s="82"/>
      <c r="R807" s="82"/>
    </row>
    <row r="808" spans="1:18" x14ac:dyDescent="0.25">
      <c r="A808" s="105"/>
      <c r="B808" s="106"/>
      <c r="C808" s="106"/>
      <c r="D808" s="90"/>
      <c r="E808" s="106"/>
      <c r="F808" s="105"/>
      <c r="G808" s="107"/>
      <c r="H808" s="105"/>
      <c r="I808" s="104"/>
      <c r="J808" s="85"/>
      <c r="K808" s="82"/>
      <c r="L808" s="82"/>
      <c r="M808" s="82"/>
      <c r="N808" s="82"/>
      <c r="O808" s="82"/>
      <c r="P808" s="82"/>
      <c r="Q808" s="82"/>
      <c r="R808" s="82"/>
    </row>
    <row r="809" spans="1:18" x14ac:dyDescent="0.25">
      <c r="A809" s="105"/>
      <c r="B809" s="106"/>
      <c r="C809" s="106"/>
      <c r="D809" s="90"/>
      <c r="E809" s="106"/>
      <c r="F809" s="105"/>
      <c r="G809" s="107"/>
      <c r="H809" s="105"/>
      <c r="I809" s="104"/>
      <c r="J809" s="85"/>
      <c r="K809" s="82"/>
      <c r="L809" s="82"/>
      <c r="M809" s="82"/>
      <c r="N809" s="82"/>
      <c r="O809" s="82"/>
      <c r="P809" s="82"/>
      <c r="Q809" s="82"/>
      <c r="R809" s="82"/>
    </row>
    <row r="810" spans="1:18" x14ac:dyDescent="0.25">
      <c r="A810" s="105"/>
      <c r="B810" s="106"/>
      <c r="C810" s="106"/>
      <c r="D810" s="90"/>
      <c r="E810" s="106"/>
      <c r="F810" s="105"/>
      <c r="G810" s="107"/>
      <c r="H810" s="105"/>
      <c r="I810" s="104"/>
      <c r="J810" s="85"/>
      <c r="K810" s="82"/>
      <c r="L810" s="82"/>
      <c r="M810" s="82"/>
      <c r="N810" s="82"/>
      <c r="O810" s="82"/>
      <c r="P810" s="82"/>
      <c r="Q810" s="82"/>
      <c r="R810" s="82"/>
    </row>
    <row r="811" spans="1:18" x14ac:dyDescent="0.25">
      <c r="A811" s="105"/>
      <c r="B811" s="106"/>
      <c r="C811" s="106"/>
      <c r="D811" s="90"/>
      <c r="E811" s="106"/>
      <c r="F811" s="105"/>
      <c r="G811" s="107"/>
      <c r="H811" s="105"/>
      <c r="I811" s="104"/>
      <c r="J811" s="85"/>
      <c r="K811" s="82"/>
      <c r="L811" s="82"/>
      <c r="M811" s="82"/>
      <c r="N811" s="82"/>
      <c r="O811" s="82"/>
      <c r="P811" s="82"/>
      <c r="Q811" s="82"/>
      <c r="R811" s="82"/>
    </row>
    <row r="812" spans="1:18" x14ac:dyDescent="0.25">
      <c r="A812" s="105"/>
      <c r="B812" s="106"/>
      <c r="C812" s="106"/>
      <c r="D812" s="90"/>
      <c r="E812" s="106"/>
      <c r="F812" s="105"/>
      <c r="G812" s="107"/>
      <c r="H812" s="105"/>
      <c r="I812" s="104"/>
      <c r="J812" s="85"/>
      <c r="K812" s="82"/>
      <c r="L812" s="82"/>
      <c r="M812" s="82"/>
      <c r="N812" s="82"/>
      <c r="O812" s="82"/>
      <c r="P812" s="82"/>
      <c r="Q812" s="82"/>
      <c r="R812" s="82"/>
    </row>
    <row r="813" spans="1:18" x14ac:dyDescent="0.25">
      <c r="A813" s="105"/>
      <c r="B813" s="106"/>
      <c r="C813" s="106"/>
      <c r="D813" s="90"/>
      <c r="E813" s="106"/>
      <c r="F813" s="105"/>
      <c r="G813" s="107"/>
      <c r="H813" s="105"/>
      <c r="I813" s="104"/>
      <c r="J813" s="85"/>
      <c r="K813" s="82"/>
      <c r="L813" s="82"/>
      <c r="M813" s="82"/>
      <c r="N813" s="82"/>
      <c r="O813" s="82"/>
      <c r="P813" s="82"/>
      <c r="Q813" s="82"/>
      <c r="R813" s="82"/>
    </row>
    <row r="814" spans="1:18" x14ac:dyDescent="0.25">
      <c r="A814" s="105"/>
      <c r="B814" s="106"/>
      <c r="C814" s="106"/>
      <c r="D814" s="90"/>
      <c r="E814" s="106"/>
      <c r="F814" s="105"/>
      <c r="G814" s="107"/>
      <c r="H814" s="105"/>
      <c r="I814" s="104"/>
      <c r="J814" s="85"/>
      <c r="K814" s="82"/>
      <c r="L814" s="82"/>
      <c r="M814" s="82"/>
      <c r="N814" s="82"/>
      <c r="O814" s="82"/>
      <c r="P814" s="82"/>
      <c r="Q814" s="82"/>
      <c r="R814" s="82"/>
    </row>
    <row r="815" spans="1:18" x14ac:dyDescent="0.25">
      <c r="A815" s="105"/>
      <c r="B815" s="106"/>
      <c r="C815" s="106"/>
      <c r="D815" s="90"/>
      <c r="E815" s="106"/>
      <c r="F815" s="105"/>
      <c r="G815" s="107"/>
      <c r="H815" s="105"/>
      <c r="I815" s="104"/>
      <c r="J815" s="85"/>
      <c r="K815" s="82"/>
      <c r="L815" s="82"/>
      <c r="M815" s="82"/>
      <c r="N815" s="82"/>
      <c r="O815" s="82"/>
      <c r="P815" s="82"/>
      <c r="Q815" s="82"/>
      <c r="R815" s="82"/>
    </row>
    <row r="816" spans="1:18" x14ac:dyDescent="0.25">
      <c r="A816" s="105"/>
      <c r="B816" s="106"/>
      <c r="C816" s="106"/>
      <c r="D816" s="90"/>
      <c r="E816" s="106"/>
      <c r="F816" s="105"/>
      <c r="G816" s="107"/>
      <c r="H816" s="105"/>
      <c r="I816" s="104"/>
      <c r="J816" s="85"/>
      <c r="K816" s="82"/>
      <c r="L816" s="82"/>
      <c r="M816" s="82"/>
      <c r="N816" s="82"/>
      <c r="O816" s="82"/>
      <c r="P816" s="82"/>
      <c r="Q816" s="82"/>
      <c r="R816" s="82"/>
    </row>
    <row r="817" spans="1:18" x14ac:dyDescent="0.25">
      <c r="A817" s="105"/>
      <c r="B817" s="106"/>
      <c r="C817" s="106"/>
      <c r="D817" s="90"/>
      <c r="E817" s="106"/>
      <c r="F817" s="105"/>
      <c r="G817" s="107"/>
      <c r="H817" s="105"/>
      <c r="I817" s="104"/>
      <c r="J817" s="85"/>
      <c r="K817" s="82"/>
      <c r="L817" s="82"/>
      <c r="M817" s="82"/>
      <c r="N817" s="82"/>
      <c r="O817" s="82"/>
      <c r="P817" s="82"/>
      <c r="Q817" s="82"/>
      <c r="R817" s="82"/>
    </row>
    <row r="818" spans="1:18" x14ac:dyDescent="0.25">
      <c r="A818" s="105"/>
      <c r="B818" s="106"/>
      <c r="C818" s="106"/>
      <c r="D818" s="90"/>
      <c r="E818" s="106"/>
      <c r="F818" s="105"/>
      <c r="G818" s="107"/>
      <c r="H818" s="105"/>
      <c r="I818" s="104"/>
      <c r="J818" s="85"/>
      <c r="K818" s="82"/>
      <c r="L818" s="82"/>
      <c r="M818" s="82"/>
      <c r="N818" s="82"/>
      <c r="O818" s="82"/>
      <c r="P818" s="82"/>
      <c r="Q818" s="82"/>
      <c r="R818" s="82"/>
    </row>
    <row r="819" spans="1:18" x14ac:dyDescent="0.25">
      <c r="A819" s="105"/>
      <c r="B819" s="106"/>
      <c r="C819" s="106"/>
      <c r="D819" s="90"/>
      <c r="E819" s="106"/>
      <c r="F819" s="105"/>
      <c r="G819" s="107"/>
      <c r="H819" s="105"/>
      <c r="I819" s="104"/>
      <c r="J819" s="85"/>
      <c r="K819" s="82"/>
      <c r="L819" s="82"/>
      <c r="M819" s="82"/>
      <c r="N819" s="82"/>
      <c r="O819" s="82"/>
      <c r="P819" s="82"/>
      <c r="Q819" s="82"/>
      <c r="R819" s="82"/>
    </row>
    <row r="820" spans="1:18" x14ac:dyDescent="0.25">
      <c r="A820" s="105"/>
      <c r="B820" s="106"/>
      <c r="C820" s="106"/>
      <c r="D820" s="90"/>
      <c r="E820" s="106"/>
      <c r="F820" s="105"/>
      <c r="G820" s="107"/>
      <c r="H820" s="105"/>
      <c r="I820" s="104"/>
      <c r="J820" s="85"/>
      <c r="K820" s="82"/>
      <c r="L820" s="82"/>
      <c r="M820" s="82"/>
      <c r="N820" s="82"/>
      <c r="O820" s="82"/>
      <c r="P820" s="82"/>
      <c r="Q820" s="82"/>
      <c r="R820" s="82"/>
    </row>
    <row r="821" spans="1:18" x14ac:dyDescent="0.25">
      <c r="A821" s="105"/>
      <c r="B821" s="106"/>
      <c r="C821" s="106"/>
      <c r="D821" s="90"/>
      <c r="E821" s="106"/>
      <c r="F821" s="105"/>
      <c r="G821" s="107"/>
      <c r="H821" s="105"/>
      <c r="I821" s="104"/>
      <c r="J821" s="85"/>
      <c r="K821" s="82"/>
      <c r="L821" s="82"/>
      <c r="M821" s="82"/>
      <c r="N821" s="82"/>
      <c r="O821" s="82"/>
      <c r="P821" s="82"/>
      <c r="Q821" s="82"/>
      <c r="R821" s="82"/>
    </row>
    <row r="822" spans="1:18" x14ac:dyDescent="0.25">
      <c r="A822" s="105"/>
      <c r="B822" s="106"/>
      <c r="C822" s="106"/>
      <c r="D822" s="90"/>
      <c r="E822" s="106"/>
      <c r="F822" s="105"/>
      <c r="G822" s="107"/>
      <c r="H822" s="105"/>
      <c r="I822" s="104"/>
      <c r="J822" s="85"/>
      <c r="K822" s="82"/>
      <c r="L822" s="82"/>
      <c r="M822" s="82"/>
      <c r="N822" s="82"/>
      <c r="O822" s="82"/>
      <c r="P822" s="82"/>
      <c r="Q822" s="82"/>
      <c r="R822" s="82"/>
    </row>
    <row r="823" spans="1:18" x14ac:dyDescent="0.25">
      <c r="A823" s="105"/>
      <c r="B823" s="106"/>
      <c r="C823" s="106"/>
      <c r="D823" s="90"/>
      <c r="E823" s="106"/>
      <c r="F823" s="105"/>
      <c r="G823" s="107"/>
      <c r="H823" s="105"/>
      <c r="I823" s="104"/>
      <c r="J823" s="85"/>
      <c r="K823" s="82"/>
      <c r="L823" s="82"/>
      <c r="M823" s="82"/>
      <c r="N823" s="82"/>
      <c r="O823" s="82"/>
      <c r="P823" s="82"/>
      <c r="Q823" s="82"/>
      <c r="R823" s="82"/>
    </row>
    <row r="824" spans="1:18" x14ac:dyDescent="0.25">
      <c r="A824" s="105"/>
      <c r="B824" s="106"/>
      <c r="C824" s="106"/>
      <c r="D824" s="90"/>
      <c r="E824" s="106"/>
      <c r="F824" s="105"/>
      <c r="G824" s="107"/>
      <c r="H824" s="105"/>
      <c r="I824" s="104"/>
      <c r="J824" s="85"/>
      <c r="K824" s="82"/>
      <c r="L824" s="82"/>
      <c r="M824" s="82"/>
      <c r="N824" s="82"/>
      <c r="O824" s="82"/>
      <c r="P824" s="82"/>
      <c r="Q824" s="82"/>
      <c r="R824" s="82"/>
    </row>
    <row r="825" spans="1:18" x14ac:dyDescent="0.25">
      <c r="A825" s="105"/>
      <c r="B825" s="106"/>
      <c r="C825" s="106"/>
      <c r="D825" s="90"/>
      <c r="E825" s="106"/>
      <c r="F825" s="105"/>
      <c r="G825" s="107"/>
      <c r="H825" s="105"/>
      <c r="I825" s="104"/>
      <c r="J825" s="85"/>
      <c r="K825" s="82"/>
      <c r="L825" s="82"/>
      <c r="M825" s="82"/>
      <c r="N825" s="82"/>
      <c r="O825" s="82"/>
      <c r="P825" s="82"/>
      <c r="Q825" s="82"/>
      <c r="R825" s="82"/>
    </row>
    <row r="826" spans="1:18" x14ac:dyDescent="0.25">
      <c r="A826" s="105"/>
      <c r="B826" s="106"/>
      <c r="C826" s="106"/>
      <c r="D826" s="90"/>
      <c r="E826" s="106"/>
      <c r="F826" s="105"/>
      <c r="G826" s="107"/>
      <c r="H826" s="105"/>
      <c r="I826" s="104"/>
      <c r="J826" s="85"/>
      <c r="K826" s="82"/>
      <c r="L826" s="82"/>
      <c r="M826" s="82"/>
      <c r="N826" s="82"/>
      <c r="O826" s="82"/>
      <c r="P826" s="82"/>
      <c r="Q826" s="82"/>
      <c r="R826" s="82"/>
    </row>
    <row r="827" spans="1:18" x14ac:dyDescent="0.25">
      <c r="A827" s="105"/>
      <c r="B827" s="106"/>
      <c r="C827" s="106"/>
      <c r="D827" s="90"/>
      <c r="E827" s="106"/>
      <c r="F827" s="105"/>
      <c r="G827" s="107"/>
      <c r="H827" s="105"/>
      <c r="I827" s="104"/>
      <c r="J827" s="85"/>
      <c r="K827" s="82"/>
      <c r="L827" s="82"/>
      <c r="M827" s="82"/>
      <c r="N827" s="82"/>
      <c r="O827" s="82"/>
      <c r="P827" s="82"/>
      <c r="Q827" s="82"/>
      <c r="R827" s="82"/>
    </row>
    <row r="828" spans="1:18" x14ac:dyDescent="0.25">
      <c r="A828" s="105"/>
      <c r="B828" s="106"/>
      <c r="C828" s="106"/>
      <c r="D828" s="90"/>
      <c r="E828" s="106"/>
      <c r="F828" s="105"/>
      <c r="G828" s="107"/>
      <c r="H828" s="105"/>
      <c r="I828" s="104"/>
      <c r="J828" s="85"/>
      <c r="K828" s="82"/>
      <c r="L828" s="82"/>
      <c r="M828" s="82"/>
      <c r="N828" s="82"/>
      <c r="O828" s="82"/>
      <c r="P828" s="82"/>
      <c r="Q828" s="82"/>
      <c r="R828" s="82"/>
    </row>
    <row r="829" spans="1:18" x14ac:dyDescent="0.25">
      <c r="A829" s="105"/>
      <c r="B829" s="106"/>
      <c r="C829" s="106"/>
      <c r="D829" s="90"/>
      <c r="E829" s="106"/>
      <c r="F829" s="105"/>
      <c r="G829" s="107"/>
      <c r="H829" s="105"/>
      <c r="I829" s="104"/>
      <c r="J829" s="85"/>
      <c r="K829" s="82"/>
      <c r="L829" s="82"/>
      <c r="M829" s="82"/>
      <c r="N829" s="82"/>
      <c r="O829" s="82"/>
      <c r="P829" s="82"/>
      <c r="Q829" s="82"/>
      <c r="R829" s="82"/>
    </row>
    <row r="830" spans="1:18" x14ac:dyDescent="0.25">
      <c r="A830" s="105"/>
      <c r="B830" s="106"/>
      <c r="C830" s="106"/>
      <c r="D830" s="90"/>
      <c r="E830" s="106"/>
      <c r="F830" s="105"/>
      <c r="G830" s="107"/>
      <c r="H830" s="105"/>
      <c r="I830" s="104"/>
      <c r="J830" s="85"/>
      <c r="K830" s="82"/>
      <c r="L830" s="82"/>
      <c r="M830" s="82"/>
      <c r="N830" s="82"/>
      <c r="O830" s="82"/>
      <c r="P830" s="82"/>
      <c r="Q830" s="82"/>
      <c r="R830" s="82"/>
    </row>
    <row r="831" spans="1:18" x14ac:dyDescent="0.25">
      <c r="A831" s="105"/>
      <c r="B831" s="106"/>
      <c r="C831" s="106"/>
      <c r="D831" s="90"/>
      <c r="E831" s="106"/>
      <c r="F831" s="105"/>
      <c r="G831" s="107"/>
      <c r="H831" s="105"/>
      <c r="I831" s="104"/>
      <c r="J831" s="85"/>
      <c r="K831" s="82"/>
      <c r="L831" s="82"/>
      <c r="M831" s="82"/>
      <c r="N831" s="82"/>
      <c r="O831" s="82"/>
      <c r="P831" s="82"/>
      <c r="Q831" s="82"/>
      <c r="R831" s="82"/>
    </row>
    <row r="832" spans="1:18" x14ac:dyDescent="0.25">
      <c r="A832" s="105"/>
      <c r="B832" s="106"/>
      <c r="C832" s="106"/>
      <c r="D832" s="90"/>
      <c r="E832" s="106"/>
      <c r="F832" s="105"/>
      <c r="G832" s="107"/>
      <c r="H832" s="105"/>
      <c r="I832" s="104"/>
      <c r="J832" s="85"/>
      <c r="K832" s="82"/>
      <c r="L832" s="82"/>
      <c r="M832" s="82"/>
      <c r="N832" s="82"/>
      <c r="O832" s="82"/>
      <c r="P832" s="82"/>
      <c r="Q832" s="82"/>
      <c r="R832" s="82"/>
    </row>
    <row r="833" spans="1:18" x14ac:dyDescent="0.25">
      <c r="A833" s="105"/>
      <c r="B833" s="106"/>
      <c r="C833" s="106"/>
      <c r="D833" s="90"/>
      <c r="E833" s="106"/>
      <c r="F833" s="105"/>
      <c r="G833" s="107"/>
      <c r="H833" s="105"/>
      <c r="I833" s="104"/>
      <c r="J833" s="85"/>
      <c r="K833" s="82"/>
      <c r="L833" s="82"/>
      <c r="M833" s="82"/>
      <c r="N833" s="82"/>
      <c r="O833" s="82"/>
      <c r="P833" s="82"/>
      <c r="Q833" s="82"/>
      <c r="R833" s="82"/>
    </row>
    <row r="834" spans="1:18" x14ac:dyDescent="0.25">
      <c r="A834" s="105"/>
      <c r="B834" s="106"/>
      <c r="C834" s="106"/>
      <c r="D834" s="90"/>
      <c r="E834" s="106"/>
      <c r="F834" s="105"/>
      <c r="G834" s="107"/>
      <c r="H834" s="105"/>
      <c r="I834" s="104"/>
      <c r="J834" s="85"/>
      <c r="K834" s="82"/>
      <c r="L834" s="82"/>
      <c r="M834" s="82"/>
      <c r="N834" s="82"/>
      <c r="O834" s="82"/>
      <c r="P834" s="82"/>
      <c r="Q834" s="82"/>
      <c r="R834" s="82"/>
    </row>
    <row r="835" spans="1:18" x14ac:dyDescent="0.25">
      <c r="A835" s="105"/>
      <c r="B835" s="106"/>
      <c r="C835" s="106"/>
      <c r="D835" s="90"/>
      <c r="E835" s="106"/>
      <c r="F835" s="105"/>
      <c r="G835" s="107"/>
      <c r="H835" s="105"/>
      <c r="I835" s="104"/>
      <c r="J835" s="85"/>
      <c r="K835" s="82"/>
      <c r="L835" s="82"/>
      <c r="M835" s="82"/>
      <c r="N835" s="82"/>
      <c r="O835" s="82"/>
      <c r="P835" s="82"/>
      <c r="Q835" s="82"/>
      <c r="R835" s="82"/>
    </row>
    <row r="836" spans="1:18" x14ac:dyDescent="0.25">
      <c r="A836" s="105"/>
      <c r="B836" s="106"/>
      <c r="C836" s="106"/>
      <c r="D836" s="90"/>
      <c r="E836" s="106"/>
      <c r="F836" s="105"/>
      <c r="G836" s="107"/>
      <c r="H836" s="105"/>
      <c r="I836" s="104"/>
      <c r="J836" s="85"/>
      <c r="K836" s="82"/>
      <c r="L836" s="82"/>
      <c r="M836" s="82"/>
      <c r="N836" s="82"/>
      <c r="O836" s="82"/>
      <c r="P836" s="82"/>
      <c r="Q836" s="82"/>
      <c r="R836" s="82"/>
    </row>
    <row r="837" spans="1:18" x14ac:dyDescent="0.25">
      <c r="A837" s="105"/>
      <c r="B837" s="106"/>
      <c r="C837" s="106"/>
      <c r="D837" s="90"/>
      <c r="E837" s="106"/>
      <c r="F837" s="105"/>
      <c r="G837" s="107"/>
      <c r="H837" s="105"/>
      <c r="I837" s="104"/>
      <c r="J837" s="85"/>
      <c r="K837" s="82"/>
      <c r="L837" s="82"/>
      <c r="M837" s="82"/>
      <c r="N837" s="82"/>
      <c r="O837" s="82"/>
      <c r="P837" s="82"/>
      <c r="Q837" s="82"/>
      <c r="R837" s="82"/>
    </row>
    <row r="838" spans="1:18" x14ac:dyDescent="0.25">
      <c r="A838" s="105"/>
      <c r="B838" s="106"/>
      <c r="C838" s="106"/>
      <c r="D838" s="90"/>
      <c r="E838" s="106"/>
      <c r="F838" s="105"/>
      <c r="G838" s="107"/>
      <c r="H838" s="105"/>
      <c r="I838" s="104"/>
      <c r="J838" s="85"/>
      <c r="K838" s="82"/>
      <c r="L838" s="82"/>
      <c r="M838" s="82"/>
      <c r="N838" s="82"/>
      <c r="O838" s="82"/>
      <c r="P838" s="82"/>
      <c r="Q838" s="82"/>
      <c r="R838" s="82"/>
    </row>
    <row r="839" spans="1:18" x14ac:dyDescent="0.25">
      <c r="A839" s="105"/>
      <c r="B839" s="106"/>
      <c r="C839" s="106"/>
      <c r="D839" s="90"/>
      <c r="E839" s="106"/>
      <c r="F839" s="105"/>
      <c r="G839" s="107"/>
      <c r="H839" s="105"/>
      <c r="I839" s="104"/>
      <c r="J839" s="85"/>
      <c r="K839" s="82"/>
      <c r="L839" s="82"/>
      <c r="M839" s="82"/>
      <c r="N839" s="82"/>
      <c r="O839" s="82"/>
      <c r="P839" s="82"/>
      <c r="Q839" s="82"/>
      <c r="R839" s="82"/>
    </row>
    <row r="840" spans="1:18" x14ac:dyDescent="0.25">
      <c r="A840" s="105"/>
      <c r="B840" s="106"/>
      <c r="C840" s="106"/>
      <c r="D840" s="90"/>
      <c r="E840" s="106"/>
      <c r="F840" s="105"/>
      <c r="G840" s="107"/>
      <c r="H840" s="105"/>
      <c r="I840" s="104"/>
      <c r="J840" s="85"/>
      <c r="K840" s="82"/>
      <c r="L840" s="82"/>
      <c r="M840" s="82"/>
      <c r="N840" s="82"/>
      <c r="O840" s="82"/>
      <c r="P840" s="82"/>
      <c r="Q840" s="82"/>
      <c r="R840" s="82"/>
    </row>
    <row r="841" spans="1:18" x14ac:dyDescent="0.25">
      <c r="A841" s="105"/>
      <c r="B841" s="106"/>
      <c r="C841" s="106"/>
      <c r="D841" s="90"/>
      <c r="E841" s="106"/>
      <c r="F841" s="105"/>
      <c r="G841" s="107"/>
      <c r="H841" s="105"/>
      <c r="I841" s="104"/>
      <c r="J841" s="85"/>
      <c r="K841" s="82"/>
      <c r="L841" s="82"/>
      <c r="M841" s="82"/>
      <c r="N841" s="82"/>
      <c r="O841" s="82"/>
      <c r="P841" s="82"/>
      <c r="Q841" s="82"/>
      <c r="R841" s="82"/>
    </row>
    <row r="842" spans="1:18" x14ac:dyDescent="0.25">
      <c r="A842" s="105"/>
      <c r="B842" s="106"/>
      <c r="C842" s="106"/>
      <c r="D842" s="90"/>
      <c r="E842" s="106"/>
      <c r="F842" s="105"/>
      <c r="G842" s="107"/>
      <c r="H842" s="105"/>
      <c r="I842" s="104"/>
      <c r="J842" s="85"/>
      <c r="K842" s="82"/>
      <c r="L842" s="82"/>
      <c r="M842" s="82"/>
      <c r="N842" s="82"/>
      <c r="O842" s="82"/>
      <c r="P842" s="82"/>
      <c r="Q842" s="82"/>
      <c r="R842" s="82"/>
    </row>
    <row r="843" spans="1:18" x14ac:dyDescent="0.25">
      <c r="A843" s="105"/>
      <c r="B843" s="106"/>
      <c r="C843" s="106"/>
      <c r="D843" s="90"/>
      <c r="E843" s="106"/>
      <c r="F843" s="105"/>
      <c r="G843" s="107"/>
      <c r="H843" s="105"/>
      <c r="I843" s="104"/>
      <c r="J843" s="85"/>
      <c r="K843" s="82"/>
      <c r="L843" s="82"/>
      <c r="M843" s="82"/>
      <c r="N843" s="82"/>
      <c r="O843" s="82"/>
      <c r="P843" s="82"/>
      <c r="Q843" s="82"/>
      <c r="R843" s="82"/>
    </row>
    <row r="844" spans="1:18" x14ac:dyDescent="0.25">
      <c r="A844" s="105"/>
      <c r="B844" s="106"/>
      <c r="C844" s="106"/>
      <c r="D844" s="90"/>
      <c r="E844" s="106"/>
      <c r="F844" s="105"/>
      <c r="G844" s="107"/>
      <c r="H844" s="105"/>
      <c r="I844" s="104"/>
      <c r="J844" s="85"/>
      <c r="K844" s="82"/>
      <c r="L844" s="82"/>
      <c r="M844" s="82"/>
      <c r="N844" s="82"/>
      <c r="O844" s="82"/>
      <c r="P844" s="82"/>
      <c r="Q844" s="82"/>
      <c r="R844" s="82"/>
    </row>
    <row r="845" spans="1:18" x14ac:dyDescent="0.25">
      <c r="A845" s="105"/>
      <c r="B845" s="106"/>
      <c r="C845" s="106"/>
      <c r="D845" s="90"/>
      <c r="E845" s="106"/>
      <c r="F845" s="105"/>
      <c r="G845" s="107"/>
      <c r="H845" s="105"/>
      <c r="I845" s="104"/>
      <c r="J845" s="85"/>
      <c r="K845" s="82"/>
      <c r="L845" s="82"/>
      <c r="M845" s="82"/>
      <c r="N845" s="82"/>
      <c r="O845" s="82"/>
      <c r="P845" s="82"/>
      <c r="Q845" s="82"/>
      <c r="R845" s="82"/>
    </row>
    <row r="846" spans="1:18" x14ac:dyDescent="0.25">
      <c r="A846" s="105"/>
      <c r="B846" s="106"/>
      <c r="C846" s="106"/>
      <c r="D846" s="90"/>
      <c r="E846" s="106"/>
      <c r="F846" s="105"/>
      <c r="G846" s="107"/>
      <c r="H846" s="105"/>
      <c r="I846" s="104"/>
      <c r="J846" s="85"/>
      <c r="K846" s="82"/>
      <c r="L846" s="82"/>
      <c r="M846" s="82"/>
      <c r="N846" s="82"/>
      <c r="O846" s="82"/>
      <c r="P846" s="82"/>
      <c r="Q846" s="82"/>
      <c r="R846" s="82"/>
    </row>
    <row r="847" spans="1:18" x14ac:dyDescent="0.25">
      <c r="A847" s="105"/>
      <c r="B847" s="106"/>
      <c r="C847" s="106"/>
      <c r="D847" s="90"/>
      <c r="E847" s="106"/>
      <c r="F847" s="105"/>
      <c r="G847" s="107"/>
      <c r="H847" s="105"/>
      <c r="I847" s="104"/>
      <c r="J847" s="85"/>
      <c r="K847" s="82"/>
      <c r="L847" s="82"/>
      <c r="M847" s="82"/>
      <c r="N847" s="82"/>
      <c r="O847" s="82"/>
      <c r="P847" s="82"/>
      <c r="Q847" s="82"/>
      <c r="R847" s="82"/>
    </row>
    <row r="848" spans="1:18" x14ac:dyDescent="0.25">
      <c r="A848" s="105"/>
      <c r="B848" s="106"/>
      <c r="C848" s="106"/>
      <c r="D848" s="90"/>
      <c r="E848" s="106"/>
      <c r="F848" s="105"/>
      <c r="G848" s="107"/>
      <c r="H848" s="105"/>
      <c r="I848" s="104"/>
      <c r="J848" s="85"/>
      <c r="K848" s="82"/>
      <c r="L848" s="82"/>
      <c r="M848" s="82"/>
      <c r="N848" s="82"/>
      <c r="O848" s="82"/>
      <c r="P848" s="82"/>
      <c r="Q848" s="82"/>
      <c r="R848" s="82"/>
    </row>
    <row r="849" spans="1:18" x14ac:dyDescent="0.25">
      <c r="A849" s="105"/>
      <c r="B849" s="106"/>
      <c r="C849" s="106"/>
      <c r="D849" s="90"/>
      <c r="E849" s="106"/>
      <c r="F849" s="105"/>
      <c r="G849" s="107"/>
      <c r="H849" s="105"/>
      <c r="I849" s="104"/>
      <c r="J849" s="85"/>
      <c r="K849" s="82"/>
      <c r="L849" s="82"/>
      <c r="M849" s="82"/>
      <c r="N849" s="82"/>
      <c r="O849" s="82"/>
      <c r="P849" s="82"/>
      <c r="Q849" s="82"/>
      <c r="R849" s="82"/>
    </row>
    <row r="850" spans="1:18" x14ac:dyDescent="0.25">
      <c r="A850" s="105"/>
      <c r="B850" s="106"/>
      <c r="C850" s="106"/>
      <c r="D850" s="90"/>
      <c r="E850" s="106"/>
      <c r="F850" s="105"/>
      <c r="G850" s="107"/>
      <c r="H850" s="105"/>
      <c r="I850" s="104"/>
      <c r="J850" s="85"/>
      <c r="K850" s="82"/>
      <c r="L850" s="82"/>
      <c r="M850" s="82"/>
      <c r="N850" s="82"/>
      <c r="O850" s="82"/>
      <c r="P850" s="82"/>
      <c r="Q850" s="82"/>
      <c r="R850" s="82"/>
    </row>
    <row r="851" spans="1:18" x14ac:dyDescent="0.25">
      <c r="A851" s="105"/>
      <c r="B851" s="106"/>
      <c r="C851" s="106"/>
      <c r="D851" s="90"/>
      <c r="E851" s="106"/>
      <c r="F851" s="105"/>
      <c r="G851" s="107"/>
      <c r="H851" s="105"/>
      <c r="I851" s="104"/>
      <c r="J851" s="85"/>
      <c r="K851" s="82"/>
      <c r="L851" s="82"/>
      <c r="M851" s="82"/>
      <c r="N851" s="82"/>
      <c r="O851" s="82"/>
      <c r="P851" s="82"/>
      <c r="Q851" s="82"/>
      <c r="R851" s="82"/>
    </row>
    <row r="852" spans="1:18" x14ac:dyDescent="0.25">
      <c r="A852" s="105"/>
      <c r="B852" s="106"/>
      <c r="C852" s="106"/>
      <c r="D852" s="90"/>
      <c r="E852" s="106"/>
      <c r="F852" s="105"/>
      <c r="G852" s="107"/>
      <c r="H852" s="105"/>
      <c r="I852" s="104"/>
      <c r="J852" s="85"/>
      <c r="K852" s="82"/>
      <c r="L852" s="82"/>
      <c r="M852" s="82"/>
      <c r="N852" s="82"/>
      <c r="O852" s="82"/>
      <c r="P852" s="82"/>
      <c r="Q852" s="82"/>
      <c r="R852" s="82"/>
    </row>
    <row r="853" spans="1:18" x14ac:dyDescent="0.25">
      <c r="A853" s="105"/>
      <c r="B853" s="106"/>
      <c r="C853" s="106"/>
      <c r="D853" s="90"/>
      <c r="E853" s="106"/>
      <c r="F853" s="105"/>
      <c r="G853" s="107"/>
      <c r="H853" s="105"/>
      <c r="I853" s="104"/>
      <c r="J853" s="85"/>
      <c r="K853" s="82"/>
      <c r="L853" s="82"/>
      <c r="M853" s="82"/>
      <c r="N853" s="82"/>
      <c r="O853" s="82"/>
      <c r="P853" s="82"/>
      <c r="Q853" s="82"/>
      <c r="R853" s="82"/>
    </row>
    <row r="854" spans="1:18" x14ac:dyDescent="0.25">
      <c r="A854" s="105"/>
      <c r="B854" s="106"/>
      <c r="C854" s="106"/>
      <c r="D854" s="90"/>
      <c r="E854" s="106"/>
      <c r="F854" s="105"/>
      <c r="G854" s="107"/>
      <c r="H854" s="105"/>
      <c r="I854" s="104"/>
      <c r="J854" s="85"/>
      <c r="K854" s="82"/>
      <c r="L854" s="82"/>
      <c r="M854" s="82"/>
      <c r="N854" s="82"/>
      <c r="O854" s="82"/>
      <c r="P854" s="82"/>
      <c r="Q854" s="82"/>
      <c r="R854" s="82"/>
    </row>
    <row r="855" spans="1:18" x14ac:dyDescent="0.25">
      <c r="A855" s="105"/>
      <c r="B855" s="106"/>
      <c r="C855" s="106"/>
      <c r="D855" s="90"/>
      <c r="E855" s="106"/>
      <c r="F855" s="105"/>
      <c r="G855" s="107"/>
      <c r="H855" s="105"/>
      <c r="I855" s="104"/>
      <c r="J855" s="85"/>
      <c r="K855" s="82"/>
      <c r="L855" s="82"/>
      <c r="M855" s="82"/>
      <c r="N855" s="82"/>
      <c r="O855" s="82"/>
      <c r="P855" s="82"/>
      <c r="Q855" s="82"/>
      <c r="R855" s="82"/>
    </row>
    <row r="856" spans="1:18" x14ac:dyDescent="0.25">
      <c r="A856" s="105"/>
      <c r="B856" s="106"/>
      <c r="C856" s="106"/>
      <c r="D856" s="90"/>
      <c r="E856" s="106"/>
      <c r="F856" s="105"/>
      <c r="G856" s="107"/>
      <c r="H856" s="105"/>
      <c r="I856" s="104"/>
      <c r="J856" s="85"/>
      <c r="K856" s="82"/>
      <c r="L856" s="82"/>
      <c r="M856" s="82"/>
      <c r="N856" s="82"/>
      <c r="O856" s="82"/>
      <c r="P856" s="82"/>
      <c r="Q856" s="82"/>
      <c r="R856" s="82"/>
    </row>
    <row r="857" spans="1:18" x14ac:dyDescent="0.25">
      <c r="A857" s="105"/>
      <c r="B857" s="106"/>
      <c r="C857" s="106"/>
      <c r="D857" s="90"/>
      <c r="E857" s="106"/>
      <c r="F857" s="105"/>
      <c r="G857" s="107"/>
      <c r="H857" s="105"/>
      <c r="I857" s="104"/>
      <c r="J857" s="85"/>
      <c r="K857" s="82"/>
      <c r="L857" s="82"/>
      <c r="M857" s="82"/>
      <c r="N857" s="82"/>
      <c r="O857" s="82"/>
      <c r="P857" s="82"/>
      <c r="Q857" s="82"/>
      <c r="R857" s="82"/>
    </row>
    <row r="858" spans="1:18" x14ac:dyDescent="0.25">
      <c r="A858" s="105"/>
      <c r="B858" s="106"/>
      <c r="C858" s="106"/>
      <c r="D858" s="90"/>
      <c r="E858" s="106"/>
      <c r="F858" s="105"/>
      <c r="G858" s="107"/>
      <c r="H858" s="105"/>
      <c r="I858" s="104"/>
      <c r="J858" s="85"/>
      <c r="K858" s="82"/>
      <c r="L858" s="82"/>
      <c r="M858" s="82"/>
      <c r="N858" s="82"/>
      <c r="O858" s="82"/>
      <c r="P858" s="82"/>
      <c r="Q858" s="82"/>
      <c r="R858" s="82"/>
    </row>
    <row r="859" spans="1:18" x14ac:dyDescent="0.25">
      <c r="A859" s="105"/>
      <c r="B859" s="106"/>
      <c r="C859" s="106"/>
      <c r="D859" s="90"/>
      <c r="E859" s="106"/>
      <c r="F859" s="105"/>
      <c r="G859" s="107"/>
      <c r="H859" s="105"/>
      <c r="I859" s="104"/>
      <c r="J859" s="85"/>
      <c r="K859" s="82"/>
      <c r="L859" s="82"/>
      <c r="M859" s="82"/>
      <c r="N859" s="82"/>
      <c r="O859" s="82"/>
      <c r="P859" s="82"/>
      <c r="Q859" s="82"/>
      <c r="R859" s="82"/>
    </row>
    <row r="860" spans="1:18" x14ac:dyDescent="0.25">
      <c r="A860" s="105"/>
      <c r="B860" s="106"/>
      <c r="C860" s="106"/>
      <c r="D860" s="90"/>
      <c r="E860" s="106"/>
      <c r="F860" s="105"/>
      <c r="G860" s="107"/>
      <c r="H860" s="105"/>
      <c r="I860" s="104"/>
      <c r="J860" s="85"/>
      <c r="K860" s="82"/>
      <c r="L860" s="82"/>
      <c r="M860" s="82"/>
      <c r="N860" s="82"/>
      <c r="O860" s="82"/>
      <c r="P860" s="82"/>
      <c r="Q860" s="82"/>
      <c r="R860" s="82"/>
    </row>
    <row r="861" spans="1:18" x14ac:dyDescent="0.25">
      <c r="A861" s="105"/>
      <c r="B861" s="106"/>
      <c r="C861" s="106"/>
      <c r="D861" s="90"/>
      <c r="E861" s="106"/>
      <c r="F861" s="105"/>
      <c r="G861" s="107"/>
      <c r="H861" s="105"/>
      <c r="I861" s="104"/>
      <c r="J861" s="85"/>
      <c r="K861" s="82"/>
      <c r="L861" s="82"/>
      <c r="M861" s="82"/>
      <c r="N861" s="82"/>
      <c r="O861" s="82"/>
      <c r="P861" s="82"/>
      <c r="Q861" s="82"/>
      <c r="R861" s="82"/>
    </row>
    <row r="862" spans="1:18" x14ac:dyDescent="0.25">
      <c r="A862" s="105"/>
      <c r="B862" s="106"/>
      <c r="C862" s="106"/>
      <c r="D862" s="90"/>
      <c r="E862" s="106"/>
      <c r="F862" s="105"/>
      <c r="G862" s="107"/>
      <c r="H862" s="105"/>
      <c r="I862" s="104"/>
      <c r="J862" s="85"/>
      <c r="K862" s="82"/>
      <c r="L862" s="82"/>
      <c r="M862" s="82"/>
      <c r="N862" s="82"/>
      <c r="O862" s="82"/>
      <c r="P862" s="82"/>
      <c r="Q862" s="82"/>
      <c r="R862" s="82"/>
    </row>
    <row r="863" spans="1:18" x14ac:dyDescent="0.25">
      <c r="A863" s="105"/>
      <c r="B863" s="106"/>
      <c r="C863" s="106"/>
      <c r="D863" s="90"/>
      <c r="E863" s="106"/>
      <c r="F863" s="105"/>
      <c r="G863" s="107"/>
      <c r="H863" s="105"/>
      <c r="I863" s="104"/>
      <c r="J863" s="85"/>
      <c r="K863" s="82"/>
      <c r="L863" s="82"/>
      <c r="M863" s="82"/>
      <c r="N863" s="82"/>
      <c r="O863" s="82"/>
      <c r="P863" s="82"/>
      <c r="Q863" s="82"/>
      <c r="R863" s="82"/>
    </row>
    <row r="864" spans="1:18" x14ac:dyDescent="0.25">
      <c r="A864" s="105"/>
      <c r="B864" s="106"/>
      <c r="C864" s="106"/>
      <c r="D864" s="90"/>
      <c r="E864" s="106"/>
      <c r="F864" s="105"/>
      <c r="G864" s="107"/>
      <c r="H864" s="105"/>
      <c r="I864" s="104"/>
      <c r="J864" s="85"/>
      <c r="K864" s="82"/>
      <c r="L864" s="82"/>
      <c r="M864" s="82"/>
      <c r="N864" s="82"/>
      <c r="O864" s="82"/>
      <c r="P864" s="82"/>
      <c r="Q864" s="82"/>
      <c r="R864" s="82"/>
    </row>
    <row r="865" spans="1:18" x14ac:dyDescent="0.25">
      <c r="A865" s="105"/>
      <c r="B865" s="106"/>
      <c r="C865" s="106"/>
      <c r="D865" s="90"/>
      <c r="E865" s="106"/>
      <c r="F865" s="105"/>
      <c r="G865" s="107"/>
      <c r="H865" s="105"/>
      <c r="I865" s="104"/>
      <c r="J865" s="85"/>
      <c r="K865" s="82"/>
      <c r="L865" s="82"/>
      <c r="M865" s="82"/>
      <c r="N865" s="82"/>
      <c r="O865" s="82"/>
      <c r="P865" s="82"/>
      <c r="Q865" s="82"/>
      <c r="R865" s="82"/>
    </row>
    <row r="866" spans="1:18" x14ac:dyDescent="0.25">
      <c r="A866" s="105"/>
      <c r="B866" s="106"/>
      <c r="C866" s="106"/>
      <c r="D866" s="90"/>
      <c r="E866" s="106"/>
      <c r="F866" s="105"/>
      <c r="G866" s="107"/>
      <c r="H866" s="105"/>
      <c r="I866" s="104"/>
      <c r="J866" s="85"/>
      <c r="K866" s="82"/>
      <c r="L866" s="82"/>
      <c r="M866" s="82"/>
      <c r="N866" s="82"/>
      <c r="O866" s="82"/>
      <c r="P866" s="82"/>
      <c r="Q866" s="82"/>
      <c r="R866" s="82"/>
    </row>
    <row r="867" spans="1:18" x14ac:dyDescent="0.25">
      <c r="A867" s="105"/>
      <c r="B867" s="106"/>
      <c r="C867" s="106"/>
      <c r="D867" s="90"/>
      <c r="E867" s="106"/>
      <c r="F867" s="105"/>
      <c r="G867" s="107"/>
      <c r="H867" s="105"/>
      <c r="I867" s="104"/>
      <c r="J867" s="85"/>
      <c r="K867" s="82"/>
      <c r="L867" s="82"/>
      <c r="M867" s="82"/>
      <c r="N867" s="82"/>
      <c r="O867" s="82"/>
      <c r="P867" s="82"/>
      <c r="Q867" s="82"/>
      <c r="R867" s="82"/>
    </row>
    <row r="868" spans="1:18" x14ac:dyDescent="0.25">
      <c r="A868" s="105"/>
      <c r="B868" s="106"/>
      <c r="C868" s="106"/>
      <c r="D868" s="90"/>
      <c r="E868" s="106"/>
      <c r="F868" s="105"/>
      <c r="G868" s="107"/>
      <c r="H868" s="105"/>
      <c r="I868" s="104"/>
      <c r="J868" s="85"/>
      <c r="K868" s="82"/>
      <c r="L868" s="82"/>
      <c r="M868" s="82"/>
      <c r="N868" s="82"/>
      <c r="O868" s="82"/>
      <c r="P868" s="82"/>
      <c r="Q868" s="82"/>
      <c r="R868" s="82"/>
    </row>
    <row r="869" spans="1:18" x14ac:dyDescent="0.25">
      <c r="A869" s="105"/>
      <c r="B869" s="106"/>
      <c r="C869" s="106"/>
      <c r="D869" s="90"/>
      <c r="E869" s="106"/>
      <c r="F869" s="105"/>
      <c r="G869" s="107"/>
      <c r="H869" s="105"/>
      <c r="I869" s="104"/>
      <c r="J869" s="85"/>
      <c r="K869" s="82"/>
      <c r="L869" s="82"/>
      <c r="M869" s="82"/>
      <c r="N869" s="82"/>
      <c r="O869" s="82"/>
      <c r="P869" s="82"/>
      <c r="Q869" s="82"/>
      <c r="R869" s="82"/>
    </row>
    <row r="870" spans="1:18" x14ac:dyDescent="0.25">
      <c r="A870" s="105"/>
      <c r="B870" s="106"/>
      <c r="C870" s="106"/>
      <c r="D870" s="90"/>
      <c r="E870" s="106"/>
      <c r="F870" s="105"/>
      <c r="G870" s="107"/>
      <c r="H870" s="105"/>
      <c r="I870" s="104"/>
      <c r="J870" s="85"/>
      <c r="K870" s="82"/>
      <c r="L870" s="82"/>
      <c r="M870" s="82"/>
      <c r="N870" s="82"/>
      <c r="O870" s="82"/>
      <c r="P870" s="82"/>
      <c r="Q870" s="82"/>
      <c r="R870" s="82"/>
    </row>
    <row r="871" spans="1:18" x14ac:dyDescent="0.25">
      <c r="A871" s="105"/>
      <c r="B871" s="106"/>
      <c r="C871" s="106"/>
      <c r="D871" s="90"/>
      <c r="E871" s="106"/>
      <c r="F871" s="105"/>
      <c r="G871" s="107"/>
      <c r="H871" s="105"/>
      <c r="I871" s="104"/>
      <c r="J871" s="85"/>
      <c r="K871" s="82"/>
      <c r="L871" s="82"/>
      <c r="M871" s="82"/>
      <c r="N871" s="82"/>
      <c r="O871" s="82"/>
      <c r="P871" s="82"/>
      <c r="Q871" s="82"/>
      <c r="R871" s="82"/>
    </row>
    <row r="872" spans="1:18" x14ac:dyDescent="0.25">
      <c r="A872" s="105"/>
      <c r="B872" s="106"/>
      <c r="C872" s="106"/>
      <c r="D872" s="90"/>
      <c r="E872" s="106"/>
      <c r="F872" s="105"/>
      <c r="G872" s="107"/>
      <c r="H872" s="105"/>
      <c r="I872" s="104"/>
      <c r="J872" s="85"/>
      <c r="K872" s="82"/>
      <c r="L872" s="82"/>
      <c r="M872" s="82"/>
      <c r="N872" s="82"/>
      <c r="O872" s="82"/>
      <c r="P872" s="82"/>
      <c r="Q872" s="82"/>
      <c r="R872" s="82"/>
    </row>
    <row r="873" spans="1:18" x14ac:dyDescent="0.25">
      <c r="A873" s="105"/>
      <c r="B873" s="106"/>
      <c r="C873" s="106"/>
      <c r="D873" s="90"/>
      <c r="E873" s="106"/>
      <c r="F873" s="105"/>
      <c r="G873" s="107"/>
      <c r="H873" s="105"/>
      <c r="I873" s="104"/>
      <c r="J873" s="85"/>
      <c r="K873" s="82"/>
      <c r="L873" s="82"/>
      <c r="M873" s="82"/>
      <c r="N873" s="82"/>
      <c r="O873" s="82"/>
      <c r="P873" s="82"/>
      <c r="Q873" s="82"/>
      <c r="R873" s="82"/>
    </row>
    <row r="874" spans="1:18" x14ac:dyDescent="0.25">
      <c r="A874" s="105"/>
      <c r="B874" s="106"/>
      <c r="C874" s="106"/>
      <c r="D874" s="90"/>
      <c r="E874" s="106"/>
      <c r="F874" s="105"/>
      <c r="G874" s="107"/>
      <c r="H874" s="105"/>
      <c r="I874" s="104"/>
      <c r="J874" s="85"/>
      <c r="K874" s="82"/>
      <c r="L874" s="82"/>
      <c r="M874" s="82"/>
      <c r="N874" s="82"/>
      <c r="O874" s="82"/>
      <c r="P874" s="82"/>
      <c r="Q874" s="82"/>
      <c r="R874" s="82"/>
    </row>
    <row r="875" spans="1:18" x14ac:dyDescent="0.25">
      <c r="A875" s="105"/>
      <c r="B875" s="106"/>
      <c r="C875" s="106"/>
      <c r="D875" s="90"/>
      <c r="E875" s="106"/>
      <c r="F875" s="105"/>
      <c r="G875" s="107"/>
      <c r="H875" s="105"/>
      <c r="I875" s="104"/>
      <c r="J875" s="85"/>
      <c r="K875" s="82"/>
      <c r="L875" s="82"/>
      <c r="M875" s="82"/>
      <c r="N875" s="82"/>
      <c r="O875" s="82"/>
      <c r="P875" s="82"/>
      <c r="Q875" s="82"/>
      <c r="R875" s="82"/>
    </row>
    <row r="876" spans="1:18" x14ac:dyDescent="0.25">
      <c r="A876" s="105"/>
      <c r="B876" s="106"/>
      <c r="C876" s="106"/>
      <c r="D876" s="90"/>
      <c r="E876" s="106"/>
      <c r="F876" s="105"/>
      <c r="G876" s="107"/>
      <c r="H876" s="105"/>
      <c r="I876" s="104"/>
      <c r="J876" s="85"/>
      <c r="K876" s="82"/>
      <c r="L876" s="82"/>
      <c r="M876" s="82"/>
      <c r="N876" s="82"/>
      <c r="O876" s="82"/>
      <c r="P876" s="82"/>
      <c r="Q876" s="82"/>
      <c r="R876" s="82"/>
    </row>
    <row r="877" spans="1:18" x14ac:dyDescent="0.25">
      <c r="A877" s="105"/>
      <c r="B877" s="106"/>
      <c r="C877" s="106"/>
      <c r="D877" s="90"/>
      <c r="E877" s="106"/>
      <c r="F877" s="105"/>
      <c r="G877" s="107"/>
      <c r="H877" s="105"/>
      <c r="I877" s="104"/>
      <c r="J877" s="85"/>
      <c r="K877" s="82"/>
      <c r="L877" s="82"/>
      <c r="M877" s="82"/>
      <c r="N877" s="82"/>
      <c r="O877" s="82"/>
      <c r="P877" s="82"/>
      <c r="Q877" s="82"/>
      <c r="R877" s="82"/>
    </row>
    <row r="878" spans="1:18" x14ac:dyDescent="0.25">
      <c r="A878" s="105"/>
      <c r="B878" s="106"/>
      <c r="C878" s="106"/>
      <c r="D878" s="90"/>
      <c r="E878" s="106"/>
      <c r="F878" s="105"/>
      <c r="G878" s="107"/>
      <c r="H878" s="105"/>
      <c r="I878" s="104"/>
      <c r="J878" s="85"/>
      <c r="K878" s="82"/>
      <c r="L878" s="82"/>
      <c r="M878" s="82"/>
      <c r="N878" s="82"/>
      <c r="O878" s="82"/>
      <c r="P878" s="82"/>
      <c r="Q878" s="82"/>
      <c r="R878" s="82"/>
    </row>
    <row r="879" spans="1:18" x14ac:dyDescent="0.25">
      <c r="A879" s="105"/>
      <c r="B879" s="106"/>
      <c r="C879" s="106"/>
      <c r="D879" s="90"/>
      <c r="E879" s="106"/>
      <c r="F879" s="105"/>
      <c r="G879" s="107"/>
      <c r="H879" s="105"/>
      <c r="I879" s="104"/>
      <c r="J879" s="85"/>
      <c r="K879" s="82"/>
      <c r="L879" s="82"/>
      <c r="M879" s="82"/>
      <c r="N879" s="82"/>
      <c r="O879" s="82"/>
      <c r="P879" s="82"/>
      <c r="Q879" s="82"/>
      <c r="R879" s="82"/>
    </row>
    <row r="880" spans="1:18" x14ac:dyDescent="0.25">
      <c r="A880" s="105"/>
      <c r="B880" s="106"/>
      <c r="C880" s="106"/>
      <c r="D880" s="90"/>
      <c r="E880" s="106"/>
      <c r="F880" s="105"/>
      <c r="G880" s="107"/>
      <c r="H880" s="105"/>
      <c r="I880" s="104"/>
      <c r="J880" s="85"/>
      <c r="K880" s="82"/>
      <c r="L880" s="82"/>
      <c r="M880" s="82"/>
      <c r="N880" s="82"/>
      <c r="O880" s="82"/>
      <c r="P880" s="82"/>
      <c r="Q880" s="82"/>
      <c r="R880" s="82"/>
    </row>
    <row r="881" spans="1:18" x14ac:dyDescent="0.25">
      <c r="A881" s="105"/>
      <c r="B881" s="106"/>
      <c r="C881" s="106"/>
      <c r="D881" s="90"/>
      <c r="E881" s="106"/>
      <c r="F881" s="105"/>
      <c r="G881" s="107"/>
      <c r="H881" s="105"/>
      <c r="I881" s="104"/>
      <c r="J881" s="85"/>
      <c r="K881" s="82"/>
      <c r="L881" s="82"/>
      <c r="M881" s="82"/>
      <c r="N881" s="82"/>
      <c r="O881" s="82"/>
      <c r="P881" s="82"/>
      <c r="Q881" s="82"/>
      <c r="R881" s="82"/>
    </row>
    <row r="882" spans="1:18" x14ac:dyDescent="0.25">
      <c r="A882" s="105"/>
      <c r="B882" s="106"/>
      <c r="C882" s="106"/>
      <c r="D882" s="90"/>
      <c r="E882" s="106"/>
      <c r="F882" s="105"/>
      <c r="G882" s="107"/>
      <c r="H882" s="105"/>
      <c r="I882" s="104"/>
      <c r="J882" s="85"/>
      <c r="K882" s="82"/>
      <c r="L882" s="82"/>
      <c r="M882" s="82"/>
      <c r="N882" s="82"/>
      <c r="O882" s="82"/>
      <c r="P882" s="82"/>
      <c r="Q882" s="82"/>
      <c r="R882" s="82"/>
    </row>
    <row r="883" spans="1:18" x14ac:dyDescent="0.25">
      <c r="A883" s="105"/>
      <c r="B883" s="106"/>
      <c r="C883" s="106"/>
      <c r="D883" s="90"/>
      <c r="E883" s="106"/>
      <c r="F883" s="105"/>
      <c r="G883" s="107"/>
      <c r="H883" s="105"/>
      <c r="I883" s="104"/>
      <c r="J883" s="85"/>
      <c r="K883" s="82"/>
      <c r="L883" s="82"/>
      <c r="M883" s="82"/>
      <c r="N883" s="82"/>
      <c r="O883" s="82"/>
      <c r="P883" s="82"/>
      <c r="Q883" s="82"/>
      <c r="R883" s="82"/>
    </row>
    <row r="884" spans="1:18" x14ac:dyDescent="0.25">
      <c r="A884" s="105"/>
      <c r="B884" s="106"/>
      <c r="C884" s="106"/>
      <c r="D884" s="90"/>
      <c r="E884" s="106"/>
      <c r="F884" s="105"/>
      <c r="G884" s="107"/>
      <c r="H884" s="105"/>
      <c r="I884" s="104"/>
      <c r="J884" s="85"/>
      <c r="K884" s="82"/>
      <c r="L884" s="82"/>
      <c r="M884" s="82"/>
      <c r="N884" s="82"/>
      <c r="O884" s="82"/>
      <c r="P884" s="82"/>
      <c r="Q884" s="82"/>
      <c r="R884" s="82"/>
    </row>
    <row r="885" spans="1:18" x14ac:dyDescent="0.25">
      <c r="A885" s="105"/>
      <c r="B885" s="106"/>
      <c r="C885" s="106"/>
      <c r="D885" s="90"/>
      <c r="E885" s="106"/>
      <c r="F885" s="105"/>
      <c r="G885" s="107"/>
      <c r="H885" s="105"/>
      <c r="I885" s="104"/>
      <c r="J885" s="85"/>
      <c r="K885" s="82"/>
      <c r="L885" s="82"/>
      <c r="M885" s="82"/>
      <c r="N885" s="82"/>
      <c r="O885" s="82"/>
      <c r="P885" s="82"/>
      <c r="Q885" s="82"/>
      <c r="R885" s="82"/>
    </row>
    <row r="886" spans="1:18" x14ac:dyDescent="0.25">
      <c r="A886" s="105"/>
      <c r="B886" s="106"/>
      <c r="C886" s="106"/>
      <c r="D886" s="90"/>
      <c r="E886" s="106"/>
      <c r="F886" s="105"/>
      <c r="G886" s="107"/>
      <c r="H886" s="105"/>
      <c r="I886" s="104"/>
      <c r="J886" s="85"/>
      <c r="K886" s="82"/>
      <c r="L886" s="82"/>
      <c r="M886" s="82"/>
      <c r="N886" s="82"/>
      <c r="O886" s="82"/>
      <c r="P886" s="82"/>
      <c r="Q886" s="82"/>
      <c r="R886" s="82"/>
    </row>
    <row r="887" spans="1:18" x14ac:dyDescent="0.25">
      <c r="A887" s="105"/>
      <c r="B887" s="106"/>
      <c r="C887" s="106"/>
      <c r="D887" s="90"/>
      <c r="E887" s="106"/>
      <c r="F887" s="105"/>
      <c r="G887" s="107"/>
      <c r="H887" s="105"/>
      <c r="I887" s="104"/>
      <c r="J887" s="85"/>
      <c r="K887" s="82"/>
      <c r="L887" s="82"/>
      <c r="M887" s="82"/>
      <c r="N887" s="82"/>
      <c r="O887" s="82"/>
      <c r="P887" s="82"/>
      <c r="Q887" s="82"/>
      <c r="R887" s="82"/>
    </row>
    <row r="888" spans="1:18" x14ac:dyDescent="0.25">
      <c r="A888" s="105"/>
      <c r="B888" s="106"/>
      <c r="C888" s="106"/>
      <c r="D888" s="90"/>
      <c r="E888" s="106"/>
      <c r="F888" s="105"/>
      <c r="G888" s="107"/>
      <c r="H888" s="105"/>
      <c r="I888" s="104"/>
      <c r="J888" s="85"/>
      <c r="K888" s="82"/>
      <c r="L888" s="82"/>
      <c r="M888" s="82"/>
      <c r="N888" s="82"/>
      <c r="O888" s="82"/>
      <c r="P888" s="82"/>
      <c r="Q888" s="82"/>
      <c r="R888" s="82"/>
    </row>
    <row r="889" spans="1:18" x14ac:dyDescent="0.25">
      <c r="A889" s="105"/>
      <c r="B889" s="106"/>
      <c r="C889" s="106"/>
      <c r="D889" s="90"/>
      <c r="E889" s="106"/>
      <c r="F889" s="105"/>
      <c r="G889" s="107"/>
      <c r="H889" s="105"/>
      <c r="I889" s="104"/>
      <c r="J889" s="85"/>
      <c r="K889" s="82"/>
      <c r="L889" s="82"/>
      <c r="M889" s="82"/>
      <c r="N889" s="82"/>
      <c r="O889" s="82"/>
      <c r="P889" s="82"/>
      <c r="Q889" s="82"/>
      <c r="R889" s="82"/>
    </row>
    <row r="890" spans="1:18" x14ac:dyDescent="0.25">
      <c r="A890" s="105"/>
      <c r="B890" s="106"/>
      <c r="C890" s="106"/>
      <c r="D890" s="90"/>
      <c r="E890" s="106"/>
      <c r="F890" s="105"/>
      <c r="G890" s="107"/>
      <c r="H890" s="105"/>
      <c r="I890" s="104"/>
      <c r="J890" s="85"/>
      <c r="K890" s="82"/>
      <c r="L890" s="82"/>
      <c r="M890" s="82"/>
      <c r="N890" s="82"/>
      <c r="O890" s="82"/>
      <c r="P890" s="82"/>
      <c r="Q890" s="82"/>
      <c r="R890" s="82"/>
    </row>
    <row r="891" spans="1:18" x14ac:dyDescent="0.25">
      <c r="A891" s="105"/>
      <c r="B891" s="106"/>
      <c r="C891" s="106"/>
      <c r="D891" s="90"/>
      <c r="E891" s="106"/>
      <c r="F891" s="105"/>
      <c r="G891" s="107"/>
      <c r="H891" s="105"/>
      <c r="I891" s="104"/>
      <c r="J891" s="85"/>
      <c r="K891" s="82"/>
      <c r="L891" s="82"/>
      <c r="M891" s="82"/>
      <c r="N891" s="82"/>
      <c r="O891" s="82"/>
      <c r="P891" s="82"/>
      <c r="Q891" s="82"/>
      <c r="R891" s="82"/>
    </row>
    <row r="892" spans="1:18" x14ac:dyDescent="0.25">
      <c r="A892" s="105"/>
      <c r="B892" s="106"/>
      <c r="C892" s="106"/>
      <c r="D892" s="90"/>
      <c r="E892" s="106"/>
      <c r="F892" s="105"/>
      <c r="G892" s="107"/>
      <c r="H892" s="105"/>
      <c r="I892" s="104"/>
      <c r="J892" s="85"/>
      <c r="K892" s="82"/>
      <c r="L892" s="82"/>
      <c r="M892" s="82"/>
      <c r="N892" s="82"/>
      <c r="O892" s="82"/>
      <c r="P892" s="82"/>
      <c r="Q892" s="82"/>
      <c r="R892" s="82"/>
    </row>
    <row r="893" spans="1:18" x14ac:dyDescent="0.25">
      <c r="A893" s="105"/>
      <c r="B893" s="106"/>
      <c r="C893" s="106"/>
      <c r="D893" s="90"/>
      <c r="E893" s="106"/>
      <c r="F893" s="105"/>
      <c r="G893" s="107"/>
      <c r="H893" s="105"/>
      <c r="I893" s="104"/>
      <c r="J893" s="85"/>
      <c r="K893" s="82"/>
      <c r="L893" s="82"/>
      <c r="M893" s="82"/>
      <c r="N893" s="82"/>
      <c r="O893" s="82"/>
      <c r="P893" s="82"/>
      <c r="Q893" s="82"/>
      <c r="R893" s="82"/>
    </row>
    <row r="894" spans="1:18" x14ac:dyDescent="0.25">
      <c r="A894" s="105"/>
      <c r="B894" s="106"/>
      <c r="C894" s="106"/>
      <c r="D894" s="90"/>
      <c r="E894" s="106"/>
      <c r="F894" s="105"/>
      <c r="G894" s="107"/>
      <c r="H894" s="105"/>
      <c r="I894" s="104"/>
      <c r="J894" s="85"/>
      <c r="K894" s="82"/>
      <c r="L894" s="82"/>
      <c r="M894" s="82"/>
      <c r="N894" s="82"/>
      <c r="O894" s="82"/>
      <c r="P894" s="82"/>
      <c r="Q894" s="82"/>
      <c r="R894" s="82"/>
    </row>
    <row r="895" spans="1:18" x14ac:dyDescent="0.25">
      <c r="A895" s="105"/>
      <c r="B895" s="106"/>
      <c r="C895" s="106"/>
      <c r="D895" s="90"/>
      <c r="E895" s="106"/>
      <c r="F895" s="105"/>
      <c r="G895" s="107"/>
      <c r="H895" s="105"/>
      <c r="I895" s="104"/>
      <c r="J895" s="85"/>
      <c r="K895" s="82"/>
      <c r="L895" s="82"/>
      <c r="M895" s="82"/>
      <c r="N895" s="82"/>
      <c r="O895" s="82"/>
      <c r="P895" s="82"/>
      <c r="Q895" s="82"/>
      <c r="R895" s="82"/>
    </row>
    <row r="896" spans="1:18" x14ac:dyDescent="0.25">
      <c r="A896" s="105"/>
      <c r="B896" s="106"/>
      <c r="C896" s="106"/>
      <c r="D896" s="90"/>
      <c r="E896" s="106"/>
      <c r="F896" s="105"/>
      <c r="G896" s="107"/>
      <c r="H896" s="105"/>
      <c r="I896" s="104"/>
      <c r="J896" s="85"/>
      <c r="K896" s="82"/>
      <c r="L896" s="82"/>
      <c r="M896" s="82"/>
      <c r="N896" s="82"/>
      <c r="O896" s="82"/>
      <c r="P896" s="82"/>
      <c r="Q896" s="82"/>
      <c r="R896" s="82"/>
    </row>
    <row r="897" spans="1:18" x14ac:dyDescent="0.25">
      <c r="A897" s="105"/>
      <c r="B897" s="106"/>
      <c r="C897" s="106"/>
      <c r="D897" s="90"/>
      <c r="E897" s="106"/>
      <c r="F897" s="105"/>
      <c r="G897" s="107"/>
      <c r="H897" s="105"/>
      <c r="I897" s="104"/>
      <c r="J897" s="85"/>
      <c r="K897" s="82"/>
      <c r="L897" s="82"/>
      <c r="M897" s="82"/>
      <c r="N897" s="82"/>
      <c r="O897" s="82"/>
      <c r="P897" s="82"/>
      <c r="Q897" s="82"/>
      <c r="R897" s="82"/>
    </row>
    <row r="898" spans="1:18" x14ac:dyDescent="0.25">
      <c r="A898" s="105"/>
      <c r="B898" s="106"/>
      <c r="C898" s="106"/>
      <c r="D898" s="90"/>
      <c r="E898" s="106"/>
      <c r="F898" s="105"/>
      <c r="G898" s="107"/>
      <c r="H898" s="105"/>
      <c r="I898" s="104"/>
      <c r="J898" s="85"/>
      <c r="K898" s="82"/>
      <c r="L898" s="82"/>
      <c r="M898" s="82"/>
      <c r="N898" s="82"/>
      <c r="O898" s="82"/>
      <c r="P898" s="82"/>
      <c r="Q898" s="82"/>
      <c r="R898" s="82"/>
    </row>
    <row r="899" spans="1:18" x14ac:dyDescent="0.25">
      <c r="A899" s="105"/>
      <c r="B899" s="106"/>
      <c r="C899" s="106"/>
      <c r="D899" s="90"/>
      <c r="E899" s="106"/>
      <c r="F899" s="105"/>
      <c r="G899" s="107"/>
      <c r="H899" s="105"/>
      <c r="I899" s="104"/>
      <c r="J899" s="85"/>
      <c r="K899" s="82"/>
      <c r="L899" s="82"/>
      <c r="M899" s="82"/>
      <c r="N899" s="82"/>
      <c r="O899" s="82"/>
      <c r="P899" s="82"/>
      <c r="Q899" s="82"/>
      <c r="R899" s="82"/>
    </row>
    <row r="900" spans="1:18" x14ac:dyDescent="0.25">
      <c r="A900" s="105"/>
      <c r="B900" s="106"/>
      <c r="C900" s="106"/>
      <c r="D900" s="90"/>
      <c r="E900" s="106"/>
      <c r="F900" s="105"/>
      <c r="G900" s="107"/>
      <c r="H900" s="105"/>
      <c r="I900" s="104"/>
      <c r="J900" s="85"/>
      <c r="K900" s="82"/>
      <c r="L900" s="82"/>
      <c r="M900" s="82"/>
      <c r="N900" s="82"/>
      <c r="O900" s="82"/>
      <c r="P900" s="82"/>
      <c r="Q900" s="82"/>
      <c r="R900" s="82"/>
    </row>
    <row r="901" spans="1:18" x14ac:dyDescent="0.25">
      <c r="A901" s="105"/>
      <c r="B901" s="106"/>
      <c r="C901" s="106"/>
      <c r="D901" s="90"/>
      <c r="E901" s="106"/>
      <c r="F901" s="105"/>
      <c r="G901" s="107"/>
      <c r="H901" s="105"/>
      <c r="I901" s="104"/>
      <c r="J901" s="85"/>
      <c r="K901" s="82"/>
      <c r="L901" s="82"/>
      <c r="M901" s="82"/>
      <c r="N901" s="82"/>
      <c r="O901" s="82"/>
      <c r="P901" s="82"/>
      <c r="Q901" s="82"/>
      <c r="R901" s="82"/>
    </row>
    <row r="902" spans="1:18" x14ac:dyDescent="0.25">
      <c r="A902" s="105"/>
      <c r="B902" s="106"/>
      <c r="C902" s="106"/>
      <c r="D902" s="90"/>
      <c r="E902" s="106"/>
      <c r="F902" s="105"/>
      <c r="G902" s="107"/>
      <c r="H902" s="105"/>
      <c r="I902" s="104"/>
      <c r="J902" s="85"/>
      <c r="K902" s="82"/>
      <c r="L902" s="82"/>
      <c r="M902" s="82"/>
      <c r="N902" s="82"/>
      <c r="O902" s="82"/>
      <c r="P902" s="82"/>
      <c r="Q902" s="82"/>
      <c r="R902" s="82"/>
    </row>
    <row r="903" spans="1:18" x14ac:dyDescent="0.25">
      <c r="A903" s="105"/>
      <c r="B903" s="106"/>
      <c r="C903" s="106"/>
      <c r="D903" s="90"/>
      <c r="E903" s="106"/>
      <c r="F903" s="105"/>
      <c r="G903" s="107"/>
      <c r="H903" s="105"/>
      <c r="I903" s="104"/>
      <c r="J903" s="85"/>
      <c r="K903" s="82"/>
      <c r="L903" s="82"/>
      <c r="M903" s="82"/>
      <c r="N903" s="82"/>
      <c r="O903" s="82"/>
      <c r="P903" s="82"/>
      <c r="Q903" s="82"/>
      <c r="R903" s="82"/>
    </row>
    <row r="904" spans="1:18" x14ac:dyDescent="0.25">
      <c r="A904" s="105"/>
      <c r="B904" s="106"/>
      <c r="C904" s="106"/>
      <c r="D904" s="90"/>
      <c r="E904" s="106"/>
      <c r="F904" s="105"/>
      <c r="G904" s="107"/>
      <c r="H904" s="105"/>
      <c r="I904" s="104"/>
      <c r="J904" s="85"/>
      <c r="K904" s="82"/>
      <c r="L904" s="82"/>
      <c r="M904" s="82"/>
      <c r="N904" s="82"/>
      <c r="O904" s="82"/>
      <c r="P904" s="82"/>
      <c r="Q904" s="82"/>
      <c r="R904" s="82"/>
    </row>
    <row r="905" spans="1:18" x14ac:dyDescent="0.25">
      <c r="A905" s="105"/>
      <c r="B905" s="106"/>
      <c r="C905" s="106"/>
      <c r="D905" s="90"/>
      <c r="E905" s="106"/>
      <c r="F905" s="105"/>
      <c r="G905" s="107"/>
      <c r="H905" s="105"/>
      <c r="I905" s="104"/>
      <c r="J905" s="85"/>
      <c r="K905" s="82"/>
      <c r="L905" s="82"/>
      <c r="M905" s="82"/>
      <c r="N905" s="82"/>
      <c r="O905" s="82"/>
      <c r="P905" s="82"/>
      <c r="Q905" s="82"/>
      <c r="R905" s="82"/>
    </row>
    <row r="906" spans="1:18" x14ac:dyDescent="0.25">
      <c r="A906" s="105"/>
      <c r="B906" s="106"/>
      <c r="C906" s="106"/>
      <c r="D906" s="90"/>
      <c r="E906" s="106"/>
      <c r="F906" s="105"/>
      <c r="G906" s="107"/>
      <c r="H906" s="105"/>
      <c r="I906" s="104"/>
      <c r="J906" s="85"/>
      <c r="K906" s="82"/>
      <c r="L906" s="82"/>
      <c r="M906" s="82"/>
      <c r="N906" s="82"/>
      <c r="O906" s="82"/>
      <c r="P906" s="82"/>
      <c r="Q906" s="82"/>
      <c r="R906" s="82"/>
    </row>
    <row r="907" spans="1:18" x14ac:dyDescent="0.25">
      <c r="A907" s="105"/>
      <c r="B907" s="106"/>
      <c r="C907" s="106"/>
      <c r="D907" s="90"/>
      <c r="E907" s="106"/>
      <c r="F907" s="105"/>
      <c r="G907" s="107"/>
      <c r="H907" s="105"/>
      <c r="I907" s="104"/>
      <c r="J907" s="85"/>
      <c r="K907" s="82"/>
      <c r="L907" s="82"/>
      <c r="M907" s="82"/>
      <c r="N907" s="82"/>
      <c r="O907" s="82"/>
      <c r="P907" s="82"/>
      <c r="Q907" s="82"/>
      <c r="R907" s="82"/>
    </row>
    <row r="908" spans="1:18" x14ac:dyDescent="0.25">
      <c r="A908" s="105"/>
      <c r="B908" s="106"/>
      <c r="C908" s="106"/>
      <c r="D908" s="90"/>
      <c r="E908" s="106"/>
      <c r="F908" s="105"/>
      <c r="G908" s="107"/>
      <c r="H908" s="105"/>
      <c r="I908" s="104"/>
      <c r="J908" s="85"/>
      <c r="K908" s="82"/>
      <c r="L908" s="82"/>
      <c r="M908" s="82"/>
      <c r="N908" s="82"/>
      <c r="O908" s="82"/>
      <c r="P908" s="82"/>
      <c r="Q908" s="82"/>
      <c r="R908" s="82"/>
    </row>
    <row r="909" spans="1:18" x14ac:dyDescent="0.25">
      <c r="A909" s="105"/>
      <c r="B909" s="106"/>
      <c r="C909" s="106"/>
      <c r="D909" s="90"/>
      <c r="E909" s="106"/>
      <c r="F909" s="105"/>
      <c r="G909" s="107"/>
      <c r="H909" s="105"/>
      <c r="I909" s="104"/>
      <c r="J909" s="85"/>
      <c r="K909" s="82"/>
      <c r="L909" s="82"/>
      <c r="M909" s="82"/>
      <c r="N909" s="82"/>
      <c r="O909" s="82"/>
      <c r="P909" s="82"/>
      <c r="Q909" s="82"/>
      <c r="R909" s="82"/>
    </row>
    <row r="910" spans="1:18" x14ac:dyDescent="0.25">
      <c r="A910" s="105"/>
      <c r="B910" s="106"/>
      <c r="C910" s="106"/>
      <c r="D910" s="90"/>
      <c r="E910" s="106"/>
      <c r="F910" s="105"/>
      <c r="G910" s="107"/>
      <c r="H910" s="105"/>
      <c r="I910" s="104"/>
      <c r="J910" s="85"/>
      <c r="K910" s="82"/>
      <c r="L910" s="82"/>
      <c r="M910" s="82"/>
      <c r="N910" s="82"/>
      <c r="O910" s="82"/>
      <c r="P910" s="82"/>
      <c r="Q910" s="82"/>
      <c r="R910" s="82"/>
    </row>
    <row r="911" spans="1:18" x14ac:dyDescent="0.25">
      <c r="A911" s="105"/>
      <c r="B911" s="106"/>
      <c r="C911" s="106"/>
      <c r="D911" s="90"/>
      <c r="E911" s="106"/>
      <c r="F911" s="105"/>
      <c r="G911" s="107"/>
      <c r="H911" s="105"/>
      <c r="I911" s="104"/>
      <c r="J911" s="85"/>
      <c r="K911" s="82"/>
      <c r="L911" s="82"/>
      <c r="M911" s="82"/>
      <c r="N911" s="82"/>
      <c r="O911" s="82"/>
      <c r="P911" s="82"/>
      <c r="Q911" s="82"/>
      <c r="R911" s="82"/>
    </row>
    <row r="912" spans="1:18" x14ac:dyDescent="0.25">
      <c r="A912" s="105"/>
      <c r="B912" s="106"/>
      <c r="C912" s="106"/>
      <c r="D912" s="90"/>
      <c r="E912" s="106"/>
      <c r="F912" s="105"/>
      <c r="G912" s="107"/>
      <c r="H912" s="105"/>
      <c r="I912" s="104"/>
      <c r="J912" s="85"/>
      <c r="K912" s="82"/>
      <c r="L912" s="82"/>
      <c r="M912" s="82"/>
      <c r="N912" s="82"/>
      <c r="O912" s="82"/>
      <c r="P912" s="82"/>
      <c r="Q912" s="82"/>
      <c r="R912" s="82"/>
    </row>
    <row r="913" spans="1:18" x14ac:dyDescent="0.25">
      <c r="A913" s="105"/>
      <c r="B913" s="106"/>
      <c r="C913" s="106"/>
      <c r="D913" s="90"/>
      <c r="E913" s="106"/>
      <c r="F913" s="105"/>
      <c r="G913" s="107"/>
      <c r="H913" s="105"/>
      <c r="I913" s="104"/>
      <c r="J913" s="85"/>
      <c r="K913" s="82"/>
      <c r="L913" s="82"/>
      <c r="M913" s="82"/>
      <c r="N913" s="82"/>
      <c r="O913" s="82"/>
      <c r="P913" s="82"/>
      <c r="Q913" s="82"/>
      <c r="R913" s="82"/>
    </row>
    <row r="914" spans="1:18" x14ac:dyDescent="0.25">
      <c r="A914" s="105"/>
      <c r="B914" s="106"/>
      <c r="C914" s="106"/>
      <c r="D914" s="90"/>
      <c r="E914" s="106"/>
      <c r="F914" s="105"/>
      <c r="G914" s="107"/>
      <c r="H914" s="105"/>
      <c r="I914" s="104"/>
      <c r="J914" s="85"/>
      <c r="K914" s="82"/>
      <c r="L914" s="82"/>
      <c r="M914" s="82"/>
      <c r="N914" s="82"/>
      <c r="O914" s="82"/>
      <c r="P914" s="82"/>
      <c r="Q914" s="82"/>
      <c r="R914" s="82"/>
    </row>
    <row r="915" spans="1:18" x14ac:dyDescent="0.25">
      <c r="A915" s="105"/>
      <c r="B915" s="106"/>
      <c r="C915" s="106"/>
      <c r="D915" s="90"/>
      <c r="E915" s="106"/>
      <c r="F915" s="105"/>
      <c r="G915" s="107"/>
      <c r="H915" s="105"/>
      <c r="I915" s="104"/>
      <c r="J915" s="85"/>
      <c r="K915" s="82"/>
      <c r="L915" s="82"/>
      <c r="M915" s="82"/>
      <c r="N915" s="82"/>
      <c r="O915" s="82"/>
      <c r="P915" s="82"/>
      <c r="Q915" s="82"/>
      <c r="R915" s="82"/>
    </row>
    <row r="916" spans="1:18" x14ac:dyDescent="0.25">
      <c r="A916" s="105"/>
      <c r="B916" s="106"/>
      <c r="C916" s="106"/>
      <c r="D916" s="90"/>
      <c r="E916" s="106"/>
      <c r="F916" s="105"/>
      <c r="G916" s="107"/>
      <c r="H916" s="105"/>
      <c r="I916" s="104"/>
      <c r="J916" s="85"/>
      <c r="K916" s="82"/>
      <c r="L916" s="82"/>
      <c r="M916" s="82"/>
      <c r="N916" s="82"/>
      <c r="O916" s="82"/>
      <c r="P916" s="82"/>
      <c r="Q916" s="82"/>
      <c r="R916" s="82"/>
    </row>
    <row r="917" spans="1:18" x14ac:dyDescent="0.25">
      <c r="A917" s="105"/>
      <c r="B917" s="106"/>
      <c r="C917" s="106"/>
      <c r="D917" s="90"/>
      <c r="E917" s="106"/>
      <c r="F917" s="105"/>
      <c r="G917" s="107"/>
      <c r="H917" s="105"/>
      <c r="I917" s="104"/>
      <c r="J917" s="85"/>
      <c r="K917" s="82"/>
      <c r="L917" s="82"/>
      <c r="M917" s="82"/>
      <c r="N917" s="82"/>
      <c r="O917" s="82"/>
      <c r="P917" s="82"/>
      <c r="Q917" s="82"/>
      <c r="R917" s="82"/>
    </row>
    <row r="918" spans="1:18" x14ac:dyDescent="0.25">
      <c r="A918" s="105"/>
      <c r="B918" s="106"/>
      <c r="C918" s="106"/>
      <c r="D918" s="90"/>
      <c r="E918" s="106"/>
      <c r="F918" s="105"/>
      <c r="G918" s="107"/>
      <c r="H918" s="105"/>
      <c r="I918" s="104"/>
      <c r="J918" s="85"/>
      <c r="K918" s="82"/>
      <c r="L918" s="82"/>
      <c r="M918" s="82"/>
      <c r="N918" s="82"/>
      <c r="O918" s="82"/>
      <c r="P918" s="82"/>
      <c r="Q918" s="82"/>
      <c r="R918" s="82"/>
    </row>
    <row r="919" spans="1:18" x14ac:dyDescent="0.25">
      <c r="A919" s="105"/>
      <c r="B919" s="106"/>
      <c r="C919" s="106"/>
      <c r="D919" s="90"/>
      <c r="E919" s="106"/>
      <c r="F919" s="105"/>
      <c r="G919" s="107"/>
      <c r="H919" s="105"/>
      <c r="I919" s="104"/>
      <c r="J919" s="85"/>
      <c r="K919" s="82"/>
      <c r="L919" s="82"/>
      <c r="M919" s="82"/>
      <c r="N919" s="82"/>
      <c r="O919" s="82"/>
      <c r="P919" s="82"/>
      <c r="Q919" s="82"/>
      <c r="R919" s="82"/>
    </row>
    <row r="920" spans="1:18" x14ac:dyDescent="0.25">
      <c r="A920" s="105"/>
      <c r="B920" s="106"/>
      <c r="C920" s="106"/>
      <c r="D920" s="90"/>
      <c r="E920" s="106"/>
      <c r="F920" s="105"/>
      <c r="G920" s="107"/>
      <c r="H920" s="105"/>
      <c r="I920" s="104"/>
      <c r="J920" s="85"/>
      <c r="K920" s="82"/>
      <c r="L920" s="82"/>
      <c r="M920" s="82"/>
      <c r="N920" s="82"/>
      <c r="O920" s="82"/>
      <c r="P920" s="82"/>
      <c r="Q920" s="82"/>
      <c r="R920" s="82"/>
    </row>
    <row r="921" spans="1:18" x14ac:dyDescent="0.25">
      <c r="A921" s="105"/>
      <c r="B921" s="106"/>
      <c r="C921" s="106"/>
      <c r="D921" s="90"/>
      <c r="E921" s="106"/>
      <c r="F921" s="105"/>
      <c r="G921" s="107"/>
      <c r="H921" s="105"/>
      <c r="I921" s="104"/>
      <c r="J921" s="85"/>
      <c r="K921" s="82"/>
      <c r="L921" s="82"/>
      <c r="M921" s="82"/>
      <c r="N921" s="82"/>
      <c r="O921" s="82"/>
      <c r="P921" s="82"/>
      <c r="Q921" s="82"/>
      <c r="R921" s="82"/>
    </row>
    <row r="922" spans="1:18" x14ac:dyDescent="0.25">
      <c r="A922" s="105"/>
      <c r="B922" s="106"/>
      <c r="C922" s="106"/>
      <c r="D922" s="90"/>
      <c r="E922" s="106"/>
      <c r="F922" s="105"/>
      <c r="G922" s="107"/>
      <c r="H922" s="105"/>
      <c r="I922" s="104"/>
      <c r="J922" s="85"/>
      <c r="K922" s="82"/>
      <c r="L922" s="82"/>
      <c r="M922" s="82"/>
      <c r="N922" s="82"/>
      <c r="O922" s="82"/>
      <c r="P922" s="82"/>
      <c r="Q922" s="82"/>
      <c r="R922" s="82"/>
    </row>
    <row r="923" spans="1:18" x14ac:dyDescent="0.25">
      <c r="A923" s="105"/>
      <c r="B923" s="106"/>
      <c r="C923" s="106"/>
      <c r="D923" s="90"/>
      <c r="E923" s="106"/>
      <c r="F923" s="105"/>
      <c r="G923" s="107"/>
      <c r="H923" s="105"/>
      <c r="I923" s="104"/>
      <c r="J923" s="85"/>
      <c r="K923" s="82"/>
      <c r="L923" s="82"/>
      <c r="M923" s="82"/>
      <c r="N923" s="82"/>
      <c r="O923" s="82"/>
      <c r="P923" s="82"/>
      <c r="Q923" s="82"/>
      <c r="R923" s="82"/>
    </row>
    <row r="924" spans="1:18" x14ac:dyDescent="0.25">
      <c r="A924" s="105"/>
      <c r="B924" s="106"/>
      <c r="C924" s="106"/>
      <c r="D924" s="90"/>
      <c r="E924" s="106"/>
      <c r="F924" s="105"/>
      <c r="G924" s="107"/>
      <c r="H924" s="105"/>
      <c r="I924" s="104"/>
      <c r="J924" s="85"/>
      <c r="K924" s="82"/>
      <c r="L924" s="82"/>
      <c r="M924" s="82"/>
      <c r="N924" s="82"/>
      <c r="O924" s="82"/>
      <c r="P924" s="82"/>
      <c r="Q924" s="82"/>
      <c r="R924" s="82"/>
    </row>
    <row r="925" spans="1:18" x14ac:dyDescent="0.25">
      <c r="A925" s="105"/>
      <c r="B925" s="106"/>
      <c r="C925" s="106"/>
      <c r="D925" s="90"/>
      <c r="E925" s="106"/>
      <c r="F925" s="105"/>
      <c r="G925" s="107"/>
      <c r="H925" s="105"/>
      <c r="I925" s="104"/>
      <c r="J925" s="85"/>
      <c r="K925" s="82"/>
      <c r="L925" s="82"/>
      <c r="M925" s="82"/>
      <c r="N925" s="82"/>
      <c r="O925" s="82"/>
      <c r="P925" s="82"/>
      <c r="Q925" s="82"/>
      <c r="R925" s="82"/>
    </row>
    <row r="926" spans="1:18" x14ac:dyDescent="0.25">
      <c r="A926" s="105"/>
      <c r="B926" s="106"/>
      <c r="C926" s="106"/>
      <c r="D926" s="90"/>
      <c r="E926" s="106"/>
      <c r="F926" s="105"/>
      <c r="G926" s="107"/>
      <c r="H926" s="105"/>
      <c r="I926" s="104"/>
      <c r="J926" s="85"/>
      <c r="K926" s="82"/>
      <c r="L926" s="82"/>
      <c r="M926" s="82"/>
      <c r="N926" s="82"/>
      <c r="O926" s="82"/>
      <c r="P926" s="82"/>
      <c r="Q926" s="82"/>
      <c r="R926" s="82"/>
    </row>
    <row r="927" spans="1:18" x14ac:dyDescent="0.25">
      <c r="A927" s="105"/>
      <c r="B927" s="106"/>
      <c r="C927" s="106"/>
      <c r="D927" s="90"/>
      <c r="E927" s="106"/>
      <c r="F927" s="105"/>
      <c r="G927" s="107"/>
      <c r="H927" s="105"/>
      <c r="I927" s="104"/>
      <c r="J927" s="85"/>
      <c r="K927" s="82"/>
      <c r="L927" s="82"/>
      <c r="M927" s="82"/>
      <c r="N927" s="82"/>
      <c r="O927" s="82"/>
      <c r="P927" s="82"/>
      <c r="Q927" s="82"/>
      <c r="R927" s="82"/>
    </row>
    <row r="928" spans="1:18" x14ac:dyDescent="0.25">
      <c r="A928" s="105"/>
      <c r="B928" s="106"/>
      <c r="C928" s="106"/>
      <c r="D928" s="90"/>
      <c r="E928" s="106"/>
      <c r="F928" s="105"/>
      <c r="G928" s="107"/>
      <c r="H928" s="105"/>
      <c r="I928" s="104"/>
      <c r="J928" s="85"/>
      <c r="K928" s="82"/>
      <c r="L928" s="82"/>
      <c r="M928" s="82"/>
      <c r="N928" s="82"/>
      <c r="O928" s="82"/>
      <c r="P928" s="82"/>
      <c r="Q928" s="82"/>
      <c r="R928" s="82"/>
    </row>
    <row r="929" spans="1:18" x14ac:dyDescent="0.25">
      <c r="A929" s="105"/>
      <c r="B929" s="106"/>
      <c r="C929" s="106"/>
      <c r="D929" s="90"/>
      <c r="E929" s="106"/>
      <c r="F929" s="105"/>
      <c r="G929" s="107"/>
      <c r="H929" s="105"/>
      <c r="I929" s="104"/>
      <c r="J929" s="85"/>
      <c r="K929" s="82"/>
      <c r="L929" s="82"/>
      <c r="M929" s="82"/>
      <c r="N929" s="82"/>
      <c r="O929" s="82"/>
      <c r="P929" s="82"/>
      <c r="Q929" s="82"/>
      <c r="R929" s="82"/>
    </row>
    <row r="930" spans="1:18" x14ac:dyDescent="0.25">
      <c r="A930" s="105"/>
      <c r="B930" s="106"/>
      <c r="C930" s="106"/>
      <c r="D930" s="90"/>
      <c r="E930" s="106"/>
      <c r="F930" s="105"/>
      <c r="G930" s="107"/>
      <c r="H930" s="105"/>
      <c r="I930" s="104"/>
      <c r="J930" s="85"/>
      <c r="K930" s="82"/>
      <c r="L930" s="82"/>
      <c r="M930" s="82"/>
      <c r="N930" s="82"/>
      <c r="O930" s="82"/>
      <c r="P930" s="82"/>
      <c r="Q930" s="82"/>
      <c r="R930" s="82"/>
    </row>
    <row r="931" spans="1:18" x14ac:dyDescent="0.25">
      <c r="A931" s="105"/>
      <c r="B931" s="106"/>
      <c r="C931" s="106"/>
      <c r="D931" s="90"/>
      <c r="E931" s="106"/>
      <c r="F931" s="105"/>
      <c r="G931" s="107"/>
      <c r="H931" s="105"/>
      <c r="I931" s="104"/>
      <c r="J931" s="85"/>
      <c r="K931" s="82"/>
      <c r="L931" s="82"/>
      <c r="M931" s="82"/>
      <c r="N931" s="82"/>
      <c r="O931" s="82"/>
      <c r="P931" s="82"/>
      <c r="Q931" s="82"/>
      <c r="R931" s="82"/>
    </row>
    <row r="932" spans="1:18" x14ac:dyDescent="0.25">
      <c r="A932" s="105"/>
      <c r="B932" s="106"/>
      <c r="C932" s="106"/>
      <c r="D932" s="90"/>
      <c r="E932" s="106"/>
      <c r="F932" s="105"/>
      <c r="G932" s="107"/>
      <c r="H932" s="105"/>
      <c r="I932" s="104"/>
      <c r="J932" s="85"/>
      <c r="K932" s="82"/>
      <c r="L932" s="82"/>
      <c r="M932" s="82"/>
      <c r="N932" s="82"/>
      <c r="O932" s="82"/>
      <c r="P932" s="82"/>
      <c r="Q932" s="82"/>
      <c r="R932" s="82"/>
    </row>
    <row r="933" spans="1:18" x14ac:dyDescent="0.25">
      <c r="A933" s="105"/>
      <c r="B933" s="106"/>
      <c r="C933" s="106"/>
      <c r="D933" s="90"/>
      <c r="E933" s="106"/>
      <c r="F933" s="105"/>
      <c r="G933" s="107"/>
      <c r="H933" s="105"/>
      <c r="I933" s="104"/>
      <c r="J933" s="85"/>
      <c r="K933" s="82"/>
      <c r="L933" s="82"/>
      <c r="M933" s="82"/>
      <c r="N933" s="82"/>
      <c r="O933" s="82"/>
      <c r="P933" s="82"/>
      <c r="Q933" s="82"/>
      <c r="R933" s="82"/>
    </row>
    <row r="934" spans="1:18" x14ac:dyDescent="0.25">
      <c r="A934" s="105"/>
      <c r="B934" s="106"/>
      <c r="C934" s="106"/>
      <c r="D934" s="90"/>
      <c r="E934" s="106"/>
      <c r="F934" s="105"/>
      <c r="G934" s="107"/>
      <c r="H934" s="105"/>
      <c r="I934" s="104"/>
      <c r="J934" s="85"/>
      <c r="K934" s="82"/>
      <c r="L934" s="82"/>
      <c r="M934" s="82"/>
      <c r="N934" s="82"/>
      <c r="O934" s="82"/>
      <c r="P934" s="82"/>
      <c r="Q934" s="82"/>
      <c r="R934" s="82"/>
    </row>
    <row r="935" spans="1:18" x14ac:dyDescent="0.25">
      <c r="A935" s="105"/>
      <c r="B935" s="106"/>
      <c r="C935" s="106"/>
      <c r="D935" s="90"/>
      <c r="E935" s="106"/>
      <c r="F935" s="105"/>
      <c r="G935" s="107"/>
      <c r="H935" s="105"/>
      <c r="I935" s="104"/>
      <c r="J935" s="85"/>
      <c r="K935" s="82"/>
      <c r="L935" s="82"/>
      <c r="M935" s="82"/>
      <c r="N935" s="82"/>
      <c r="O935" s="82"/>
      <c r="P935" s="82"/>
      <c r="Q935" s="82"/>
      <c r="R935" s="82"/>
    </row>
    <row r="936" spans="1:18" x14ac:dyDescent="0.25">
      <c r="A936" s="105"/>
      <c r="B936" s="106"/>
      <c r="C936" s="106"/>
      <c r="D936" s="90"/>
      <c r="E936" s="106"/>
      <c r="F936" s="105"/>
      <c r="G936" s="107"/>
      <c r="H936" s="105"/>
      <c r="I936" s="104"/>
      <c r="J936" s="85"/>
      <c r="K936" s="82"/>
      <c r="L936" s="82"/>
      <c r="M936" s="82"/>
      <c r="N936" s="82"/>
      <c r="O936" s="82"/>
      <c r="P936" s="82"/>
      <c r="Q936" s="82"/>
      <c r="R936" s="82"/>
    </row>
    <row r="937" spans="1:18" x14ac:dyDescent="0.25">
      <c r="A937" s="105"/>
      <c r="B937" s="106"/>
      <c r="C937" s="106"/>
      <c r="D937" s="90"/>
      <c r="E937" s="106"/>
      <c r="F937" s="105"/>
      <c r="G937" s="107"/>
      <c r="H937" s="105"/>
      <c r="I937" s="104"/>
      <c r="J937" s="85"/>
      <c r="K937" s="82"/>
      <c r="L937" s="82"/>
      <c r="M937" s="82"/>
      <c r="N937" s="82"/>
      <c r="O937" s="82"/>
      <c r="P937" s="82"/>
      <c r="Q937" s="82"/>
      <c r="R937" s="82"/>
    </row>
    <row r="938" spans="1:18" x14ac:dyDescent="0.25">
      <c r="A938" s="105"/>
      <c r="B938" s="106"/>
      <c r="C938" s="106"/>
      <c r="D938" s="90"/>
      <c r="E938" s="106"/>
      <c r="F938" s="105"/>
      <c r="G938" s="107"/>
      <c r="H938" s="105"/>
      <c r="I938" s="104"/>
      <c r="J938" s="85"/>
      <c r="K938" s="82"/>
      <c r="L938" s="82"/>
      <c r="M938" s="82"/>
      <c r="N938" s="82"/>
      <c r="O938" s="82"/>
      <c r="P938" s="82"/>
      <c r="Q938" s="82"/>
      <c r="R938" s="82"/>
    </row>
    <row r="939" spans="1:18" x14ac:dyDescent="0.25">
      <c r="A939" s="105"/>
      <c r="B939" s="106"/>
      <c r="C939" s="106"/>
      <c r="D939" s="90"/>
      <c r="E939" s="106"/>
      <c r="F939" s="105"/>
      <c r="G939" s="107"/>
      <c r="H939" s="105"/>
      <c r="I939" s="104"/>
      <c r="J939" s="85"/>
      <c r="K939" s="82"/>
      <c r="L939" s="82"/>
      <c r="M939" s="82"/>
      <c r="N939" s="82"/>
      <c r="O939" s="82"/>
      <c r="P939" s="82"/>
      <c r="Q939" s="82"/>
      <c r="R939" s="82"/>
    </row>
    <row r="940" spans="1:18" x14ac:dyDescent="0.25">
      <c r="A940" s="105"/>
      <c r="B940" s="106"/>
      <c r="C940" s="106"/>
      <c r="D940" s="90"/>
      <c r="E940" s="106"/>
      <c r="F940" s="105"/>
      <c r="G940" s="107"/>
      <c r="H940" s="105"/>
      <c r="I940" s="104"/>
      <c r="J940" s="85"/>
      <c r="K940" s="82"/>
      <c r="L940" s="82"/>
      <c r="M940" s="82"/>
      <c r="N940" s="82"/>
      <c r="O940" s="82"/>
      <c r="P940" s="82"/>
      <c r="Q940" s="82"/>
      <c r="R940" s="82"/>
    </row>
    <row r="941" spans="1:18" x14ac:dyDescent="0.25">
      <c r="A941" s="105"/>
      <c r="B941" s="106"/>
      <c r="C941" s="106"/>
      <c r="D941" s="90"/>
      <c r="E941" s="106"/>
      <c r="F941" s="105"/>
      <c r="G941" s="107"/>
      <c r="H941" s="105"/>
      <c r="I941" s="104"/>
      <c r="J941" s="85"/>
      <c r="K941" s="82"/>
      <c r="L941" s="82"/>
      <c r="M941" s="82"/>
      <c r="N941" s="82"/>
      <c r="O941" s="82"/>
      <c r="P941" s="82"/>
      <c r="Q941" s="82"/>
      <c r="R941" s="82"/>
    </row>
    <row r="942" spans="1:18" x14ac:dyDescent="0.25">
      <c r="A942" s="105"/>
      <c r="B942" s="106"/>
      <c r="C942" s="106"/>
      <c r="D942" s="90"/>
      <c r="E942" s="106"/>
      <c r="F942" s="105"/>
      <c r="G942" s="107"/>
      <c r="H942" s="105"/>
      <c r="I942" s="104"/>
      <c r="J942" s="85"/>
      <c r="K942" s="82"/>
      <c r="L942" s="82"/>
      <c r="M942" s="82"/>
      <c r="N942" s="82"/>
      <c r="O942" s="82"/>
      <c r="P942" s="82"/>
      <c r="Q942" s="82"/>
      <c r="R942" s="82"/>
    </row>
    <row r="943" spans="1:18" x14ac:dyDescent="0.25">
      <c r="A943" s="105"/>
      <c r="B943" s="106"/>
      <c r="C943" s="106"/>
      <c r="D943" s="90"/>
      <c r="E943" s="106"/>
      <c r="F943" s="105"/>
      <c r="G943" s="107"/>
      <c r="H943" s="105"/>
      <c r="I943" s="104"/>
      <c r="J943" s="85"/>
      <c r="K943" s="82"/>
      <c r="L943" s="82"/>
      <c r="M943" s="82"/>
      <c r="N943" s="82"/>
      <c r="O943" s="82"/>
      <c r="P943" s="82"/>
      <c r="Q943" s="82"/>
      <c r="R943" s="82"/>
    </row>
    <row r="944" spans="1:18" x14ac:dyDescent="0.25">
      <c r="A944" s="105"/>
      <c r="B944" s="106"/>
      <c r="C944" s="106"/>
      <c r="D944" s="90"/>
      <c r="E944" s="106"/>
      <c r="F944" s="105"/>
      <c r="G944" s="107"/>
      <c r="H944" s="105"/>
      <c r="I944" s="104"/>
      <c r="J944" s="85"/>
      <c r="K944" s="82"/>
      <c r="L944" s="82"/>
      <c r="M944" s="82"/>
      <c r="N944" s="82"/>
      <c r="O944" s="82"/>
      <c r="P944" s="82"/>
      <c r="Q944" s="82"/>
      <c r="R944" s="82"/>
    </row>
    <row r="945" spans="1:18" x14ac:dyDescent="0.25">
      <c r="A945" s="105"/>
      <c r="B945" s="106"/>
      <c r="C945" s="106"/>
      <c r="D945" s="90"/>
      <c r="E945" s="106"/>
      <c r="F945" s="105"/>
      <c r="G945" s="107"/>
      <c r="H945" s="105"/>
      <c r="I945" s="104"/>
      <c r="J945" s="85"/>
      <c r="K945" s="82"/>
      <c r="L945" s="82"/>
      <c r="M945" s="82"/>
      <c r="N945" s="82"/>
      <c r="O945" s="82"/>
      <c r="P945" s="82"/>
      <c r="Q945" s="82"/>
      <c r="R945" s="82"/>
    </row>
    <row r="946" spans="1:18" x14ac:dyDescent="0.25">
      <c r="A946" s="105"/>
      <c r="B946" s="106"/>
      <c r="C946" s="106"/>
      <c r="D946" s="90"/>
      <c r="E946" s="106"/>
      <c r="F946" s="105"/>
      <c r="G946" s="107"/>
      <c r="H946" s="105"/>
      <c r="I946" s="104"/>
      <c r="J946" s="85"/>
      <c r="K946" s="82"/>
      <c r="L946" s="82"/>
      <c r="M946" s="82"/>
      <c r="N946" s="82"/>
      <c r="O946" s="82"/>
      <c r="P946" s="82"/>
      <c r="Q946" s="82"/>
      <c r="R946" s="82"/>
    </row>
    <row r="947" spans="1:18" x14ac:dyDescent="0.25">
      <c r="A947" s="105"/>
      <c r="B947" s="106"/>
      <c r="C947" s="106"/>
      <c r="D947" s="90"/>
      <c r="E947" s="106"/>
      <c r="F947" s="105"/>
      <c r="G947" s="107"/>
      <c r="H947" s="105"/>
      <c r="I947" s="104"/>
      <c r="J947" s="85"/>
      <c r="K947" s="82"/>
      <c r="L947" s="82"/>
      <c r="M947" s="82"/>
      <c r="N947" s="82"/>
      <c r="O947" s="82"/>
      <c r="P947" s="82"/>
      <c r="Q947" s="82"/>
      <c r="R947" s="82"/>
    </row>
    <row r="948" spans="1:18" x14ac:dyDescent="0.25">
      <c r="A948" s="105"/>
      <c r="B948" s="106"/>
      <c r="C948" s="106"/>
      <c r="D948" s="90"/>
      <c r="E948" s="106"/>
      <c r="F948" s="105"/>
      <c r="G948" s="107"/>
      <c r="H948" s="105"/>
      <c r="I948" s="104"/>
      <c r="J948" s="85"/>
      <c r="K948" s="82"/>
      <c r="L948" s="82"/>
      <c r="M948" s="82"/>
      <c r="N948" s="82"/>
      <c r="O948" s="82"/>
      <c r="P948" s="82"/>
      <c r="Q948" s="82"/>
      <c r="R948" s="82"/>
    </row>
    <row r="949" spans="1:18" x14ac:dyDescent="0.25">
      <c r="A949" s="105"/>
      <c r="B949" s="106"/>
      <c r="C949" s="106"/>
      <c r="D949" s="90"/>
      <c r="E949" s="106"/>
      <c r="F949" s="105"/>
      <c r="G949" s="107"/>
      <c r="H949" s="105"/>
      <c r="I949" s="104"/>
      <c r="J949" s="85"/>
      <c r="K949" s="82"/>
      <c r="L949" s="82"/>
      <c r="M949" s="82"/>
      <c r="N949" s="82"/>
      <c r="O949" s="82"/>
      <c r="P949" s="82"/>
      <c r="Q949" s="82"/>
      <c r="R949" s="82"/>
    </row>
    <row r="950" spans="1:18" x14ac:dyDescent="0.25">
      <c r="A950" s="105"/>
      <c r="B950" s="106"/>
      <c r="C950" s="106"/>
      <c r="D950" s="90"/>
      <c r="E950" s="106"/>
      <c r="F950" s="105"/>
      <c r="G950" s="107"/>
      <c r="H950" s="105"/>
      <c r="I950" s="104"/>
      <c r="J950" s="85"/>
      <c r="K950" s="82"/>
      <c r="L950" s="82"/>
      <c r="M950" s="82"/>
      <c r="N950" s="82"/>
      <c r="O950" s="82"/>
      <c r="P950" s="82"/>
      <c r="Q950" s="82"/>
      <c r="R950" s="82"/>
    </row>
    <row r="951" spans="1:18" x14ac:dyDescent="0.25">
      <c r="A951" s="105"/>
      <c r="B951" s="106"/>
      <c r="C951" s="106"/>
      <c r="D951" s="90"/>
      <c r="E951" s="106"/>
      <c r="F951" s="105"/>
      <c r="G951" s="107"/>
      <c r="H951" s="105"/>
      <c r="I951" s="104"/>
      <c r="J951" s="85"/>
      <c r="K951" s="82"/>
      <c r="L951" s="82"/>
      <c r="M951" s="82"/>
      <c r="N951" s="82"/>
      <c r="O951" s="82"/>
      <c r="P951" s="82"/>
      <c r="Q951" s="82"/>
      <c r="R951" s="82"/>
    </row>
    <row r="952" spans="1:18" x14ac:dyDescent="0.25">
      <c r="A952" s="105"/>
      <c r="B952" s="106"/>
      <c r="C952" s="106"/>
      <c r="D952" s="90"/>
      <c r="E952" s="106"/>
      <c r="F952" s="105"/>
      <c r="G952" s="107"/>
      <c r="H952" s="105"/>
      <c r="I952" s="104"/>
      <c r="J952" s="85"/>
      <c r="K952" s="82"/>
      <c r="L952" s="82"/>
      <c r="M952" s="82"/>
      <c r="N952" s="82"/>
      <c r="O952" s="82"/>
      <c r="P952" s="82"/>
      <c r="Q952" s="82"/>
      <c r="R952" s="82"/>
    </row>
    <row r="953" spans="1:18" x14ac:dyDescent="0.25">
      <c r="A953" s="105"/>
      <c r="B953" s="106"/>
      <c r="C953" s="106"/>
      <c r="D953" s="90"/>
      <c r="E953" s="106"/>
      <c r="F953" s="105"/>
      <c r="G953" s="107"/>
      <c r="H953" s="105"/>
      <c r="I953" s="104"/>
      <c r="J953" s="85"/>
      <c r="K953" s="82"/>
      <c r="L953" s="82"/>
      <c r="M953" s="82"/>
      <c r="N953" s="82"/>
      <c r="O953" s="82"/>
      <c r="P953" s="82"/>
      <c r="Q953" s="82"/>
      <c r="R953" s="82"/>
    </row>
    <row r="954" spans="1:18" x14ac:dyDescent="0.25">
      <c r="A954" s="105"/>
      <c r="B954" s="106"/>
      <c r="C954" s="106"/>
      <c r="D954" s="90"/>
      <c r="E954" s="106"/>
      <c r="F954" s="105"/>
      <c r="G954" s="107"/>
      <c r="H954" s="105"/>
      <c r="I954" s="104"/>
      <c r="J954" s="85"/>
      <c r="K954" s="82"/>
      <c r="L954" s="82"/>
      <c r="M954" s="82"/>
      <c r="N954" s="82"/>
      <c r="O954" s="82"/>
      <c r="P954" s="82"/>
      <c r="Q954" s="82"/>
      <c r="R954" s="82"/>
    </row>
    <row r="955" spans="1:18" x14ac:dyDescent="0.25">
      <c r="A955" s="105"/>
      <c r="B955" s="106"/>
      <c r="C955" s="106"/>
      <c r="D955" s="90"/>
      <c r="E955" s="106"/>
      <c r="F955" s="105"/>
      <c r="G955" s="107"/>
      <c r="H955" s="105"/>
      <c r="I955" s="104"/>
      <c r="J955" s="85"/>
      <c r="K955" s="82"/>
      <c r="L955" s="82"/>
      <c r="M955" s="82"/>
      <c r="N955" s="82"/>
      <c r="O955" s="82"/>
      <c r="P955" s="82"/>
      <c r="Q955" s="82"/>
      <c r="R955" s="82"/>
    </row>
    <row r="956" spans="1:18" x14ac:dyDescent="0.25">
      <c r="A956" s="105"/>
      <c r="B956" s="106"/>
      <c r="C956" s="106"/>
      <c r="D956" s="90"/>
      <c r="E956" s="106"/>
      <c r="F956" s="105"/>
      <c r="G956" s="107"/>
      <c r="H956" s="105"/>
      <c r="I956" s="104"/>
      <c r="J956" s="85"/>
      <c r="K956" s="82"/>
      <c r="L956" s="82"/>
      <c r="M956" s="82"/>
      <c r="N956" s="82"/>
      <c r="O956" s="82"/>
      <c r="P956" s="82"/>
      <c r="Q956" s="82"/>
      <c r="R956" s="82"/>
    </row>
    <row r="957" spans="1:18" x14ac:dyDescent="0.25">
      <c r="A957" s="105"/>
      <c r="B957" s="106"/>
      <c r="C957" s="106"/>
      <c r="D957" s="90"/>
      <c r="E957" s="106"/>
      <c r="F957" s="105"/>
      <c r="G957" s="107"/>
      <c r="H957" s="105"/>
      <c r="I957" s="104"/>
      <c r="J957" s="85"/>
      <c r="K957" s="82"/>
      <c r="L957" s="82"/>
      <c r="M957" s="82"/>
      <c r="N957" s="82"/>
      <c r="O957" s="82"/>
      <c r="P957" s="82"/>
      <c r="Q957" s="82"/>
      <c r="R957" s="82"/>
    </row>
    <row r="958" spans="1:18" x14ac:dyDescent="0.25">
      <c r="A958" s="105"/>
      <c r="B958" s="106"/>
      <c r="C958" s="106"/>
      <c r="D958" s="90"/>
      <c r="E958" s="106"/>
      <c r="F958" s="105"/>
      <c r="G958" s="107"/>
      <c r="H958" s="105"/>
      <c r="I958" s="104"/>
      <c r="J958" s="85"/>
      <c r="K958" s="82"/>
      <c r="L958" s="82"/>
      <c r="M958" s="82"/>
      <c r="N958" s="82"/>
      <c r="O958" s="82"/>
      <c r="P958" s="82"/>
      <c r="Q958" s="82"/>
      <c r="R958" s="82"/>
    </row>
    <row r="959" spans="1:18" x14ac:dyDescent="0.25">
      <c r="A959" s="105"/>
      <c r="B959" s="106"/>
      <c r="C959" s="106"/>
      <c r="D959" s="90"/>
      <c r="E959" s="106"/>
      <c r="F959" s="105"/>
      <c r="G959" s="107"/>
      <c r="H959" s="105"/>
      <c r="I959" s="104"/>
      <c r="J959" s="85"/>
      <c r="K959" s="82"/>
      <c r="L959" s="82"/>
      <c r="M959" s="82"/>
      <c r="N959" s="82"/>
      <c r="O959" s="82"/>
      <c r="P959" s="82"/>
      <c r="Q959" s="82"/>
      <c r="R959" s="82"/>
    </row>
    <row r="960" spans="1:18" x14ac:dyDescent="0.25">
      <c r="A960" s="105"/>
      <c r="B960" s="106"/>
      <c r="C960" s="106"/>
      <c r="D960" s="90"/>
      <c r="E960" s="106"/>
      <c r="F960" s="105"/>
      <c r="G960" s="107"/>
      <c r="H960" s="105"/>
      <c r="I960" s="104"/>
      <c r="J960" s="85"/>
      <c r="K960" s="82"/>
      <c r="L960" s="82"/>
      <c r="M960" s="82"/>
      <c r="N960" s="82"/>
      <c r="O960" s="82"/>
      <c r="P960" s="82"/>
      <c r="Q960" s="82"/>
      <c r="R960" s="82"/>
    </row>
    <row r="961" spans="1:18" x14ac:dyDescent="0.25">
      <c r="A961" s="105"/>
      <c r="B961" s="106"/>
      <c r="C961" s="106"/>
      <c r="D961" s="90"/>
      <c r="E961" s="106"/>
      <c r="F961" s="105"/>
      <c r="G961" s="107"/>
      <c r="H961" s="105"/>
      <c r="I961" s="104"/>
      <c r="J961" s="85"/>
      <c r="K961" s="82"/>
      <c r="L961" s="82"/>
      <c r="M961" s="82"/>
      <c r="N961" s="82"/>
      <c r="O961" s="82"/>
      <c r="P961" s="82"/>
      <c r="Q961" s="82"/>
      <c r="R961" s="82"/>
    </row>
    <row r="962" spans="1:18" x14ac:dyDescent="0.25">
      <c r="A962" s="105"/>
      <c r="B962" s="106"/>
      <c r="C962" s="106"/>
      <c r="D962" s="90"/>
      <c r="E962" s="106"/>
      <c r="F962" s="105"/>
      <c r="G962" s="107"/>
      <c r="H962" s="105"/>
      <c r="I962" s="104"/>
      <c r="J962" s="85"/>
      <c r="K962" s="82"/>
      <c r="L962" s="82"/>
      <c r="M962" s="82"/>
      <c r="N962" s="82"/>
      <c r="O962" s="82"/>
      <c r="P962" s="82"/>
      <c r="Q962" s="82"/>
      <c r="R962" s="82"/>
    </row>
    <row r="963" spans="1:18" x14ac:dyDescent="0.25">
      <c r="A963" s="105"/>
      <c r="B963" s="106"/>
      <c r="C963" s="106"/>
      <c r="D963" s="90"/>
      <c r="E963" s="106"/>
      <c r="F963" s="105"/>
      <c r="G963" s="107"/>
      <c r="H963" s="105"/>
      <c r="I963" s="104"/>
      <c r="J963" s="85"/>
      <c r="K963" s="82"/>
      <c r="L963" s="82"/>
      <c r="M963" s="82"/>
      <c r="N963" s="82"/>
      <c r="O963" s="82"/>
      <c r="P963" s="82"/>
      <c r="Q963" s="82"/>
      <c r="R963" s="82"/>
    </row>
    <row r="964" spans="1:18" x14ac:dyDescent="0.25">
      <c r="A964" s="105"/>
      <c r="B964" s="106"/>
      <c r="C964" s="106"/>
      <c r="D964" s="90"/>
      <c r="E964" s="106"/>
      <c r="F964" s="105"/>
      <c r="G964" s="107"/>
      <c r="H964" s="105"/>
      <c r="I964" s="104"/>
      <c r="J964" s="85"/>
      <c r="K964" s="82"/>
      <c r="L964" s="82"/>
      <c r="M964" s="82"/>
      <c r="N964" s="82"/>
      <c r="O964" s="82"/>
      <c r="P964" s="82"/>
      <c r="Q964" s="82"/>
      <c r="R964" s="82"/>
    </row>
    <row r="965" spans="1:18" x14ac:dyDescent="0.25">
      <c r="A965" s="105"/>
      <c r="B965" s="106"/>
      <c r="C965" s="106"/>
      <c r="D965" s="90"/>
      <c r="E965" s="106"/>
      <c r="F965" s="105"/>
      <c r="G965" s="107"/>
      <c r="H965" s="105"/>
      <c r="I965" s="104"/>
      <c r="J965" s="85"/>
      <c r="K965" s="82"/>
      <c r="L965" s="82"/>
      <c r="M965" s="82"/>
      <c r="N965" s="82"/>
      <c r="O965" s="82"/>
      <c r="P965" s="82"/>
      <c r="Q965" s="82"/>
      <c r="R965" s="82"/>
    </row>
    <row r="966" spans="1:18" x14ac:dyDescent="0.25">
      <c r="A966" s="105"/>
      <c r="B966" s="106"/>
      <c r="C966" s="106"/>
      <c r="D966" s="90"/>
      <c r="E966" s="106"/>
      <c r="F966" s="105"/>
      <c r="G966" s="107"/>
      <c r="H966" s="105"/>
      <c r="I966" s="104"/>
      <c r="J966" s="85"/>
      <c r="K966" s="82"/>
      <c r="L966" s="82"/>
      <c r="M966" s="82"/>
      <c r="N966" s="82"/>
      <c r="O966" s="82"/>
      <c r="P966" s="82"/>
      <c r="Q966" s="82"/>
      <c r="R966" s="82"/>
    </row>
    <row r="967" spans="1:18" x14ac:dyDescent="0.25">
      <c r="A967" s="105"/>
      <c r="B967" s="106"/>
      <c r="C967" s="106"/>
      <c r="D967" s="90"/>
      <c r="E967" s="106"/>
      <c r="F967" s="105"/>
      <c r="G967" s="107"/>
      <c r="H967" s="105"/>
      <c r="I967" s="104"/>
      <c r="J967" s="85"/>
      <c r="K967" s="82"/>
      <c r="L967" s="82"/>
      <c r="M967" s="82"/>
      <c r="N967" s="82"/>
      <c r="O967" s="82"/>
      <c r="P967" s="82"/>
      <c r="Q967" s="82"/>
      <c r="R967" s="82"/>
    </row>
    <row r="968" spans="1:18" x14ac:dyDescent="0.25">
      <c r="A968" s="105"/>
      <c r="B968" s="106"/>
      <c r="C968" s="106"/>
      <c r="D968" s="90"/>
      <c r="E968" s="106"/>
      <c r="F968" s="105"/>
      <c r="G968" s="107"/>
      <c r="H968" s="105"/>
      <c r="I968" s="104"/>
      <c r="J968" s="85"/>
      <c r="K968" s="82"/>
      <c r="L968" s="82"/>
      <c r="M968" s="82"/>
      <c r="N968" s="82"/>
      <c r="O968" s="82"/>
      <c r="P968" s="82"/>
      <c r="Q968" s="82"/>
      <c r="R968" s="82"/>
    </row>
    <row r="969" spans="1:18" x14ac:dyDescent="0.25">
      <c r="A969" s="105"/>
      <c r="B969" s="106"/>
      <c r="C969" s="106"/>
      <c r="D969" s="90"/>
      <c r="E969" s="106"/>
      <c r="F969" s="105"/>
      <c r="G969" s="107"/>
      <c r="H969" s="105"/>
      <c r="I969" s="104"/>
      <c r="J969" s="85"/>
      <c r="K969" s="82"/>
      <c r="L969" s="82"/>
      <c r="M969" s="82"/>
      <c r="N969" s="82"/>
      <c r="O969" s="82"/>
      <c r="P969" s="82"/>
      <c r="Q969" s="82"/>
      <c r="R969" s="82"/>
    </row>
    <row r="970" spans="1:18" x14ac:dyDescent="0.25">
      <c r="A970" s="105"/>
      <c r="B970" s="106"/>
      <c r="C970" s="106"/>
      <c r="D970" s="90"/>
      <c r="E970" s="106"/>
      <c r="F970" s="105"/>
      <c r="G970" s="107"/>
      <c r="H970" s="105"/>
      <c r="I970" s="104"/>
      <c r="J970" s="85"/>
      <c r="K970" s="82"/>
      <c r="L970" s="82"/>
      <c r="M970" s="82"/>
      <c r="N970" s="82"/>
      <c r="O970" s="82"/>
      <c r="P970" s="82"/>
      <c r="Q970" s="82"/>
      <c r="R970" s="82"/>
    </row>
    <row r="971" spans="1:18" x14ac:dyDescent="0.25">
      <c r="A971" s="105"/>
      <c r="B971" s="106"/>
      <c r="C971" s="106"/>
      <c r="D971" s="90"/>
      <c r="E971" s="106"/>
      <c r="F971" s="105"/>
      <c r="G971" s="107"/>
      <c r="H971" s="105"/>
      <c r="I971" s="104"/>
      <c r="J971" s="85"/>
      <c r="K971" s="82"/>
      <c r="L971" s="82"/>
      <c r="M971" s="82"/>
      <c r="N971" s="82"/>
      <c r="O971" s="82"/>
      <c r="P971" s="82"/>
      <c r="Q971" s="82"/>
      <c r="R971" s="82"/>
    </row>
    <row r="972" spans="1:18" x14ac:dyDescent="0.25">
      <c r="A972" s="105"/>
      <c r="B972" s="106"/>
      <c r="C972" s="106"/>
      <c r="D972" s="90"/>
      <c r="E972" s="106"/>
      <c r="F972" s="105"/>
      <c r="G972" s="107"/>
      <c r="H972" s="105"/>
      <c r="I972" s="104"/>
      <c r="J972" s="85"/>
      <c r="K972" s="82"/>
      <c r="L972" s="82"/>
      <c r="M972" s="82"/>
      <c r="N972" s="82"/>
      <c r="O972" s="82"/>
      <c r="P972" s="82"/>
      <c r="Q972" s="82"/>
      <c r="R972" s="82"/>
    </row>
    <row r="973" spans="1:18" x14ac:dyDescent="0.25">
      <c r="A973" s="105"/>
      <c r="B973" s="106"/>
      <c r="C973" s="106"/>
      <c r="D973" s="90"/>
      <c r="E973" s="106"/>
      <c r="F973" s="105"/>
      <c r="G973" s="107"/>
      <c r="H973" s="105"/>
      <c r="I973" s="104"/>
      <c r="J973" s="85"/>
      <c r="K973" s="82"/>
      <c r="L973" s="82"/>
      <c r="M973" s="82"/>
      <c r="N973" s="82"/>
      <c r="O973" s="82"/>
      <c r="P973" s="82"/>
      <c r="Q973" s="82"/>
      <c r="R973" s="82"/>
    </row>
    <row r="974" spans="1:18" x14ac:dyDescent="0.25">
      <c r="A974" s="105"/>
      <c r="B974" s="106"/>
      <c r="C974" s="106"/>
      <c r="D974" s="90"/>
      <c r="E974" s="106"/>
      <c r="F974" s="105"/>
      <c r="G974" s="107"/>
      <c r="H974" s="105"/>
      <c r="I974" s="104"/>
      <c r="J974" s="85"/>
      <c r="K974" s="82"/>
      <c r="L974" s="82"/>
      <c r="M974" s="82"/>
      <c r="N974" s="82"/>
      <c r="O974" s="82"/>
      <c r="P974" s="82"/>
      <c r="Q974" s="82"/>
      <c r="R974" s="82"/>
    </row>
    <row r="975" spans="1:18" x14ac:dyDescent="0.25">
      <c r="A975" s="105"/>
      <c r="B975" s="106"/>
      <c r="C975" s="106"/>
      <c r="D975" s="90"/>
      <c r="E975" s="106"/>
      <c r="F975" s="105"/>
      <c r="G975" s="107"/>
      <c r="H975" s="105"/>
      <c r="I975" s="104"/>
      <c r="J975" s="85"/>
      <c r="K975" s="82"/>
      <c r="L975" s="82"/>
      <c r="M975" s="82"/>
      <c r="N975" s="82"/>
      <c r="O975" s="82"/>
      <c r="P975" s="82"/>
      <c r="Q975" s="82"/>
      <c r="R975" s="82"/>
    </row>
    <row r="976" spans="1:18" x14ac:dyDescent="0.25">
      <c r="A976" s="105"/>
      <c r="B976" s="106"/>
      <c r="C976" s="106"/>
      <c r="D976" s="90"/>
      <c r="E976" s="106"/>
      <c r="F976" s="105"/>
      <c r="G976" s="107"/>
      <c r="H976" s="105"/>
      <c r="I976" s="104"/>
      <c r="J976" s="85"/>
      <c r="K976" s="82"/>
      <c r="L976" s="82"/>
      <c r="M976" s="82"/>
      <c r="N976" s="82"/>
      <c r="O976" s="82"/>
      <c r="P976" s="82"/>
      <c r="Q976" s="82"/>
      <c r="R976" s="82"/>
    </row>
    <row r="977" spans="1:18" x14ac:dyDescent="0.25">
      <c r="A977" s="105"/>
      <c r="B977" s="106"/>
      <c r="C977" s="106"/>
      <c r="D977" s="90"/>
      <c r="E977" s="106"/>
      <c r="F977" s="105"/>
      <c r="G977" s="107"/>
      <c r="H977" s="105"/>
      <c r="I977" s="104"/>
      <c r="J977" s="85"/>
      <c r="K977" s="82"/>
      <c r="L977" s="82"/>
      <c r="M977" s="82"/>
      <c r="N977" s="82"/>
      <c r="O977" s="82"/>
      <c r="P977" s="82"/>
      <c r="Q977" s="82"/>
      <c r="R977" s="82"/>
    </row>
    <row r="978" spans="1:18" x14ac:dyDescent="0.25">
      <c r="A978" s="105"/>
      <c r="B978" s="106"/>
      <c r="C978" s="106"/>
      <c r="D978" s="90"/>
      <c r="E978" s="106"/>
      <c r="F978" s="105"/>
      <c r="G978" s="107"/>
      <c r="H978" s="105"/>
      <c r="I978" s="104"/>
      <c r="J978" s="85"/>
      <c r="K978" s="82"/>
      <c r="L978" s="82"/>
      <c r="M978" s="82"/>
      <c r="N978" s="82"/>
      <c r="O978" s="82"/>
      <c r="P978" s="82"/>
      <c r="Q978" s="82"/>
      <c r="R978" s="82"/>
    </row>
    <row r="979" spans="1:18" x14ac:dyDescent="0.25">
      <c r="A979" s="105"/>
      <c r="B979" s="106"/>
      <c r="C979" s="106"/>
      <c r="D979" s="90"/>
      <c r="E979" s="106"/>
      <c r="F979" s="105"/>
      <c r="G979" s="107"/>
      <c r="H979" s="105"/>
      <c r="I979" s="104"/>
      <c r="J979" s="85"/>
      <c r="K979" s="82"/>
      <c r="L979" s="82"/>
      <c r="M979" s="82"/>
      <c r="N979" s="82"/>
      <c r="O979" s="82"/>
      <c r="P979" s="82"/>
      <c r="Q979" s="82"/>
      <c r="R979" s="82"/>
    </row>
    <row r="980" spans="1:18" x14ac:dyDescent="0.25">
      <c r="A980" s="105"/>
      <c r="B980" s="106"/>
      <c r="C980" s="106"/>
      <c r="D980" s="90"/>
      <c r="E980" s="106"/>
      <c r="F980" s="105"/>
      <c r="G980" s="107"/>
      <c r="H980" s="105"/>
      <c r="I980" s="104"/>
      <c r="J980" s="85"/>
      <c r="K980" s="82"/>
      <c r="L980" s="82"/>
      <c r="M980" s="82"/>
      <c r="N980" s="82"/>
      <c r="O980" s="82"/>
      <c r="P980" s="82"/>
      <c r="Q980" s="82"/>
      <c r="R980" s="82"/>
    </row>
    <row r="981" spans="1:18" x14ac:dyDescent="0.25">
      <c r="A981" s="105"/>
      <c r="B981" s="106"/>
      <c r="C981" s="106"/>
      <c r="D981" s="90"/>
      <c r="E981" s="106"/>
      <c r="F981" s="105"/>
      <c r="G981" s="107"/>
      <c r="H981" s="105"/>
      <c r="I981" s="104"/>
      <c r="J981" s="85"/>
      <c r="K981" s="82"/>
      <c r="L981" s="82"/>
      <c r="M981" s="82"/>
      <c r="N981" s="82"/>
      <c r="O981" s="82"/>
      <c r="P981" s="82"/>
      <c r="Q981" s="82"/>
      <c r="R981" s="82"/>
    </row>
    <row r="982" spans="1:18" x14ac:dyDescent="0.25">
      <c r="A982" s="105"/>
      <c r="B982" s="106"/>
      <c r="C982" s="106"/>
      <c r="D982" s="90"/>
      <c r="E982" s="106"/>
      <c r="F982" s="105"/>
      <c r="G982" s="107"/>
      <c r="H982" s="105"/>
      <c r="I982" s="104"/>
      <c r="J982" s="85"/>
      <c r="K982" s="82"/>
      <c r="L982" s="82"/>
      <c r="M982" s="82"/>
      <c r="N982" s="82"/>
      <c r="O982" s="82"/>
      <c r="P982" s="82"/>
      <c r="Q982" s="82"/>
      <c r="R982" s="82"/>
    </row>
    <row r="983" spans="1:18" x14ac:dyDescent="0.25">
      <c r="A983" s="105"/>
      <c r="B983" s="106"/>
      <c r="C983" s="106"/>
      <c r="D983" s="90"/>
      <c r="E983" s="106"/>
      <c r="F983" s="105"/>
      <c r="G983" s="107"/>
      <c r="H983" s="105"/>
      <c r="I983" s="104"/>
      <c r="J983" s="85"/>
      <c r="K983" s="82"/>
      <c r="L983" s="82"/>
      <c r="M983" s="82"/>
      <c r="N983" s="82"/>
      <c r="O983" s="82"/>
      <c r="P983" s="82"/>
      <c r="Q983" s="82"/>
      <c r="R983" s="82"/>
    </row>
    <row r="984" spans="1:18" x14ac:dyDescent="0.25">
      <c r="A984" s="105"/>
      <c r="B984" s="106"/>
      <c r="C984" s="106"/>
      <c r="D984" s="90"/>
      <c r="E984" s="106"/>
      <c r="F984" s="105"/>
      <c r="G984" s="107"/>
      <c r="H984" s="105"/>
      <c r="I984" s="104"/>
      <c r="J984" s="85"/>
      <c r="K984" s="82"/>
      <c r="L984" s="82"/>
      <c r="M984" s="82"/>
      <c r="N984" s="82"/>
      <c r="O984" s="82"/>
      <c r="P984" s="82"/>
      <c r="Q984" s="82"/>
      <c r="R984" s="82"/>
    </row>
    <row r="985" spans="1:18" x14ac:dyDescent="0.25">
      <c r="A985" s="105"/>
      <c r="B985" s="106"/>
      <c r="C985" s="106"/>
      <c r="D985" s="90"/>
      <c r="E985" s="106"/>
      <c r="F985" s="105"/>
      <c r="G985" s="107"/>
      <c r="H985" s="105"/>
      <c r="I985" s="104"/>
      <c r="J985" s="85"/>
      <c r="K985" s="82"/>
      <c r="L985" s="82"/>
      <c r="M985" s="82"/>
      <c r="N985" s="82"/>
      <c r="O985" s="82"/>
      <c r="P985" s="82"/>
      <c r="Q985" s="82"/>
      <c r="R985" s="82"/>
    </row>
    <row r="986" spans="1:18" x14ac:dyDescent="0.25">
      <c r="A986" s="105"/>
      <c r="B986" s="106"/>
      <c r="C986" s="106"/>
      <c r="D986" s="90"/>
      <c r="E986" s="106"/>
      <c r="F986" s="105"/>
      <c r="G986" s="107"/>
      <c r="H986" s="105"/>
      <c r="I986" s="104"/>
      <c r="J986" s="85"/>
      <c r="K986" s="82"/>
      <c r="L986" s="82"/>
      <c r="M986" s="82"/>
      <c r="N986" s="82"/>
      <c r="O986" s="82"/>
      <c r="P986" s="82"/>
      <c r="Q986" s="82"/>
      <c r="R986" s="82"/>
    </row>
    <row r="987" spans="1:18" x14ac:dyDescent="0.25">
      <c r="A987" s="105"/>
      <c r="B987" s="106"/>
      <c r="C987" s="106"/>
      <c r="D987" s="90"/>
      <c r="E987" s="106"/>
      <c r="F987" s="105"/>
      <c r="G987" s="107"/>
      <c r="H987" s="105"/>
      <c r="I987" s="104"/>
      <c r="J987" s="85"/>
      <c r="K987" s="82"/>
      <c r="L987" s="82"/>
      <c r="M987" s="82"/>
      <c r="N987" s="82"/>
      <c r="O987" s="82"/>
      <c r="P987" s="82"/>
      <c r="Q987" s="82"/>
      <c r="R987" s="82"/>
    </row>
    <row r="988" spans="1:18" x14ac:dyDescent="0.25">
      <c r="A988" s="105"/>
      <c r="B988" s="106"/>
      <c r="C988" s="106"/>
      <c r="D988" s="90"/>
      <c r="E988" s="106"/>
      <c r="F988" s="105"/>
      <c r="G988" s="107"/>
      <c r="H988" s="105"/>
      <c r="I988" s="104"/>
      <c r="J988" s="85"/>
      <c r="K988" s="82"/>
      <c r="L988" s="82"/>
      <c r="M988" s="82"/>
      <c r="N988" s="82"/>
      <c r="O988" s="82"/>
      <c r="P988" s="82"/>
      <c r="Q988" s="82"/>
      <c r="R988" s="82"/>
    </row>
    <row r="989" spans="1:18" x14ac:dyDescent="0.25">
      <c r="A989" s="105"/>
      <c r="B989" s="106"/>
      <c r="C989" s="106"/>
      <c r="D989" s="90"/>
      <c r="E989" s="106"/>
      <c r="F989" s="105"/>
      <c r="G989" s="107"/>
      <c r="H989" s="105"/>
      <c r="I989" s="104"/>
      <c r="J989" s="85"/>
      <c r="K989" s="82"/>
      <c r="L989" s="82"/>
      <c r="M989" s="82"/>
      <c r="N989" s="82"/>
      <c r="O989" s="82"/>
      <c r="P989" s="82"/>
      <c r="Q989" s="82"/>
      <c r="R989" s="82"/>
    </row>
    <row r="990" spans="1:18" x14ac:dyDescent="0.25">
      <c r="A990" s="105"/>
      <c r="B990" s="106"/>
      <c r="C990" s="106"/>
      <c r="D990" s="90"/>
      <c r="E990" s="106"/>
      <c r="F990" s="105"/>
      <c r="G990" s="107"/>
      <c r="H990" s="105"/>
      <c r="I990" s="104"/>
      <c r="J990" s="85"/>
      <c r="K990" s="82"/>
      <c r="L990" s="82"/>
      <c r="M990" s="82"/>
      <c r="N990" s="82"/>
      <c r="O990" s="82"/>
      <c r="P990" s="82"/>
      <c r="Q990" s="82"/>
      <c r="R990" s="82"/>
    </row>
    <row r="991" spans="1:18" x14ac:dyDescent="0.25">
      <c r="A991" s="105"/>
      <c r="B991" s="106"/>
      <c r="C991" s="106"/>
      <c r="D991" s="90"/>
      <c r="E991" s="106"/>
      <c r="F991" s="105"/>
      <c r="G991" s="107"/>
      <c r="H991" s="105"/>
      <c r="I991" s="104"/>
      <c r="J991" s="85"/>
      <c r="K991" s="82"/>
      <c r="L991" s="82"/>
      <c r="M991" s="82"/>
      <c r="N991" s="82"/>
      <c r="O991" s="82"/>
      <c r="P991" s="82"/>
      <c r="Q991" s="82"/>
      <c r="R991" s="82"/>
    </row>
    <row r="992" spans="1:18" x14ac:dyDescent="0.25">
      <c r="A992" s="105"/>
      <c r="B992" s="106"/>
      <c r="C992" s="106"/>
      <c r="D992" s="90"/>
      <c r="E992" s="106"/>
      <c r="F992" s="105"/>
      <c r="G992" s="107"/>
      <c r="H992" s="105"/>
      <c r="I992" s="104"/>
      <c r="J992" s="85"/>
      <c r="K992" s="82"/>
      <c r="L992" s="82"/>
      <c r="M992" s="82"/>
      <c r="N992" s="82"/>
      <c r="O992" s="82"/>
      <c r="P992" s="82"/>
      <c r="Q992" s="82"/>
      <c r="R992" s="82"/>
    </row>
    <row r="993" spans="1:18" x14ac:dyDescent="0.25">
      <c r="A993" s="105"/>
      <c r="B993" s="106"/>
      <c r="C993" s="106"/>
      <c r="D993" s="90"/>
      <c r="E993" s="106"/>
      <c r="F993" s="105"/>
      <c r="G993" s="107"/>
      <c r="H993" s="105"/>
      <c r="I993" s="104"/>
      <c r="J993" s="85"/>
      <c r="K993" s="82"/>
      <c r="L993" s="82"/>
      <c r="M993" s="82"/>
      <c r="N993" s="82"/>
      <c r="O993" s="82"/>
      <c r="P993" s="82"/>
      <c r="Q993" s="82"/>
      <c r="R993" s="82"/>
    </row>
    <row r="994" spans="1:18" x14ac:dyDescent="0.25">
      <c r="A994" s="105"/>
      <c r="B994" s="106"/>
      <c r="C994" s="106"/>
      <c r="D994" s="90"/>
      <c r="E994" s="106"/>
      <c r="F994" s="105"/>
      <c r="G994" s="107"/>
      <c r="H994" s="105"/>
      <c r="I994" s="104"/>
      <c r="J994" s="85"/>
      <c r="K994" s="82"/>
      <c r="L994" s="82"/>
      <c r="M994" s="82"/>
      <c r="N994" s="82"/>
      <c r="O994" s="82"/>
      <c r="P994" s="82"/>
      <c r="Q994" s="82"/>
      <c r="R994" s="82"/>
    </row>
    <row r="995" spans="1:18" x14ac:dyDescent="0.25">
      <c r="A995" s="105"/>
      <c r="B995" s="106"/>
      <c r="C995" s="106"/>
      <c r="D995" s="90"/>
      <c r="E995" s="106"/>
      <c r="F995" s="105"/>
      <c r="G995" s="107"/>
      <c r="H995" s="105"/>
      <c r="I995" s="104"/>
      <c r="J995" s="85"/>
      <c r="K995" s="82"/>
      <c r="L995" s="82"/>
      <c r="M995" s="82"/>
      <c r="N995" s="82"/>
      <c r="O995" s="82"/>
      <c r="P995" s="82"/>
      <c r="Q995" s="82"/>
      <c r="R995" s="82"/>
    </row>
    <row r="996" spans="1:18" x14ac:dyDescent="0.25">
      <c r="A996" s="105"/>
      <c r="B996" s="106"/>
      <c r="C996" s="106"/>
      <c r="D996" s="90"/>
      <c r="E996" s="106"/>
      <c r="F996" s="105"/>
      <c r="G996" s="107"/>
      <c r="H996" s="105"/>
      <c r="I996" s="104"/>
      <c r="J996" s="85"/>
      <c r="K996" s="82"/>
      <c r="L996" s="82"/>
      <c r="M996" s="82"/>
      <c r="N996" s="82"/>
      <c r="O996" s="82"/>
      <c r="P996" s="82"/>
      <c r="Q996" s="82"/>
      <c r="R996" s="82"/>
    </row>
    <row r="997" spans="1:18" x14ac:dyDescent="0.25">
      <c r="A997" s="105"/>
      <c r="B997" s="106"/>
      <c r="C997" s="106"/>
      <c r="D997" s="90"/>
      <c r="E997" s="106"/>
      <c r="F997" s="105"/>
      <c r="G997" s="107"/>
      <c r="H997" s="105"/>
      <c r="I997" s="104"/>
      <c r="J997" s="85"/>
      <c r="K997" s="82"/>
      <c r="L997" s="82"/>
      <c r="M997" s="82"/>
      <c r="N997" s="82"/>
      <c r="O997" s="82"/>
      <c r="P997" s="82"/>
      <c r="Q997" s="82"/>
      <c r="R997" s="82"/>
    </row>
    <row r="998" spans="1:18" x14ac:dyDescent="0.25">
      <c r="A998" s="105"/>
      <c r="B998" s="106"/>
      <c r="C998" s="106"/>
      <c r="D998" s="90"/>
      <c r="E998" s="106"/>
      <c r="F998" s="105"/>
      <c r="G998" s="107"/>
      <c r="H998" s="105"/>
      <c r="I998" s="104"/>
      <c r="J998" s="85"/>
      <c r="K998" s="82"/>
      <c r="L998" s="82"/>
      <c r="M998" s="82"/>
      <c r="N998" s="82"/>
      <c r="O998" s="82"/>
      <c r="P998" s="82"/>
      <c r="Q998" s="82"/>
      <c r="R998" s="82"/>
    </row>
    <row r="999" spans="1:18" x14ac:dyDescent="0.25">
      <c r="A999" s="105"/>
      <c r="B999" s="106"/>
      <c r="C999" s="106"/>
      <c r="D999" s="90"/>
      <c r="E999" s="106"/>
      <c r="F999" s="105"/>
      <c r="G999" s="107"/>
      <c r="H999" s="105"/>
      <c r="I999" s="104"/>
      <c r="J999" s="85"/>
      <c r="K999" s="82"/>
      <c r="L999" s="82"/>
      <c r="M999" s="82"/>
      <c r="N999" s="82"/>
      <c r="O999" s="82"/>
      <c r="P999" s="82"/>
      <c r="Q999" s="82"/>
      <c r="R999" s="82"/>
    </row>
    <row r="1000" spans="1:18" x14ac:dyDescent="0.25">
      <c r="A1000" s="105"/>
      <c r="B1000" s="106"/>
      <c r="C1000" s="106"/>
      <c r="D1000" s="90"/>
      <c r="E1000" s="106"/>
      <c r="F1000" s="105"/>
      <c r="G1000" s="107"/>
      <c r="H1000" s="105"/>
      <c r="I1000" s="104"/>
      <c r="J1000" s="85"/>
      <c r="K1000" s="82"/>
      <c r="L1000" s="82"/>
      <c r="M1000" s="82"/>
      <c r="N1000" s="82"/>
      <c r="O1000" s="82"/>
      <c r="P1000" s="82"/>
      <c r="Q1000" s="82"/>
      <c r="R1000" s="82"/>
    </row>
    <row r="1001" spans="1:18" x14ac:dyDescent="0.25">
      <c r="A1001" s="105"/>
      <c r="B1001" s="106"/>
      <c r="C1001" s="106"/>
      <c r="D1001" s="90"/>
      <c r="E1001" s="106"/>
      <c r="F1001" s="105"/>
      <c r="G1001" s="107"/>
      <c r="H1001" s="105"/>
      <c r="I1001" s="104"/>
      <c r="J1001" s="85"/>
      <c r="K1001" s="82"/>
      <c r="L1001" s="82"/>
      <c r="M1001" s="82"/>
      <c r="N1001" s="82"/>
      <c r="O1001" s="82"/>
      <c r="P1001" s="82"/>
      <c r="Q1001" s="82"/>
      <c r="R1001" s="82"/>
    </row>
    <row r="1002" spans="1:18" x14ac:dyDescent="0.25">
      <c r="A1002" s="105"/>
      <c r="B1002" s="106"/>
      <c r="C1002" s="106"/>
      <c r="D1002" s="90"/>
      <c r="E1002" s="106"/>
      <c r="F1002" s="105"/>
      <c r="G1002" s="107"/>
      <c r="H1002" s="105"/>
      <c r="I1002" s="104"/>
      <c r="J1002" s="85"/>
      <c r="K1002" s="82"/>
      <c r="L1002" s="82"/>
      <c r="M1002" s="82"/>
      <c r="N1002" s="82"/>
      <c r="O1002" s="82"/>
      <c r="P1002" s="82"/>
      <c r="Q1002" s="82"/>
      <c r="R1002" s="82"/>
    </row>
    <row r="1003" spans="1:18" x14ac:dyDescent="0.25">
      <c r="A1003" s="105"/>
      <c r="B1003" s="106"/>
      <c r="C1003" s="106"/>
      <c r="D1003" s="90"/>
      <c r="E1003" s="106"/>
      <c r="F1003" s="105"/>
      <c r="G1003" s="107"/>
      <c r="H1003" s="105"/>
      <c r="I1003" s="104"/>
      <c r="J1003" s="85"/>
      <c r="K1003" s="82"/>
      <c r="L1003" s="82"/>
      <c r="M1003" s="82"/>
      <c r="N1003" s="82"/>
      <c r="O1003" s="82"/>
      <c r="P1003" s="82"/>
      <c r="Q1003" s="82"/>
      <c r="R1003" s="82"/>
    </row>
    <row r="1004" spans="1:18" x14ac:dyDescent="0.25">
      <c r="A1004" s="105"/>
      <c r="B1004" s="106"/>
      <c r="C1004" s="106"/>
      <c r="D1004" s="90"/>
      <c r="E1004" s="106"/>
      <c r="F1004" s="105"/>
      <c r="G1004" s="107"/>
      <c r="H1004" s="105"/>
      <c r="I1004" s="104"/>
      <c r="J1004" s="85"/>
      <c r="K1004" s="82"/>
      <c r="L1004" s="82"/>
      <c r="M1004" s="82"/>
      <c r="N1004" s="82"/>
      <c r="O1004" s="82"/>
      <c r="P1004" s="82"/>
      <c r="Q1004" s="82"/>
      <c r="R1004" s="82"/>
    </row>
    <row r="1005" spans="1:18" x14ac:dyDescent="0.25">
      <c r="A1005" s="105"/>
      <c r="B1005" s="106"/>
      <c r="C1005" s="106"/>
      <c r="D1005" s="90"/>
      <c r="E1005" s="106"/>
      <c r="F1005" s="105"/>
      <c r="G1005" s="107"/>
      <c r="H1005" s="105"/>
      <c r="I1005" s="104"/>
      <c r="J1005" s="85"/>
      <c r="K1005" s="82"/>
      <c r="L1005" s="82"/>
      <c r="M1005" s="82"/>
      <c r="N1005" s="82"/>
      <c r="O1005" s="82"/>
      <c r="P1005" s="82"/>
      <c r="Q1005" s="82"/>
      <c r="R1005" s="82"/>
    </row>
    <row r="1006" spans="1:18" x14ac:dyDescent="0.25">
      <c r="A1006" s="105"/>
      <c r="B1006" s="106"/>
      <c r="C1006" s="106"/>
      <c r="D1006" s="90"/>
      <c r="E1006" s="106"/>
      <c r="F1006" s="105"/>
      <c r="G1006" s="107"/>
      <c r="H1006" s="105"/>
      <c r="I1006" s="104"/>
      <c r="J1006" s="85"/>
      <c r="K1006" s="82"/>
      <c r="L1006" s="82"/>
      <c r="M1006" s="82"/>
      <c r="N1006" s="82"/>
      <c r="O1006" s="82"/>
      <c r="P1006" s="82"/>
      <c r="Q1006" s="82"/>
      <c r="R1006" s="82"/>
    </row>
    <row r="1007" spans="1:18" x14ac:dyDescent="0.25">
      <c r="A1007" s="105"/>
      <c r="B1007" s="106"/>
      <c r="C1007" s="106"/>
      <c r="D1007" s="90"/>
      <c r="E1007" s="106"/>
      <c r="F1007" s="105"/>
      <c r="G1007" s="107"/>
      <c r="H1007" s="105"/>
      <c r="I1007" s="104"/>
      <c r="J1007" s="85"/>
      <c r="K1007" s="82"/>
      <c r="L1007" s="82"/>
      <c r="M1007" s="82"/>
      <c r="N1007" s="82"/>
      <c r="O1007" s="82"/>
      <c r="P1007" s="82"/>
      <c r="Q1007" s="82"/>
      <c r="R1007" s="82"/>
    </row>
    <row r="1008" spans="1:18" x14ac:dyDescent="0.25">
      <c r="A1008" s="105"/>
      <c r="B1008" s="106"/>
      <c r="C1008" s="106"/>
      <c r="D1008" s="90"/>
      <c r="E1008" s="106"/>
      <c r="F1008" s="105"/>
      <c r="G1008" s="107"/>
      <c r="H1008" s="105"/>
      <c r="I1008" s="104"/>
      <c r="J1008" s="85"/>
      <c r="K1008" s="82"/>
      <c r="L1008" s="82"/>
      <c r="M1008" s="82"/>
      <c r="N1008" s="82"/>
      <c r="O1008" s="82"/>
      <c r="P1008" s="82"/>
      <c r="Q1008" s="82"/>
      <c r="R1008" s="82"/>
    </row>
    <row r="1009" spans="1:18" x14ac:dyDescent="0.25">
      <c r="A1009" s="105"/>
      <c r="B1009" s="106"/>
      <c r="C1009" s="106"/>
      <c r="D1009" s="90"/>
      <c r="E1009" s="106"/>
      <c r="F1009" s="105"/>
      <c r="G1009" s="107"/>
      <c r="H1009" s="105"/>
      <c r="I1009" s="104"/>
      <c r="J1009" s="85"/>
      <c r="K1009" s="82"/>
      <c r="L1009" s="82"/>
      <c r="M1009" s="82"/>
      <c r="N1009" s="82"/>
      <c r="O1009" s="82"/>
      <c r="P1009" s="82"/>
      <c r="Q1009" s="82"/>
      <c r="R1009" s="82"/>
    </row>
    <row r="1010" spans="1:18" x14ac:dyDescent="0.25">
      <c r="A1010" s="105"/>
      <c r="B1010" s="106"/>
      <c r="C1010" s="106"/>
      <c r="D1010" s="90"/>
      <c r="E1010" s="106"/>
      <c r="F1010" s="105"/>
      <c r="G1010" s="107"/>
      <c r="H1010" s="105"/>
      <c r="I1010" s="104"/>
      <c r="J1010" s="85"/>
      <c r="K1010" s="82"/>
      <c r="L1010" s="82"/>
      <c r="M1010" s="82"/>
      <c r="N1010" s="82"/>
      <c r="O1010" s="82"/>
      <c r="P1010" s="82"/>
      <c r="Q1010" s="82"/>
      <c r="R1010" s="82"/>
    </row>
    <row r="1011" spans="1:18" x14ac:dyDescent="0.25">
      <c r="A1011" s="105"/>
      <c r="B1011" s="106"/>
      <c r="C1011" s="106"/>
      <c r="D1011" s="90"/>
      <c r="E1011" s="106"/>
      <c r="F1011" s="105"/>
      <c r="G1011" s="107"/>
      <c r="H1011" s="105"/>
      <c r="I1011" s="104"/>
      <c r="J1011" s="85"/>
      <c r="K1011" s="82"/>
      <c r="L1011" s="82"/>
      <c r="M1011" s="82"/>
      <c r="N1011" s="82"/>
      <c r="O1011" s="82"/>
      <c r="P1011" s="82"/>
      <c r="Q1011" s="82"/>
      <c r="R1011" s="82"/>
    </row>
    <row r="1012" spans="1:18" x14ac:dyDescent="0.25">
      <c r="A1012" s="105"/>
      <c r="B1012" s="106"/>
      <c r="C1012" s="106"/>
      <c r="D1012" s="90"/>
      <c r="E1012" s="106"/>
      <c r="F1012" s="105"/>
      <c r="G1012" s="107"/>
      <c r="H1012" s="105"/>
      <c r="I1012" s="104"/>
      <c r="J1012" s="85"/>
      <c r="K1012" s="82"/>
      <c r="L1012" s="82"/>
      <c r="M1012" s="82"/>
      <c r="N1012" s="82"/>
      <c r="O1012" s="82"/>
      <c r="P1012" s="82"/>
      <c r="Q1012" s="82"/>
      <c r="R1012" s="82"/>
    </row>
    <row r="1013" spans="1:18" x14ac:dyDescent="0.25">
      <c r="A1013" s="105"/>
      <c r="B1013" s="106"/>
      <c r="C1013" s="106"/>
      <c r="D1013" s="90"/>
      <c r="E1013" s="106"/>
      <c r="F1013" s="105"/>
      <c r="G1013" s="107"/>
      <c r="H1013" s="105"/>
      <c r="I1013" s="104"/>
      <c r="J1013" s="85"/>
      <c r="K1013" s="82"/>
      <c r="L1013" s="82"/>
      <c r="M1013" s="82"/>
      <c r="N1013" s="82"/>
      <c r="O1013" s="82"/>
      <c r="P1013" s="82"/>
      <c r="Q1013" s="82"/>
      <c r="R1013" s="82"/>
    </row>
    <row r="1014" spans="1:18" x14ac:dyDescent="0.25">
      <c r="A1014" s="105"/>
      <c r="B1014" s="106"/>
      <c r="C1014" s="106"/>
      <c r="D1014" s="90"/>
      <c r="E1014" s="106"/>
      <c r="F1014" s="105"/>
      <c r="G1014" s="107"/>
      <c r="H1014" s="105"/>
      <c r="I1014" s="104"/>
      <c r="J1014" s="85"/>
      <c r="K1014" s="82"/>
      <c r="L1014" s="82"/>
      <c r="M1014" s="82"/>
      <c r="N1014" s="82"/>
      <c r="O1014" s="82"/>
      <c r="P1014" s="82"/>
      <c r="Q1014" s="82"/>
      <c r="R1014" s="82"/>
    </row>
    <row r="1015" spans="1:18" x14ac:dyDescent="0.25">
      <c r="A1015" s="105"/>
      <c r="B1015" s="106"/>
      <c r="C1015" s="106"/>
      <c r="D1015" s="90"/>
      <c r="E1015" s="106"/>
      <c r="F1015" s="105"/>
      <c r="G1015" s="107"/>
      <c r="H1015" s="105"/>
      <c r="I1015" s="104"/>
      <c r="J1015" s="85"/>
      <c r="K1015" s="82"/>
      <c r="L1015" s="82"/>
      <c r="M1015" s="82"/>
      <c r="N1015" s="82"/>
      <c r="O1015" s="82"/>
      <c r="P1015" s="82"/>
      <c r="Q1015" s="82"/>
      <c r="R1015" s="82"/>
    </row>
    <row r="1016" spans="1:18" x14ac:dyDescent="0.25">
      <c r="A1016" s="105"/>
      <c r="B1016" s="106"/>
      <c r="C1016" s="106"/>
      <c r="D1016" s="90"/>
      <c r="E1016" s="106"/>
      <c r="F1016" s="105"/>
      <c r="G1016" s="107"/>
      <c r="H1016" s="105"/>
      <c r="I1016" s="104"/>
      <c r="J1016" s="85"/>
      <c r="K1016" s="82"/>
      <c r="L1016" s="82"/>
      <c r="M1016" s="82"/>
      <c r="N1016" s="82"/>
      <c r="O1016" s="82"/>
      <c r="P1016" s="82"/>
      <c r="Q1016" s="82"/>
      <c r="R1016" s="82"/>
    </row>
    <row r="1017" spans="1:18" x14ac:dyDescent="0.25">
      <c r="A1017" s="105"/>
      <c r="B1017" s="106"/>
      <c r="C1017" s="106"/>
      <c r="D1017" s="90"/>
      <c r="E1017" s="106"/>
      <c r="F1017" s="105"/>
      <c r="G1017" s="107"/>
      <c r="H1017" s="105"/>
      <c r="I1017" s="104"/>
      <c r="J1017" s="85"/>
      <c r="K1017" s="82"/>
      <c r="L1017" s="82"/>
      <c r="M1017" s="82"/>
      <c r="N1017" s="82"/>
      <c r="O1017" s="82"/>
      <c r="P1017" s="82"/>
      <c r="Q1017" s="82"/>
      <c r="R1017" s="82"/>
    </row>
    <row r="1018" spans="1:18" x14ac:dyDescent="0.25">
      <c r="A1018" s="105"/>
      <c r="B1018" s="106"/>
      <c r="C1018" s="106"/>
      <c r="D1018" s="90"/>
      <c r="E1018" s="106"/>
      <c r="F1018" s="105"/>
      <c r="G1018" s="107"/>
      <c r="H1018" s="105"/>
      <c r="I1018" s="104"/>
      <c r="J1018" s="85"/>
      <c r="K1018" s="82"/>
      <c r="L1018" s="82"/>
      <c r="M1018" s="82"/>
      <c r="N1018" s="82"/>
      <c r="O1018" s="82"/>
      <c r="P1018" s="82"/>
      <c r="Q1018" s="82"/>
      <c r="R1018" s="82"/>
    </row>
    <row r="1019" spans="1:18" x14ac:dyDescent="0.25">
      <c r="A1019" s="105"/>
      <c r="B1019" s="106"/>
      <c r="C1019" s="106"/>
      <c r="D1019" s="90"/>
      <c r="E1019" s="106"/>
      <c r="F1019" s="105"/>
      <c r="G1019" s="107"/>
      <c r="H1019" s="105"/>
      <c r="I1019" s="104"/>
      <c r="J1019" s="85"/>
      <c r="K1019" s="82"/>
      <c r="L1019" s="82"/>
      <c r="M1019" s="82"/>
      <c r="N1019" s="82"/>
      <c r="O1019" s="82"/>
      <c r="P1019" s="82"/>
      <c r="Q1019" s="82"/>
      <c r="R1019" s="82"/>
    </row>
    <row r="1020" spans="1:18" x14ac:dyDescent="0.25">
      <c r="A1020" s="105"/>
      <c r="B1020" s="106"/>
      <c r="C1020" s="106"/>
      <c r="D1020" s="90"/>
      <c r="E1020" s="106"/>
      <c r="F1020" s="105"/>
      <c r="G1020" s="107"/>
      <c r="H1020" s="105"/>
      <c r="I1020" s="104"/>
      <c r="J1020" s="85"/>
      <c r="K1020" s="82"/>
      <c r="L1020" s="82"/>
      <c r="M1020" s="82"/>
      <c r="N1020" s="82"/>
      <c r="O1020" s="82"/>
      <c r="P1020" s="82"/>
      <c r="Q1020" s="82"/>
      <c r="R1020" s="82"/>
    </row>
    <row r="1021" spans="1:18" x14ac:dyDescent="0.25">
      <c r="A1021" s="105"/>
      <c r="B1021" s="106"/>
      <c r="C1021" s="106"/>
      <c r="D1021" s="90"/>
      <c r="E1021" s="106"/>
      <c r="F1021" s="105"/>
      <c r="G1021" s="107"/>
      <c r="H1021" s="105"/>
      <c r="I1021" s="104"/>
      <c r="J1021" s="85"/>
      <c r="K1021" s="82"/>
      <c r="L1021" s="82"/>
      <c r="M1021" s="82"/>
      <c r="N1021" s="82"/>
      <c r="O1021" s="82"/>
      <c r="P1021" s="82"/>
      <c r="Q1021" s="82"/>
      <c r="R1021" s="82"/>
    </row>
    <row r="1022" spans="1:18" x14ac:dyDescent="0.25">
      <c r="A1022" s="105"/>
      <c r="B1022" s="106"/>
      <c r="C1022" s="106"/>
      <c r="D1022" s="90"/>
      <c r="E1022" s="106"/>
      <c r="F1022" s="105"/>
      <c r="G1022" s="107"/>
      <c r="H1022" s="105"/>
      <c r="I1022" s="104"/>
      <c r="J1022" s="85"/>
      <c r="K1022" s="82"/>
      <c r="L1022" s="82"/>
      <c r="M1022" s="82"/>
      <c r="N1022" s="82"/>
      <c r="O1022" s="82"/>
      <c r="P1022" s="82"/>
      <c r="Q1022" s="82"/>
      <c r="R1022" s="82"/>
    </row>
    <row r="1023" spans="1:18" x14ac:dyDescent="0.25">
      <c r="A1023" s="105"/>
      <c r="B1023" s="106"/>
      <c r="C1023" s="106"/>
      <c r="D1023" s="90"/>
      <c r="E1023" s="106"/>
      <c r="F1023" s="105"/>
      <c r="G1023" s="107"/>
      <c r="H1023" s="105"/>
      <c r="I1023" s="104"/>
      <c r="J1023" s="85"/>
      <c r="K1023" s="82"/>
      <c r="L1023" s="82"/>
      <c r="M1023" s="82"/>
      <c r="N1023" s="82"/>
      <c r="O1023" s="82"/>
      <c r="P1023" s="82"/>
      <c r="Q1023" s="82"/>
      <c r="R1023" s="82"/>
    </row>
    <row r="1024" spans="1:18" x14ac:dyDescent="0.25">
      <c r="A1024" s="105"/>
      <c r="B1024" s="106"/>
      <c r="C1024" s="106"/>
      <c r="D1024" s="90"/>
      <c r="E1024" s="106"/>
      <c r="F1024" s="105"/>
      <c r="G1024" s="107"/>
      <c r="H1024" s="105"/>
      <c r="I1024" s="104"/>
      <c r="J1024" s="85"/>
      <c r="K1024" s="82"/>
      <c r="L1024" s="82"/>
      <c r="M1024" s="82"/>
      <c r="N1024" s="82"/>
      <c r="O1024" s="82"/>
      <c r="P1024" s="82"/>
      <c r="Q1024" s="82"/>
      <c r="R1024" s="82"/>
    </row>
    <row r="1025" spans="1:18" x14ac:dyDescent="0.25">
      <c r="A1025" s="105"/>
      <c r="B1025" s="106"/>
      <c r="C1025" s="106"/>
      <c r="D1025" s="90"/>
      <c r="E1025" s="106"/>
      <c r="F1025" s="105"/>
      <c r="G1025" s="107"/>
      <c r="H1025" s="105"/>
      <c r="I1025" s="104"/>
      <c r="J1025" s="85"/>
      <c r="K1025" s="82"/>
      <c r="L1025" s="82"/>
      <c r="M1025" s="82"/>
      <c r="N1025" s="82"/>
      <c r="O1025" s="82"/>
      <c r="P1025" s="82"/>
      <c r="Q1025" s="82"/>
      <c r="R1025" s="82"/>
    </row>
    <row r="1026" spans="1:18" x14ac:dyDescent="0.25">
      <c r="A1026" s="105"/>
      <c r="B1026" s="106"/>
      <c r="C1026" s="106"/>
      <c r="D1026" s="90"/>
      <c r="E1026" s="106"/>
      <c r="F1026" s="105"/>
      <c r="G1026" s="107"/>
      <c r="H1026" s="105"/>
      <c r="I1026" s="104"/>
      <c r="J1026" s="85"/>
      <c r="K1026" s="82"/>
      <c r="L1026" s="82"/>
      <c r="M1026" s="82"/>
      <c r="N1026" s="82"/>
      <c r="O1026" s="82"/>
      <c r="P1026" s="82"/>
      <c r="Q1026" s="82"/>
      <c r="R1026" s="82"/>
    </row>
    <row r="1027" spans="1:18" x14ac:dyDescent="0.25">
      <c r="A1027" s="105"/>
      <c r="B1027" s="106"/>
      <c r="C1027" s="106"/>
      <c r="D1027" s="90"/>
      <c r="E1027" s="106"/>
      <c r="F1027" s="105"/>
      <c r="G1027" s="107"/>
      <c r="H1027" s="105"/>
      <c r="I1027" s="104"/>
      <c r="J1027" s="85"/>
      <c r="K1027" s="82"/>
      <c r="L1027" s="82"/>
      <c r="M1027" s="82"/>
      <c r="N1027" s="82"/>
      <c r="O1027" s="82"/>
      <c r="P1027" s="82"/>
      <c r="Q1027" s="82"/>
      <c r="R1027" s="82"/>
    </row>
    <row r="1028" spans="1:18" x14ac:dyDescent="0.25">
      <c r="A1028" s="105"/>
      <c r="B1028" s="106"/>
      <c r="C1028" s="106"/>
      <c r="D1028" s="90"/>
      <c r="E1028" s="106"/>
      <c r="F1028" s="105"/>
      <c r="G1028" s="107"/>
      <c r="H1028" s="105"/>
      <c r="I1028" s="104"/>
      <c r="J1028" s="85"/>
      <c r="K1028" s="82"/>
      <c r="L1028" s="82"/>
      <c r="M1028" s="82"/>
      <c r="N1028" s="82"/>
      <c r="O1028" s="82"/>
      <c r="P1028" s="82"/>
      <c r="Q1028" s="82"/>
      <c r="R1028" s="82"/>
    </row>
    <row r="1029" spans="1:18" x14ac:dyDescent="0.25">
      <c r="A1029" s="105"/>
      <c r="B1029" s="106"/>
      <c r="C1029" s="106"/>
      <c r="D1029" s="90"/>
      <c r="E1029" s="106"/>
      <c r="F1029" s="105"/>
      <c r="G1029" s="107"/>
      <c r="H1029" s="105"/>
      <c r="I1029" s="104"/>
      <c r="J1029" s="85"/>
      <c r="K1029" s="82"/>
      <c r="L1029" s="82"/>
      <c r="M1029" s="82"/>
      <c r="N1029" s="82"/>
      <c r="O1029" s="82"/>
      <c r="P1029" s="82"/>
      <c r="Q1029" s="82"/>
      <c r="R1029" s="82"/>
    </row>
    <row r="1030" spans="1:18" x14ac:dyDescent="0.25">
      <c r="A1030" s="105"/>
      <c r="B1030" s="106"/>
      <c r="C1030" s="106"/>
      <c r="D1030" s="90"/>
      <c r="E1030" s="106"/>
      <c r="F1030" s="105"/>
      <c r="G1030" s="107"/>
      <c r="H1030" s="105"/>
      <c r="I1030" s="104"/>
      <c r="J1030" s="85"/>
      <c r="K1030" s="82"/>
      <c r="L1030" s="82"/>
      <c r="M1030" s="82"/>
      <c r="N1030" s="82"/>
      <c r="O1030" s="82"/>
      <c r="P1030" s="82"/>
      <c r="Q1030" s="82"/>
      <c r="R1030" s="82"/>
    </row>
    <row r="1031" spans="1:18" x14ac:dyDescent="0.25">
      <c r="A1031" s="105"/>
      <c r="B1031" s="106"/>
      <c r="C1031" s="106"/>
      <c r="D1031" s="90"/>
      <c r="E1031" s="106"/>
      <c r="F1031" s="105"/>
      <c r="G1031" s="107"/>
      <c r="H1031" s="105"/>
      <c r="I1031" s="104"/>
      <c r="J1031" s="85"/>
      <c r="K1031" s="82"/>
      <c r="L1031" s="82"/>
      <c r="M1031" s="82"/>
      <c r="N1031" s="82"/>
      <c r="O1031" s="82"/>
      <c r="P1031" s="82"/>
      <c r="Q1031" s="82"/>
      <c r="R1031" s="82"/>
    </row>
    <row r="1032" spans="1:18" x14ac:dyDescent="0.25">
      <c r="A1032" s="105"/>
      <c r="B1032" s="106"/>
      <c r="C1032" s="106"/>
      <c r="D1032" s="90"/>
      <c r="E1032" s="106"/>
      <c r="F1032" s="105"/>
      <c r="G1032" s="107"/>
      <c r="H1032" s="105"/>
      <c r="I1032" s="104"/>
      <c r="J1032" s="85"/>
      <c r="K1032" s="82"/>
      <c r="L1032" s="82"/>
      <c r="M1032" s="82"/>
      <c r="N1032" s="82"/>
      <c r="O1032" s="82"/>
      <c r="P1032" s="82"/>
      <c r="Q1032" s="82"/>
      <c r="R1032" s="82"/>
    </row>
    <row r="1033" spans="1:18" x14ac:dyDescent="0.25">
      <c r="A1033" s="105"/>
      <c r="B1033" s="106"/>
      <c r="C1033" s="106"/>
      <c r="D1033" s="90"/>
      <c r="E1033" s="106"/>
      <c r="F1033" s="105"/>
      <c r="G1033" s="107"/>
      <c r="H1033" s="105"/>
      <c r="I1033" s="104"/>
      <c r="J1033" s="85"/>
      <c r="K1033" s="82"/>
      <c r="L1033" s="82"/>
      <c r="M1033" s="82"/>
      <c r="N1033" s="82"/>
      <c r="O1033" s="82"/>
      <c r="P1033" s="82"/>
      <c r="Q1033" s="82"/>
      <c r="R1033" s="82"/>
    </row>
    <row r="1034" spans="1:18" x14ac:dyDescent="0.25">
      <c r="A1034" s="105"/>
      <c r="B1034" s="106"/>
      <c r="C1034" s="106"/>
      <c r="D1034" s="90"/>
      <c r="E1034" s="106"/>
      <c r="F1034" s="105"/>
      <c r="G1034" s="107"/>
      <c r="H1034" s="105"/>
      <c r="I1034" s="104"/>
      <c r="J1034" s="85"/>
      <c r="K1034" s="82"/>
      <c r="L1034" s="82"/>
      <c r="M1034" s="82"/>
      <c r="N1034" s="82"/>
      <c r="O1034" s="82"/>
      <c r="P1034" s="82"/>
      <c r="Q1034" s="82"/>
      <c r="R1034" s="82"/>
    </row>
    <row r="1035" spans="1:18" x14ac:dyDescent="0.25">
      <c r="A1035" s="105"/>
      <c r="B1035" s="106"/>
      <c r="C1035" s="106"/>
      <c r="D1035" s="90"/>
      <c r="E1035" s="106"/>
      <c r="F1035" s="105"/>
      <c r="G1035" s="107"/>
      <c r="H1035" s="105"/>
      <c r="I1035" s="104"/>
      <c r="J1035" s="85"/>
      <c r="K1035" s="82"/>
      <c r="L1035" s="82"/>
      <c r="M1035" s="82"/>
      <c r="N1035" s="82"/>
      <c r="O1035" s="82"/>
      <c r="P1035" s="82"/>
      <c r="Q1035" s="82"/>
      <c r="R1035" s="82"/>
    </row>
    <row r="1036" spans="1:18" x14ac:dyDescent="0.25">
      <c r="A1036" s="105"/>
      <c r="B1036" s="106"/>
      <c r="C1036" s="106"/>
      <c r="D1036" s="90"/>
      <c r="E1036" s="106"/>
      <c r="F1036" s="105"/>
      <c r="G1036" s="107"/>
      <c r="H1036" s="105"/>
      <c r="I1036" s="104"/>
      <c r="J1036" s="85"/>
      <c r="K1036" s="82"/>
      <c r="L1036" s="82"/>
      <c r="M1036" s="82"/>
      <c r="N1036" s="82"/>
      <c r="O1036" s="82"/>
      <c r="P1036" s="82"/>
      <c r="Q1036" s="82"/>
      <c r="R1036" s="82"/>
    </row>
    <row r="1037" spans="1:18" x14ac:dyDescent="0.25">
      <c r="A1037" s="105"/>
      <c r="B1037" s="106"/>
      <c r="C1037" s="106"/>
      <c r="D1037" s="90"/>
      <c r="E1037" s="106"/>
      <c r="F1037" s="105"/>
      <c r="G1037" s="107"/>
      <c r="H1037" s="105"/>
      <c r="I1037" s="104"/>
      <c r="J1037" s="85"/>
      <c r="K1037" s="82"/>
      <c r="L1037" s="82"/>
      <c r="M1037" s="82"/>
      <c r="N1037" s="82"/>
      <c r="O1037" s="82"/>
      <c r="P1037" s="82"/>
      <c r="Q1037" s="82"/>
      <c r="R1037" s="82"/>
    </row>
    <row r="1038" spans="1:18" x14ac:dyDescent="0.25">
      <c r="A1038" s="105"/>
      <c r="B1038" s="106"/>
      <c r="C1038" s="106"/>
      <c r="D1038" s="90"/>
      <c r="E1038" s="106"/>
      <c r="F1038" s="105"/>
      <c r="G1038" s="107"/>
      <c r="H1038" s="105"/>
      <c r="I1038" s="104"/>
      <c r="J1038" s="85"/>
      <c r="K1038" s="82"/>
      <c r="L1038" s="82"/>
      <c r="M1038" s="82"/>
      <c r="N1038" s="82"/>
      <c r="O1038" s="82"/>
      <c r="P1038" s="82"/>
      <c r="Q1038" s="82"/>
      <c r="R1038" s="82"/>
    </row>
  </sheetData>
  <autoFilter ref="A1:BL737"/>
  <sortState ref="A10:F85">
    <sortCondition ref="A10:A85"/>
  </sortState>
  <customSheetViews>
    <customSheetView guid="{A07C3692-EABB-4B74-AB1D-882B5273FA86}" scale="120" fitToPage="1">
      <pane ySplit="9" topLeftCell="A106" activePane="bottomLeft" state="frozen"/>
      <selection pane="bottomLeft" activeCell="A126" sqref="A126"/>
      <pageMargins left="0.7" right="0.7" top="0.78740157499999996" bottom="0.78740157499999996" header="0.3" footer="0.3"/>
      <pageSetup paperSize="9" scale="40" orientation="portrait" r:id="rId1"/>
    </customSheetView>
    <customSheetView guid="{68C13D92-B8D6-49ED-87BD-F1D56A18DAE6}" fitToPage="1" topLeftCell="E1">
      <pane ySplit="9" topLeftCell="A801" activePane="bottomLeft" state="frozen"/>
      <selection pane="bottomLeft" activeCell="N828" sqref="N828"/>
      <pageMargins left="0.7" right="0.7" top="0.78740157499999996" bottom="0.78740157499999996" header="0.3" footer="0.3"/>
      <pageSetup paperSize="9" scale="40" orientation="portrait" r:id="rId2"/>
    </customSheetView>
    <customSheetView guid="{47C58E4F-4B0A-4F6D-9AC2-D5A8CE817A2D}" scale="120" fitToPage="1">
      <pane ySplit="9" topLeftCell="A4938" activePane="bottomLeft" state="frozen"/>
      <selection pane="bottomLeft" activeCell="D4947" sqref="D4947"/>
      <pageMargins left="0.7" right="0.7" top="0.78740157499999996" bottom="0.78740157499999996" header="0.3" footer="0.3"/>
      <pageSetup paperSize="9" scale="40" orientation="portrait" r:id="rId3"/>
    </customSheetView>
    <customSheetView guid="{20DC5495-FE75-4D22-AD3C-8B82E591B4A2}" fitToPage="1" topLeftCell="J1">
      <pane ySplit="9" topLeftCell="A176" activePane="bottomLeft" state="frozen"/>
      <selection pane="bottomLeft" activeCell="L3" sqref="L3"/>
      <pageMargins left="0.7" right="0.7" top="0.78740157499999996" bottom="0.78740157499999996" header="0.3" footer="0.3"/>
      <pageSetup paperSize="9" scale="40" orientation="portrait" r:id="rId4"/>
    </customSheetView>
    <customSheetView guid="{1FBC8F12-DC43-44D9-90D9-A91B72085471}" scale="90" fitToPage="1" topLeftCell="E1">
      <pane ySplit="9" topLeftCell="A606" activePane="bottomLeft" state="frozen"/>
      <selection pane="bottomLeft" activeCell="N607" sqref="N607"/>
      <pageMargins left="0.7" right="0.7" top="0.78740157499999996" bottom="0.78740157499999996" header="0.3" footer="0.3"/>
      <pageSetup paperSize="9" scale="40" orientation="portrait" r:id="rId5"/>
    </customSheetView>
    <customSheetView guid="{38B2E3C7-1DFA-4658-A758-B49C3FF0D76D}" scale="130" fitToPage="1" topLeftCell="H1">
      <pane ySplit="9" topLeftCell="A601" activePane="bottomLeft" state="frozen"/>
      <selection pane="bottomLeft" activeCell="N615" sqref="N615"/>
      <pageMargins left="0.7" right="0.7" top="0.78740157499999996" bottom="0.78740157499999996" header="0.3" footer="0.3"/>
      <pageSetup paperSize="9" scale="40" orientation="portrait" r:id="rId6"/>
    </customSheetView>
  </customSheetViews>
  <conditionalFormatting sqref="E2:E682 E684:E737 S2:BJ737">
    <cfRule type="expression" dxfId="2" priority="2">
      <formula>MOD(SUBTOTAL(103,$E$2:$E2),2)=0</formula>
    </cfRule>
  </conditionalFormatting>
  <pageMargins left="0.7" right="0.7" top="0.78740157499999996" bottom="0.78740157499999996" header="0.3" footer="0.3"/>
  <pageSetup paperSize="9" scale="10" orientation="portrait" r:id="rId7"/>
  <ignoredErrors>
    <ignoredError sqref="X739 AA739 AC739 AG739 AK739 AO739 AQ739 AG751 BH739 BF739 AT739 AA751" formula="1"/>
  </ignoredErrors>
  <drawing r:id="rId8"/>
  <legacyDrawing r:id="rId9"/>
  <extLst>
    <ext xmlns:x14="http://schemas.microsoft.com/office/spreadsheetml/2009/9/main" uri="{CCE6A557-97BC-4b89-ADB6-D9C93CAAB3DF}">
      <x14:dataValidations xmlns:xm="http://schemas.microsoft.com/office/excel/2006/main" count="10">
        <x14:dataValidation type="list" allowBlank="1" showInputMessage="1" showErrorMessage="1">
          <x14:formula1>
            <xm:f>Legende!$F$20:$F$22</xm:f>
          </x14:formula1>
          <xm:sqref>I2:I1048576</xm:sqref>
        </x14:dataValidation>
        <x14:dataValidation type="list" allowBlank="1" showInputMessage="1" showErrorMessage="1">
          <x14:formula1>
            <xm:f>Legende!$D$50</xm:f>
          </x14:formula1>
          <xm:sqref>F1:F1048576</xm:sqref>
        </x14:dataValidation>
        <x14:dataValidation type="list" allowBlank="1" showInputMessage="1" showErrorMessage="1">
          <x14:formula1>
            <xm:f>Legende!$B$20:$B$32</xm:f>
          </x14:formula1>
          <xm:sqref>G1:G1048576</xm:sqref>
        </x14:dataValidation>
        <x14:dataValidation type="list" allowBlank="1" showInputMessage="1" showErrorMessage="1">
          <x14:formula1>
            <xm:f>Legende!$E$20:$E$23</xm:f>
          </x14:formula1>
          <xm:sqref>H1:H738 H743:H748 H750 H752:H1048576</xm:sqref>
        </x14:dataValidation>
        <x14:dataValidation type="list" allowBlank="1" showInputMessage="1" showErrorMessage="1">
          <x14:formula1>
            <xm:f>Legende!$C$39:$C$40</xm:f>
          </x14:formula1>
          <xm:sqref>K1:K1048576</xm:sqref>
        </x14:dataValidation>
        <x14:dataValidation type="list" allowBlank="1" showInputMessage="1" showErrorMessage="1">
          <x14:formula1>
            <xm:f>Legende!$A$54:$A$57</xm:f>
          </x14:formula1>
          <xm:sqref>N1:N1048576</xm:sqref>
        </x14:dataValidation>
        <x14:dataValidation type="list" allowBlank="1" showInputMessage="1" showErrorMessage="1">
          <x14:formula1>
            <xm:f>Legende!$C$20:$C$37</xm:f>
          </x14:formula1>
          <xm:sqref>J1:J1048576</xm:sqref>
        </x14:dataValidation>
        <x14:dataValidation type="list" allowBlank="1" showInputMessage="1" showErrorMessage="1">
          <x14:formula1>
            <xm:f>Legende!$D$46:$D$49</xm:f>
          </x14:formula1>
          <xm:sqref>M1:M1048576</xm:sqref>
        </x14:dataValidation>
        <x14:dataValidation type="list" allowBlank="1" showInputMessage="1" showErrorMessage="1">
          <x14:formula1>
            <xm:f>Legende!$B$38:$B$50</xm:f>
          </x14:formula1>
          <xm:sqref>O1:O1048576</xm:sqref>
        </x14:dataValidation>
        <x14:dataValidation type="list" allowBlank="1" showInputMessage="1" showErrorMessage="1">
          <x14:formula1>
            <xm:f>Legende!$D$20:$D$28</xm:f>
          </x14:formula1>
          <xm:sqref>L1:L1048576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B740"/>
  <sheetViews>
    <sheetView zoomScale="90" zoomScaleNormal="90" workbookViewId="0">
      <pane xSplit="5" ySplit="1" topLeftCell="U119" activePane="bottomRight" state="frozen"/>
      <selection activeCell="H701" sqref="H701"/>
      <selection pane="topRight" activeCell="H701" sqref="H701"/>
      <selection pane="bottomLeft" activeCell="H701" sqref="H701"/>
      <selection pane="bottomRight" activeCell="Z123" sqref="Z123"/>
    </sheetView>
  </sheetViews>
  <sheetFormatPr baseColWidth="10" defaultColWidth="11" defaultRowHeight="11.5" x14ac:dyDescent="0.25"/>
  <cols>
    <col min="1" max="1" width="7" style="63" customWidth="1"/>
    <col min="2" max="2" width="17.36328125" style="63" customWidth="1"/>
    <col min="3" max="3" width="11.08984375" style="63" customWidth="1"/>
    <col min="4" max="4" width="29" style="63" customWidth="1"/>
    <col min="5" max="5" width="28.7265625" style="65" bestFit="1" customWidth="1"/>
    <col min="6" max="6" width="9" style="65" bestFit="1" customWidth="1"/>
    <col min="7" max="11" width="10.90625" style="93"/>
    <col min="12" max="12" width="11.08984375" style="93" customWidth="1"/>
    <col min="13" max="13" width="10.90625" style="93"/>
    <col min="14" max="14" width="11.08984375" style="93" customWidth="1"/>
    <col min="15" max="22" width="10.90625" style="93"/>
    <col min="23" max="23" width="11" style="94"/>
    <col min="24" max="24" width="10.90625" style="103"/>
    <col min="25" max="25" width="10.90625" style="93"/>
    <col min="26" max="27" width="33.6328125" style="81" customWidth="1"/>
    <col min="28" max="28" width="11" style="93"/>
    <col min="29" max="16384" width="11" style="63"/>
  </cols>
  <sheetData>
    <row r="1" spans="1:28" s="93" customFormat="1" ht="108" x14ac:dyDescent="0.25">
      <c r="A1" s="80" t="s">
        <v>9</v>
      </c>
      <c r="B1" s="80" t="s">
        <v>87</v>
      </c>
      <c r="C1" s="80" t="s">
        <v>88</v>
      </c>
      <c r="D1" s="80" t="s">
        <v>100</v>
      </c>
      <c r="E1" s="80" t="s">
        <v>10</v>
      </c>
      <c r="F1" s="78" t="s">
        <v>39</v>
      </c>
      <c r="G1" s="78" t="s">
        <v>1858</v>
      </c>
      <c r="H1" s="78" t="s">
        <v>1859</v>
      </c>
      <c r="I1" s="78" t="s">
        <v>1832</v>
      </c>
      <c r="J1" s="78" t="s">
        <v>1860</v>
      </c>
      <c r="K1" s="78" t="s">
        <v>1833</v>
      </c>
      <c r="L1" s="78" t="s">
        <v>1861</v>
      </c>
      <c r="M1" s="78" t="s">
        <v>1766</v>
      </c>
      <c r="N1" s="78" t="s">
        <v>1862</v>
      </c>
      <c r="O1" s="78" t="s">
        <v>1863</v>
      </c>
      <c r="P1" s="78" t="s">
        <v>1864</v>
      </c>
      <c r="Q1" s="78" t="s">
        <v>1865</v>
      </c>
      <c r="R1" s="78" t="s">
        <v>1866</v>
      </c>
      <c r="S1" s="78" t="s">
        <v>1867</v>
      </c>
      <c r="T1" s="78" t="s">
        <v>1868</v>
      </c>
      <c r="U1" s="78" t="s">
        <v>1869</v>
      </c>
      <c r="V1" s="78" t="s">
        <v>1870</v>
      </c>
      <c r="W1" s="78" t="s">
        <v>1871</v>
      </c>
      <c r="X1" s="78" t="s">
        <v>1872</v>
      </c>
      <c r="Y1" s="78" t="s">
        <v>1720</v>
      </c>
      <c r="Z1" s="78" t="s">
        <v>1857</v>
      </c>
      <c r="AA1" s="79" t="s">
        <v>1873</v>
      </c>
      <c r="AB1" s="79" t="s">
        <v>1854</v>
      </c>
    </row>
    <row r="2" spans="1:28" x14ac:dyDescent="0.25">
      <c r="A2" s="63">
        <f>'II_Inkunabeln+'!A2</f>
        <v>1</v>
      </c>
      <c r="B2" s="63" t="str">
        <f>'II_Inkunabeln+'!B2</f>
        <v>L-1498-327681713</v>
      </c>
      <c r="C2" s="63" t="str">
        <f>'II_Inkunabeln+'!C2</f>
        <v>107238311X</v>
      </c>
      <c r="D2" s="84" t="str">
        <f>'II_Inkunabeln+'!D2</f>
        <v>https://portal.dnb.de/opac.htm?method=simpleSearch&amp;cqlMode=true&amp;query=idn%3D107238311X</v>
      </c>
      <c r="E2" s="65" t="str">
        <f>'II_Inkunabeln+'!E2</f>
        <v>II 86A,1a - Fragm.</v>
      </c>
      <c r="F2" s="65" t="str">
        <f>'II_Inkunabeln+'!H2</f>
        <v>bis 35 cm</v>
      </c>
      <c r="G2" s="93" t="str">
        <f>'II_Inkunabeln+'!X2</f>
        <v>HL</v>
      </c>
      <c r="H2" s="93" t="str">
        <f>'II_Inkunabeln+'!AA2</f>
        <v>f</v>
      </c>
      <c r="I2" s="93">
        <f>'II_Inkunabeln+'!AC2</f>
        <v>0</v>
      </c>
      <c r="K2" s="93">
        <f>'II_Inkunabeln+'!AD2</f>
        <v>0</v>
      </c>
      <c r="W2" s="94" t="str">
        <f>'II_Inkunabeln+'!BA2</f>
        <v>n</v>
      </c>
      <c r="X2" s="108"/>
      <c r="Y2" s="93">
        <f>'II_Inkunabeln+'!BI2</f>
        <v>0</v>
      </c>
      <c r="Z2" s="81">
        <f>'II_Inkunabeln+'!BJ2</f>
        <v>0</v>
      </c>
    </row>
    <row r="3" spans="1:28" x14ac:dyDescent="0.25">
      <c r="A3" s="63">
        <f>'II_Inkunabeln+'!A3</f>
        <v>2</v>
      </c>
      <c r="B3" s="63" t="str">
        <f>'II_Inkunabeln+'!B3</f>
        <v>L-1454-315496827</v>
      </c>
      <c r="C3" s="63">
        <f>'II_Inkunabeln+'!C3</f>
        <v>1066966540</v>
      </c>
      <c r="D3" s="84" t="str">
        <f>'II_Inkunabeln+'!D3</f>
        <v>https://portal.dnb.de/opac.htm?method=simpleSearch&amp;cqlMode=true&amp;query=idn%3D1066966540</v>
      </c>
      <c r="E3" s="65" t="str">
        <f>'II_Inkunabeln+'!E3</f>
        <v>II 1,1ab - Fragm.</v>
      </c>
      <c r="F3" s="65">
        <f>'II_Inkunabeln+'!H3</f>
        <v>0</v>
      </c>
      <c r="G3" s="93">
        <f>'II_Inkunabeln+'!X3</f>
        <v>0</v>
      </c>
      <c r="H3" s="93">
        <f>'II_Inkunabeln+'!AA3</f>
        <v>0</v>
      </c>
      <c r="I3" s="93">
        <f>'II_Inkunabeln+'!AC3</f>
        <v>0</v>
      </c>
      <c r="K3" s="93">
        <f>'II_Inkunabeln+'!AD3</f>
        <v>0</v>
      </c>
      <c r="W3" s="94">
        <f>'II_Inkunabeln+'!BA3</f>
        <v>0</v>
      </c>
      <c r="X3" s="108"/>
      <c r="Y3" s="93">
        <f>'II_Inkunabeln+'!BI3</f>
        <v>0</v>
      </c>
      <c r="Z3" s="81">
        <f>'II_Inkunabeln+'!BJ3</f>
        <v>0</v>
      </c>
    </row>
    <row r="4" spans="1:28" x14ac:dyDescent="0.25">
      <c r="A4" s="63">
        <f>'II_Inkunabeln+'!A4</f>
        <v>3</v>
      </c>
      <c r="B4" s="63" t="str">
        <f>'II_Inkunabeln+'!B4</f>
        <v>L-1459-315498269</v>
      </c>
      <c r="C4" s="63">
        <f>'II_Inkunabeln+'!C4</f>
        <v>1066967997</v>
      </c>
      <c r="D4" s="84" t="str">
        <f>'II_Inkunabeln+'!D4</f>
        <v>https://portal.dnb.de/opac.htm?method=simpleSearch&amp;cqlMode=true&amp;query=idn%3D1066967997</v>
      </c>
      <c r="E4" s="65" t="str">
        <f>'II_Inkunabeln+'!E4</f>
        <v>II 1,2ba - Fragm.</v>
      </c>
      <c r="F4" s="65">
        <f>'II_Inkunabeln+'!H4</f>
        <v>0</v>
      </c>
      <c r="G4" s="93">
        <f>'II_Inkunabeln+'!X4</f>
        <v>0</v>
      </c>
      <c r="H4" s="93">
        <f>'II_Inkunabeln+'!AA4</f>
        <v>0</v>
      </c>
      <c r="I4" s="93">
        <f>'II_Inkunabeln+'!AC4</f>
        <v>0</v>
      </c>
      <c r="K4" s="93">
        <f>'II_Inkunabeln+'!AD4</f>
        <v>0</v>
      </c>
      <c r="W4" s="94">
        <f>'II_Inkunabeln+'!BA4</f>
        <v>0</v>
      </c>
      <c r="X4" s="108"/>
      <c r="Y4" s="93">
        <f>'II_Inkunabeln+'!BI4</f>
        <v>0</v>
      </c>
      <c r="Z4" s="81">
        <f>'II_Inkunabeln+'!BJ4</f>
        <v>0</v>
      </c>
    </row>
    <row r="5" spans="1:28" x14ac:dyDescent="0.25">
      <c r="A5" s="63">
        <f>'II_Inkunabeln+'!A5</f>
        <v>4</v>
      </c>
      <c r="B5" s="63" t="str">
        <f>'II_Inkunabeln+'!B5</f>
        <v>L-1462-31549669X</v>
      </c>
      <c r="C5" s="63">
        <f>'II_Inkunabeln+'!C5</f>
        <v>1066966419</v>
      </c>
      <c r="D5" s="84" t="str">
        <f>'II_Inkunabeln+'!D5</f>
        <v>https://portal.dnb.de/opac.htm?method=simpleSearch&amp;cqlMode=true&amp;query=idn%3D1066966419</v>
      </c>
      <c r="E5" s="65" t="str">
        <f>'II_Inkunabeln+'!E5</f>
        <v>II 1,2ca - Fragm.</v>
      </c>
      <c r="F5" s="65">
        <f>'II_Inkunabeln+'!H5</f>
        <v>0</v>
      </c>
      <c r="G5" s="93">
        <f>'II_Inkunabeln+'!X5</f>
        <v>0</v>
      </c>
      <c r="H5" s="93">
        <f>'II_Inkunabeln+'!AA5</f>
        <v>0</v>
      </c>
      <c r="I5" s="93">
        <f>'II_Inkunabeln+'!AC5</f>
        <v>0</v>
      </c>
      <c r="K5" s="93">
        <f>'II_Inkunabeln+'!AD5</f>
        <v>0</v>
      </c>
      <c r="W5" s="94">
        <f>'II_Inkunabeln+'!BA5</f>
        <v>0</v>
      </c>
      <c r="X5" s="108"/>
      <c r="Y5" s="93">
        <f>'II_Inkunabeln+'!BI5</f>
        <v>0</v>
      </c>
      <c r="Z5" s="81">
        <f>'II_Inkunabeln+'!BJ5</f>
        <v>0</v>
      </c>
    </row>
    <row r="6" spans="1:28" x14ac:dyDescent="0.25">
      <c r="A6" s="63">
        <f>'II_Inkunabeln+'!A6</f>
        <v>5</v>
      </c>
      <c r="B6" s="63" t="str">
        <f>'II_Inkunabeln+'!B6</f>
        <v>L-1467-315495871</v>
      </c>
      <c r="C6" s="63" t="str">
        <f>'II_Inkunabeln+'!C6</f>
        <v>106696565X</v>
      </c>
      <c r="D6" s="84" t="str">
        <f>'II_Inkunabeln+'!D6</f>
        <v>https://portal.dnb.de/opac.htm?method=simpleSearch&amp;cqlMode=true&amp;query=idn%3D106696565X</v>
      </c>
      <c r="E6" s="65" t="str">
        <f>'II_Inkunabeln+'!E6</f>
        <v>II 1,2e</v>
      </c>
      <c r="F6" s="65" t="str">
        <f>'II_Inkunabeln+'!H6</f>
        <v>bis 35 cm</v>
      </c>
      <c r="G6" s="93" t="str">
        <f>'II_Inkunabeln+'!X6</f>
        <v>L</v>
      </c>
      <c r="H6" s="93" t="str">
        <f>'II_Inkunabeln+'!AA6</f>
        <v>h/E</v>
      </c>
      <c r="I6" s="93">
        <f>'II_Inkunabeln+'!AC6</f>
        <v>0</v>
      </c>
      <c r="J6" s="94"/>
      <c r="K6" s="93">
        <f>'II_Inkunabeln+'!AD6</f>
        <v>0</v>
      </c>
      <c r="L6" s="94"/>
      <c r="M6" s="94"/>
      <c r="N6" s="94"/>
      <c r="O6" s="94"/>
      <c r="P6" s="94"/>
      <c r="Q6" s="94"/>
      <c r="R6" s="94"/>
      <c r="S6" s="94"/>
      <c r="T6" s="94"/>
      <c r="U6" s="94"/>
      <c r="V6" s="94"/>
      <c r="W6" s="94" t="str">
        <f>'II_Inkunabeln+'!BA6</f>
        <v>n</v>
      </c>
      <c r="X6" s="108"/>
      <c r="Y6" s="93">
        <f>'II_Inkunabeln+'!BI6</f>
        <v>0</v>
      </c>
      <c r="Z6" s="81">
        <f>'II_Inkunabeln+'!BJ6</f>
        <v>0</v>
      </c>
    </row>
    <row r="7" spans="1:28" x14ac:dyDescent="0.25">
      <c r="A7" s="63">
        <f>'II_Inkunabeln+'!A7</f>
        <v>6</v>
      </c>
      <c r="B7" s="63" t="str">
        <f>'II_Inkunabeln+'!B7</f>
        <v>L-1468-315499850</v>
      </c>
      <c r="C7" s="63">
        <f>'II_Inkunabeln+'!C7</f>
        <v>1066969531</v>
      </c>
      <c r="D7" s="84" t="str">
        <f>'II_Inkunabeln+'!D7</f>
        <v>https://portal.dnb.de/opac.htm?method=simpleSearch&amp;cqlMode=true&amp;query=idn%3D1066969531</v>
      </c>
      <c r="E7" s="65" t="str">
        <f>'II_Inkunabeln+'!E7</f>
        <v>II 1,3b</v>
      </c>
      <c r="F7" s="65">
        <f>'II_Inkunabeln+'!H7</f>
        <v>0</v>
      </c>
      <c r="G7" s="93">
        <f>'II_Inkunabeln+'!X7</f>
        <v>0</v>
      </c>
      <c r="H7" s="93">
        <f>'II_Inkunabeln+'!AA7</f>
        <v>0</v>
      </c>
      <c r="I7" s="93">
        <f>'II_Inkunabeln+'!AC7</f>
        <v>0</v>
      </c>
      <c r="J7" s="94"/>
      <c r="K7" s="93">
        <f>'II_Inkunabeln+'!AD7</f>
        <v>0</v>
      </c>
      <c r="L7" s="94"/>
      <c r="M7" s="94"/>
      <c r="N7" s="94"/>
      <c r="O7" s="94"/>
      <c r="P7" s="94"/>
      <c r="Q7" s="94"/>
      <c r="R7" s="94"/>
      <c r="S7" s="94"/>
      <c r="T7" s="94"/>
      <c r="U7" s="94"/>
      <c r="V7" s="94"/>
      <c r="W7" s="94">
        <f>'II_Inkunabeln+'!BA7</f>
        <v>0</v>
      </c>
      <c r="X7" s="108"/>
      <c r="Y7" s="93">
        <f>'II_Inkunabeln+'!BI7</f>
        <v>0</v>
      </c>
      <c r="Z7" s="81">
        <f>'II_Inkunabeln+'!BJ7</f>
        <v>0</v>
      </c>
    </row>
    <row r="8" spans="1:28" x14ac:dyDescent="0.25">
      <c r="A8" s="63">
        <f>'II_Inkunabeln+'!A8</f>
        <v>7</v>
      </c>
      <c r="B8" s="63" t="str">
        <f>'II_Inkunabeln+'!B8</f>
        <v>L-1492-315497408</v>
      </c>
      <c r="C8" s="63">
        <f>'II_Inkunabeln+'!C8</f>
        <v>1066967148</v>
      </c>
      <c r="D8" s="84" t="str">
        <f>'II_Inkunabeln+'!D8</f>
        <v>https://portal.dnb.de/opac.htm?method=simpleSearch&amp;cqlMode=true&amp;query=idn%3D1066967148</v>
      </c>
      <c r="E8" s="65" t="str">
        <f>'II_Inkunabeln+'!E8</f>
        <v>II 1,3ba kursiv - Fragm.</v>
      </c>
      <c r="F8" s="65">
        <f>'II_Inkunabeln+'!H8</f>
        <v>0</v>
      </c>
      <c r="G8" s="93">
        <f>'II_Inkunabeln+'!X8</f>
        <v>0</v>
      </c>
      <c r="H8" s="93">
        <f>'II_Inkunabeln+'!AA8</f>
        <v>0</v>
      </c>
      <c r="I8" s="93">
        <f>'II_Inkunabeln+'!AC8</f>
        <v>0</v>
      </c>
      <c r="J8" s="94"/>
      <c r="K8" s="93">
        <f>'II_Inkunabeln+'!AD8</f>
        <v>0</v>
      </c>
      <c r="L8" s="94"/>
      <c r="M8" s="94"/>
      <c r="N8" s="94"/>
      <c r="O8" s="94"/>
      <c r="P8" s="94"/>
      <c r="Q8" s="94"/>
      <c r="R8" s="94"/>
      <c r="S8" s="94"/>
      <c r="T8" s="94"/>
      <c r="U8" s="94"/>
      <c r="V8" s="94"/>
      <c r="W8" s="94">
        <f>'II_Inkunabeln+'!BA8</f>
        <v>0</v>
      </c>
      <c r="X8" s="108"/>
      <c r="Y8" s="93">
        <f>'II_Inkunabeln+'!BI8</f>
        <v>0</v>
      </c>
      <c r="Z8" s="81">
        <f>'II_Inkunabeln+'!BJ8</f>
        <v>0</v>
      </c>
    </row>
    <row r="9" spans="1:28" x14ac:dyDescent="0.25">
      <c r="A9" s="63">
        <f>'II_Inkunabeln+'!A9</f>
        <v>8</v>
      </c>
      <c r="B9" s="63" t="str">
        <f>'II_Inkunabeln+'!B9</f>
        <v>L-1469-315503122</v>
      </c>
      <c r="C9" s="63">
        <f>'II_Inkunabeln+'!C9</f>
        <v>1066972710</v>
      </c>
      <c r="D9" s="84" t="str">
        <f>'II_Inkunabeln+'!D9</f>
        <v>https://portal.dnb.de/opac.htm?method=simpleSearch&amp;cqlMode=true&amp;query=idn%3D1066972710</v>
      </c>
      <c r="E9" s="65" t="str">
        <f>'II_Inkunabeln+'!E9</f>
        <v>II 1,3c</v>
      </c>
      <c r="F9" s="65" t="str">
        <f>'II_Inkunabeln+'!H9</f>
        <v>bis 42 cm</v>
      </c>
      <c r="G9" s="93" t="str">
        <f>'II_Inkunabeln+'!X9</f>
        <v>HL</v>
      </c>
      <c r="H9" s="93" t="str">
        <f>'II_Inkunabeln+'!AA9</f>
        <v>h/E</v>
      </c>
      <c r="I9" s="93">
        <f>'II_Inkunabeln+'!AC9</f>
        <v>0</v>
      </c>
      <c r="J9" s="94"/>
      <c r="K9" s="93">
        <f>'II_Inkunabeln+'!AD9</f>
        <v>0</v>
      </c>
      <c r="L9" s="94"/>
      <c r="M9" s="94"/>
      <c r="N9" s="94"/>
      <c r="O9" s="94"/>
      <c r="P9" s="94"/>
      <c r="Q9" s="94"/>
      <c r="R9" s="94"/>
      <c r="S9" s="94"/>
      <c r="T9" s="94"/>
      <c r="U9" s="94"/>
      <c r="V9" s="94"/>
      <c r="W9" s="94" t="str">
        <f>'II_Inkunabeln+'!BA9</f>
        <v>n</v>
      </c>
      <c r="X9" s="108"/>
      <c r="Y9" s="93">
        <f>'II_Inkunabeln+'!BI9</f>
        <v>0</v>
      </c>
      <c r="Z9" s="81">
        <f>'II_Inkunabeln+'!BJ9</f>
        <v>0</v>
      </c>
    </row>
    <row r="10" spans="1:28" x14ac:dyDescent="0.25">
      <c r="A10" s="63">
        <f>'II_Inkunabeln+'!A10</f>
        <v>9</v>
      </c>
      <c r="B10" s="63" t="str">
        <f>'II_Inkunabeln+'!B10</f>
        <v>L-1493-315501316</v>
      </c>
      <c r="C10" s="63">
        <f>'II_Inkunabeln+'!C10</f>
        <v>1066970955</v>
      </c>
      <c r="D10" s="84" t="str">
        <f>'II_Inkunabeln+'!D10</f>
        <v>https://portal.dnb.de/opac.htm?method=simpleSearch&amp;cqlMode=true&amp;query=idn%3D1066970955</v>
      </c>
      <c r="E10" s="65" t="str">
        <f>'II_Inkunabeln+'!E10</f>
        <v>II 1,3c kursiv</v>
      </c>
      <c r="F10" s="65" t="str">
        <f>'II_Inkunabeln+'!H10</f>
        <v>bis 42 cm</v>
      </c>
      <c r="G10" s="93" t="str">
        <f>'II_Inkunabeln+'!X10</f>
        <v>Pg</v>
      </c>
      <c r="H10" s="93" t="str">
        <f>'II_Inkunabeln+'!AA10</f>
        <v>h/E</v>
      </c>
      <c r="I10" s="93">
        <f>'II_Inkunabeln+'!AC10</f>
        <v>0</v>
      </c>
      <c r="J10" s="94"/>
      <c r="K10" s="93">
        <f>'II_Inkunabeln+'!AD10</f>
        <v>0</v>
      </c>
      <c r="L10" s="94"/>
      <c r="M10" s="94"/>
      <c r="N10" s="94"/>
      <c r="O10" s="94"/>
      <c r="P10" s="94"/>
      <c r="Q10" s="94"/>
      <c r="R10" s="94"/>
      <c r="S10" s="94"/>
      <c r="T10" s="94"/>
      <c r="U10" s="94"/>
      <c r="V10" s="94"/>
      <c r="W10" s="94">
        <f>'II_Inkunabeln+'!BA10</f>
        <v>0</v>
      </c>
      <c r="X10" s="108"/>
      <c r="Y10" s="93">
        <f>'II_Inkunabeln+'!BI10</f>
        <v>0</v>
      </c>
      <c r="Z10" s="81">
        <f>'II_Inkunabeln+'!BJ10</f>
        <v>0</v>
      </c>
    </row>
    <row r="11" spans="1:28" x14ac:dyDescent="0.25">
      <c r="A11" s="63">
        <f>'II_Inkunabeln+'!A11</f>
        <v>10</v>
      </c>
      <c r="B11" s="63" t="str">
        <f>'II_Inkunabeln+'!B11</f>
        <v>L-1470-315499486</v>
      </c>
      <c r="C11" s="63">
        <f>'II_Inkunabeln+'!C11</f>
        <v>1066969183</v>
      </c>
      <c r="D11" s="84" t="str">
        <f>'II_Inkunabeln+'!D11</f>
        <v>https://portal.dnb.de/opac.htm?method=simpleSearch&amp;cqlMode=true&amp;query=idn%3D1066969183</v>
      </c>
      <c r="E11" s="65" t="str">
        <f>'II_Inkunabeln+'!E11</f>
        <v>II 1,3d</v>
      </c>
      <c r="F11" s="65" t="str">
        <f>'II_Inkunabeln+'!H11</f>
        <v>&gt; 42 cm</v>
      </c>
      <c r="G11" s="93">
        <f>'II_Inkunabeln+'!X11</f>
        <v>0</v>
      </c>
      <c r="H11" s="93">
        <f>'II_Inkunabeln+'!AA11</f>
        <v>0</v>
      </c>
      <c r="I11" s="93">
        <f>'II_Inkunabeln+'!AC11</f>
        <v>0</v>
      </c>
      <c r="J11" s="94"/>
      <c r="K11" s="93">
        <f>'II_Inkunabeln+'!AD11</f>
        <v>0</v>
      </c>
      <c r="L11" s="94"/>
      <c r="M11" s="94"/>
      <c r="N11" s="94"/>
      <c r="O11" s="94"/>
      <c r="P11" s="94"/>
      <c r="Q11" s="94"/>
      <c r="R11" s="94"/>
      <c r="S11" s="94"/>
      <c r="T11" s="94"/>
      <c r="U11" s="94"/>
      <c r="V11" s="94"/>
      <c r="W11" s="94">
        <f>'II_Inkunabeln+'!BA11</f>
        <v>0</v>
      </c>
      <c r="X11" s="108"/>
      <c r="Y11" s="93">
        <f>'II_Inkunabeln+'!BI11</f>
        <v>0</v>
      </c>
      <c r="Z11" s="81">
        <f>'II_Inkunabeln+'!BJ11</f>
        <v>0</v>
      </c>
    </row>
    <row r="12" spans="1:28" x14ac:dyDescent="0.25">
      <c r="A12" s="63">
        <f>'II_Inkunabeln+'!A12</f>
        <v>11</v>
      </c>
      <c r="B12" s="63" t="str">
        <f>'II_Inkunabeln+'!B12</f>
        <v>L-1470-315497106</v>
      </c>
      <c r="C12" s="63" t="str">
        <f>'II_Inkunabeln+'!C12</f>
        <v>106696680X</v>
      </c>
      <c r="D12" s="84" t="str">
        <f>'II_Inkunabeln+'!D12</f>
        <v>https://portal.dnb.de/opac.htm?method=simpleSearch&amp;cqlMode=true&amp;query=idn%3D106696680X</v>
      </c>
      <c r="E12" s="65" t="str">
        <f>'II_Inkunabeln+'!E12</f>
        <v>II 1,3d kursiv</v>
      </c>
      <c r="F12" s="65" t="str">
        <f>'II_Inkunabeln+'!H12</f>
        <v>bis 25 cm</v>
      </c>
      <c r="G12" s="93" t="str">
        <f>'II_Inkunabeln+'!X12</f>
        <v>HPg</v>
      </c>
      <c r="H12" s="93" t="str">
        <f>'II_Inkunabeln+'!AA12</f>
        <v>h/E</v>
      </c>
      <c r="I12" s="93">
        <f>'II_Inkunabeln+'!AC12</f>
        <v>0</v>
      </c>
      <c r="J12" s="94"/>
      <c r="K12" s="93">
        <f>'II_Inkunabeln+'!AD12</f>
        <v>0</v>
      </c>
      <c r="L12" s="94"/>
      <c r="M12" s="94"/>
      <c r="N12" s="94"/>
      <c r="O12" s="94"/>
      <c r="P12" s="94"/>
      <c r="Q12" s="94"/>
      <c r="R12" s="94"/>
      <c r="S12" s="94"/>
      <c r="T12" s="94"/>
      <c r="U12" s="94"/>
      <c r="V12" s="94"/>
      <c r="W12" s="94" t="str">
        <f>'II_Inkunabeln+'!BA12</f>
        <v>n</v>
      </c>
      <c r="X12" s="108"/>
      <c r="Y12" s="93">
        <f>'II_Inkunabeln+'!BI12</f>
        <v>0</v>
      </c>
      <c r="Z12" s="81">
        <f>'II_Inkunabeln+'!BJ12</f>
        <v>0</v>
      </c>
    </row>
    <row r="13" spans="1:28" x14ac:dyDescent="0.25">
      <c r="A13" s="63">
        <f>'II_Inkunabeln+'!A13</f>
        <v>12</v>
      </c>
      <c r="B13" s="63" t="str">
        <f>'II_Inkunabeln+'!B13</f>
        <v>L-1470-315499494</v>
      </c>
      <c r="C13" s="63">
        <f>'II_Inkunabeln+'!C13</f>
        <v>1066969183</v>
      </c>
      <c r="D13" s="84" t="str">
        <f>'II_Inkunabeln+'!D13</f>
        <v>https://portal.dnb.de/opac.htm?method=simpleSearch&amp;cqlMode=true&amp;query=idn%3D1066969183</v>
      </c>
      <c r="E13" s="65" t="str">
        <f>'II_Inkunabeln+'!E13</f>
        <v>II 1,3da - Fragm.</v>
      </c>
      <c r="F13" s="65">
        <f>'II_Inkunabeln+'!H13</f>
        <v>0</v>
      </c>
      <c r="G13" s="93">
        <f>'II_Inkunabeln+'!X13</f>
        <v>0</v>
      </c>
      <c r="H13" s="93">
        <f>'II_Inkunabeln+'!AA13</f>
        <v>0</v>
      </c>
      <c r="I13" s="93">
        <f>'II_Inkunabeln+'!AC13</f>
        <v>0</v>
      </c>
      <c r="J13" s="94"/>
      <c r="K13" s="93">
        <f>'II_Inkunabeln+'!AD13</f>
        <v>0</v>
      </c>
      <c r="L13" s="94"/>
      <c r="M13" s="94"/>
      <c r="N13" s="94"/>
      <c r="O13" s="94"/>
      <c r="P13" s="94"/>
      <c r="Q13" s="94"/>
      <c r="R13" s="94"/>
      <c r="S13" s="94"/>
      <c r="T13" s="94"/>
      <c r="U13" s="94"/>
      <c r="V13" s="94"/>
      <c r="W13" s="94">
        <f>'II_Inkunabeln+'!BA13</f>
        <v>0</v>
      </c>
      <c r="X13" s="108"/>
      <c r="Y13" s="93">
        <f>'II_Inkunabeln+'!BI13</f>
        <v>0</v>
      </c>
      <c r="Z13" s="81">
        <f>'II_Inkunabeln+'!BJ13</f>
        <v>0</v>
      </c>
    </row>
    <row r="14" spans="1:28" x14ac:dyDescent="0.25">
      <c r="A14" s="63">
        <f>'II_Inkunabeln+'!A14</f>
        <v>13</v>
      </c>
      <c r="B14" s="63" t="str">
        <f>'II_Inkunabeln+'!B14</f>
        <v>L-1470-31550059X</v>
      </c>
      <c r="C14" s="63">
        <f>'II_Inkunabeln+'!C14</f>
        <v>1066970254</v>
      </c>
      <c r="D14" s="84" t="str">
        <f>'II_Inkunabeln+'!D14</f>
        <v>https://portal.dnb.de/opac.htm?method=simpleSearch&amp;cqlMode=true&amp;query=idn%3D1066970254</v>
      </c>
      <c r="E14" s="65" t="str">
        <f>'II_Inkunabeln+'!E14</f>
        <v>II 1,3e</v>
      </c>
      <c r="F14" s="65" t="str">
        <f>'II_Inkunabeln+'!H14</f>
        <v>bis 35 cm</v>
      </c>
      <c r="G14" s="93" t="str">
        <f>'II_Inkunabeln+'!X14</f>
        <v>L</v>
      </c>
      <c r="H14" s="93" t="str">
        <f>'II_Inkunabeln+'!AA14</f>
        <v>h/E</v>
      </c>
      <c r="I14" s="93">
        <f>'II_Inkunabeln+'!AC14</f>
        <v>0</v>
      </c>
      <c r="J14" s="94" t="s">
        <v>1633</v>
      </c>
      <c r="K14" s="93">
        <f>'II_Inkunabeln+'!AD14</f>
        <v>0</v>
      </c>
      <c r="L14" s="94"/>
      <c r="M14" s="94"/>
      <c r="N14" s="94" t="s">
        <v>1767</v>
      </c>
      <c r="O14" s="94"/>
      <c r="P14" s="94"/>
      <c r="Q14" s="94"/>
      <c r="R14" s="94"/>
      <c r="S14" s="94"/>
      <c r="T14" s="94"/>
      <c r="U14" s="94"/>
      <c r="V14" s="94"/>
      <c r="W14" s="94" t="str">
        <f>'II_Inkunabeln+'!BA14</f>
        <v>ja nach</v>
      </c>
      <c r="X14" s="108">
        <v>6</v>
      </c>
      <c r="Y14" s="93">
        <f>'II_Inkunabeln+'!BI14</f>
        <v>0</v>
      </c>
      <c r="Z14" s="81">
        <f>'II_Inkunabeln+'!BJ14</f>
        <v>0</v>
      </c>
    </row>
    <row r="15" spans="1:28" x14ac:dyDescent="0.25">
      <c r="A15" s="63">
        <f>'II_Inkunabeln+'!A15</f>
        <v>14</v>
      </c>
      <c r="B15" s="63" t="str">
        <f>'II_Inkunabeln+'!B15</f>
        <v>L-1471-315495219</v>
      </c>
      <c r="C15" s="63">
        <f>'II_Inkunabeln+'!C15</f>
        <v>1066965072</v>
      </c>
      <c r="D15" s="84" t="str">
        <f>'II_Inkunabeln+'!D15</f>
        <v>https://portal.dnb.de/opac.htm?method=simpleSearch&amp;cqlMode=true&amp;query=idn%3D1066965072</v>
      </c>
      <c r="E15" s="65" t="str">
        <f>'II_Inkunabeln+'!E15</f>
        <v>II 1,3g</v>
      </c>
      <c r="F15" s="65" t="str">
        <f>'II_Inkunabeln+'!H15</f>
        <v>bis 42 cm</v>
      </c>
      <c r="G15" s="93" t="str">
        <f>'II_Inkunabeln+'!X15</f>
        <v>HL</v>
      </c>
      <c r="H15" s="93" t="str">
        <f>'II_Inkunabeln+'!AA15</f>
        <v>h/E</v>
      </c>
      <c r="I15" s="93">
        <f>'II_Inkunabeln+'!AC15</f>
        <v>0</v>
      </c>
      <c r="J15" s="94"/>
      <c r="K15" s="93">
        <f>'II_Inkunabeln+'!AD15</f>
        <v>0</v>
      </c>
      <c r="L15" s="94"/>
      <c r="M15" s="94"/>
      <c r="N15" s="94"/>
      <c r="O15" s="94"/>
      <c r="P15" s="94"/>
      <c r="Q15" s="94"/>
      <c r="R15" s="94"/>
      <c r="S15" s="94"/>
      <c r="T15" s="94"/>
      <c r="U15" s="94"/>
      <c r="V15" s="94"/>
      <c r="W15" s="94" t="str">
        <f>'II_Inkunabeln+'!BA15</f>
        <v>n</v>
      </c>
      <c r="X15" s="108"/>
      <c r="Y15" s="93">
        <f>'II_Inkunabeln+'!BI15</f>
        <v>0</v>
      </c>
      <c r="Z15" s="81">
        <f>'II_Inkunabeln+'!BJ15</f>
        <v>0</v>
      </c>
    </row>
    <row r="16" spans="1:28" x14ac:dyDescent="0.25">
      <c r="A16" s="63">
        <f>'II_Inkunabeln+'!A16</f>
        <v>15</v>
      </c>
      <c r="B16" s="63" t="str">
        <f>'II_Inkunabeln+'!B16</f>
        <v>L-1489-315496444</v>
      </c>
      <c r="C16" s="63">
        <f>'II_Inkunabeln+'!C16</f>
        <v>1066966141</v>
      </c>
      <c r="D16" s="84" t="str">
        <f>'II_Inkunabeln+'!D16</f>
        <v>https://portal.dnb.de/opac.htm?method=simpleSearch&amp;cqlMode=true&amp;query=idn%3D1066966141</v>
      </c>
      <c r="E16" s="65" t="str">
        <f>'II_Inkunabeln+'!E16</f>
        <v>II 1,3g kursiv</v>
      </c>
      <c r="F16" s="65" t="str">
        <f>'II_Inkunabeln+'!H16</f>
        <v>bis 25 cm</v>
      </c>
      <c r="G16" s="93" t="str">
        <f>'II_Inkunabeln+'!X16</f>
        <v>L</v>
      </c>
      <c r="H16" s="93" t="str">
        <f>'II_Inkunabeln+'!AA16</f>
        <v>h/E</v>
      </c>
      <c r="I16" s="93">
        <f>'II_Inkunabeln+'!AC16</f>
        <v>0</v>
      </c>
      <c r="J16" s="94"/>
      <c r="K16" s="93">
        <f>'II_Inkunabeln+'!AD16</f>
        <v>0</v>
      </c>
      <c r="L16" s="94"/>
      <c r="M16" s="94"/>
      <c r="N16" s="94"/>
      <c r="O16" s="94"/>
      <c r="P16" s="94"/>
      <c r="Q16" s="94"/>
      <c r="R16" s="94"/>
      <c r="S16" s="94"/>
      <c r="T16" s="94"/>
      <c r="U16" s="94"/>
      <c r="V16" s="94"/>
      <c r="W16" s="94" t="str">
        <f>'II_Inkunabeln+'!BA16</f>
        <v>ja vor</v>
      </c>
      <c r="X16" s="108"/>
      <c r="Y16" s="93">
        <f>'II_Inkunabeln+'!BI16</f>
        <v>0</v>
      </c>
      <c r="Z16" s="81">
        <f>'II_Inkunabeln+'!BJ16</f>
        <v>0</v>
      </c>
    </row>
    <row r="17" spans="1:26" x14ac:dyDescent="0.25">
      <c r="A17" s="63">
        <f>'II_Inkunabeln+'!A17</f>
        <v>16</v>
      </c>
      <c r="B17" s="63" t="str">
        <f>'II_Inkunabeln+'!B17</f>
        <v>L-1472-315496711</v>
      </c>
      <c r="C17" s="63">
        <f>'II_Inkunabeln+'!C17</f>
        <v>1066966435</v>
      </c>
      <c r="D17" s="84" t="str">
        <f>'II_Inkunabeln+'!D17</f>
        <v>https://portal.dnb.de/opac.htm?method=simpleSearch&amp;cqlMode=true&amp;query=idn%3D1066966435</v>
      </c>
      <c r="E17" s="65" t="str">
        <f>'II_Inkunabeln+'!E17</f>
        <v>II 1,3h</v>
      </c>
      <c r="F17" s="65" t="str">
        <f>'II_Inkunabeln+'!H17</f>
        <v>bis 42 cm</v>
      </c>
      <c r="G17" s="93" t="str">
        <f>'II_Inkunabeln+'!X17</f>
        <v>L</v>
      </c>
      <c r="H17" s="93" t="str">
        <f>'II_Inkunabeln+'!AA17</f>
        <v>h/E</v>
      </c>
      <c r="I17" s="93">
        <f>'II_Inkunabeln+'!AC17</f>
        <v>0</v>
      </c>
      <c r="J17" s="94"/>
      <c r="K17" s="93">
        <f>'II_Inkunabeln+'!AD17</f>
        <v>0</v>
      </c>
      <c r="L17" s="94"/>
      <c r="M17" s="94"/>
      <c r="N17" s="94"/>
      <c r="O17" s="94"/>
      <c r="P17" s="94"/>
      <c r="Q17" s="94"/>
      <c r="R17" s="94"/>
      <c r="S17" s="94"/>
      <c r="T17" s="94"/>
      <c r="U17" s="94"/>
      <c r="V17" s="94"/>
      <c r="W17" s="94" t="str">
        <f>'II_Inkunabeln+'!BA17</f>
        <v>n</v>
      </c>
      <c r="X17" s="108"/>
      <c r="Y17" s="93">
        <f>'II_Inkunabeln+'!BI17</f>
        <v>0</v>
      </c>
      <c r="Z17" s="81">
        <f>'II_Inkunabeln+'!BJ17</f>
        <v>0</v>
      </c>
    </row>
    <row r="18" spans="1:26" x14ac:dyDescent="0.25">
      <c r="A18" s="63">
        <f>'II_Inkunabeln+'!A18</f>
        <v>17</v>
      </c>
      <c r="B18" s="63" t="str">
        <f>'II_Inkunabeln+'!B18</f>
        <v>L-1474-316396664</v>
      </c>
      <c r="C18" s="63">
        <f>'II_Inkunabeln+'!C18</f>
        <v>1067434755</v>
      </c>
      <c r="D18" s="84" t="str">
        <f>'II_Inkunabeln+'!D18</f>
        <v>https://portal.dnb.de/opac.htm?method=simpleSearch&amp;cqlMode=true&amp;query=idn%3D1067434755</v>
      </c>
      <c r="E18" s="65" t="str">
        <f>'II_Inkunabeln+'!E18</f>
        <v>II 1,3h kursiv</v>
      </c>
      <c r="F18" s="65">
        <f>'II_Inkunabeln+'!H18</f>
        <v>0</v>
      </c>
      <c r="G18" s="93">
        <f>'II_Inkunabeln+'!X18</f>
        <v>0</v>
      </c>
      <c r="H18" s="93">
        <f>'II_Inkunabeln+'!AA18</f>
        <v>0</v>
      </c>
      <c r="I18" s="93">
        <f>'II_Inkunabeln+'!AC18</f>
        <v>0</v>
      </c>
      <c r="J18" s="94"/>
      <c r="K18" s="93">
        <f>'II_Inkunabeln+'!AD18</f>
        <v>0</v>
      </c>
      <c r="L18" s="94"/>
      <c r="M18" s="94"/>
      <c r="N18" s="94"/>
      <c r="O18" s="94"/>
      <c r="P18" s="94"/>
      <c r="Q18" s="94"/>
      <c r="R18" s="94"/>
      <c r="S18" s="94"/>
      <c r="T18" s="94"/>
      <c r="U18" s="94"/>
      <c r="V18" s="94"/>
      <c r="W18" s="94">
        <f>'II_Inkunabeln+'!BA18</f>
        <v>0</v>
      </c>
      <c r="X18" s="108"/>
      <c r="Y18" s="93">
        <f>'II_Inkunabeln+'!BI18</f>
        <v>0</v>
      </c>
      <c r="Z18" s="81">
        <f>'II_Inkunabeln+'!BJ18</f>
        <v>0</v>
      </c>
    </row>
    <row r="19" spans="1:26" x14ac:dyDescent="0.25">
      <c r="A19" s="63">
        <f>'II_Inkunabeln+'!A19</f>
        <v>18</v>
      </c>
      <c r="B19" s="63" t="str">
        <f>'II_Inkunabeln+'!B19</f>
        <v>L-1472-315498781</v>
      </c>
      <c r="C19" s="63">
        <f>'II_Inkunabeln+'!C19</f>
        <v>1066968527</v>
      </c>
      <c r="D19" s="84" t="str">
        <f>'II_Inkunabeln+'!D19</f>
        <v>https://portal.dnb.de/opac.htm?method=simpleSearch&amp;cqlMode=true&amp;query=idn%3D1066968527</v>
      </c>
      <c r="E19" s="65" t="str">
        <f>'II_Inkunabeln+'!E19</f>
        <v>II 1,3i</v>
      </c>
      <c r="F19" s="65" t="str">
        <f>'II_Inkunabeln+'!H19</f>
        <v>&gt; 42 cm</v>
      </c>
      <c r="G19" s="93">
        <f>'II_Inkunabeln+'!X19</f>
        <v>0</v>
      </c>
      <c r="H19" s="93">
        <f>'II_Inkunabeln+'!AA19</f>
        <v>0</v>
      </c>
      <c r="I19" s="93">
        <f>'II_Inkunabeln+'!AC19</f>
        <v>0</v>
      </c>
      <c r="J19" s="94"/>
      <c r="K19" s="93">
        <f>'II_Inkunabeln+'!AD19</f>
        <v>0</v>
      </c>
      <c r="L19" s="94"/>
      <c r="M19" s="94"/>
      <c r="N19" s="94"/>
      <c r="O19" s="94"/>
      <c r="P19" s="94"/>
      <c r="Q19" s="94"/>
      <c r="R19" s="94"/>
      <c r="S19" s="94"/>
      <c r="T19" s="94"/>
      <c r="U19" s="94"/>
      <c r="V19" s="94"/>
      <c r="W19" s="94">
        <f>'II_Inkunabeln+'!BA19</f>
        <v>0</v>
      </c>
      <c r="X19" s="108"/>
      <c r="Y19" s="93">
        <f>'II_Inkunabeln+'!BI19</f>
        <v>0</v>
      </c>
      <c r="Z19" s="81">
        <f>'II_Inkunabeln+'!BJ19</f>
        <v>0</v>
      </c>
    </row>
    <row r="20" spans="1:26" x14ac:dyDescent="0.25">
      <c r="A20" s="63">
        <f>'II_Inkunabeln+'!A20</f>
        <v>19</v>
      </c>
      <c r="B20" s="63" t="str">
        <f>'II_Inkunabeln+'!B20</f>
        <v>L-1481-315498307</v>
      </c>
      <c r="C20" s="63">
        <f>'II_Inkunabeln+'!C20</f>
        <v>1066968039</v>
      </c>
      <c r="D20" s="84" t="str">
        <f>'II_Inkunabeln+'!D20</f>
        <v>https://portal.dnb.de/opac.htm?method=simpleSearch&amp;cqlMode=true&amp;query=idn%3D1066968039</v>
      </c>
      <c r="E20" s="65" t="str">
        <f>'II_Inkunabeln+'!E20</f>
        <v>II 1,3i kursiv</v>
      </c>
      <c r="F20" s="65" t="str">
        <f>'II_Inkunabeln+'!H20</f>
        <v>bis 25 cm</v>
      </c>
      <c r="G20" s="93" t="str">
        <f>'II_Inkunabeln+'!X20</f>
        <v>L</v>
      </c>
      <c r="H20" s="93" t="str">
        <f>'II_Inkunabeln+'!AA20</f>
        <v>h/E</v>
      </c>
      <c r="I20" s="93">
        <f>'II_Inkunabeln+'!AC20</f>
        <v>0</v>
      </c>
      <c r="J20" s="94"/>
      <c r="K20" s="93">
        <f>'II_Inkunabeln+'!AD20</f>
        <v>0</v>
      </c>
      <c r="L20" s="94"/>
      <c r="M20" s="94"/>
      <c r="N20" s="94"/>
      <c r="O20" s="94"/>
      <c r="P20" s="94"/>
      <c r="Q20" s="94"/>
      <c r="R20" s="94"/>
      <c r="S20" s="94"/>
      <c r="T20" s="94"/>
      <c r="U20" s="94"/>
      <c r="V20" s="94"/>
      <c r="W20" s="94" t="str">
        <f>'II_Inkunabeln+'!BA20</f>
        <v>n</v>
      </c>
      <c r="X20" s="108"/>
      <c r="Y20" s="93">
        <f>'II_Inkunabeln+'!BI20</f>
        <v>0</v>
      </c>
      <c r="Z20" s="81" t="str">
        <f>'II_Inkunabeln+'!BJ20</f>
        <v>Holzdeckel mit Intarsienarbeit (s. Foto)</v>
      </c>
    </row>
    <row r="21" spans="1:26" x14ac:dyDescent="0.25">
      <c r="A21" s="63">
        <f>'II_Inkunabeln+'!A21</f>
        <v>20</v>
      </c>
      <c r="B21" s="63" t="str">
        <f>'II_Inkunabeln+'!B21</f>
        <v>L-1473-315497300</v>
      </c>
      <c r="C21" s="63">
        <f>'II_Inkunabeln+'!C21</f>
        <v>1066967008</v>
      </c>
      <c r="D21" s="84" t="str">
        <f>'II_Inkunabeln+'!D21</f>
        <v>https://portal.dnb.de/opac.htm?method=simpleSearch&amp;cqlMode=true&amp;query=idn%3D1066967008</v>
      </c>
      <c r="E21" s="65" t="str">
        <f>'II_Inkunabeln+'!E21</f>
        <v>II 1,3k</v>
      </c>
      <c r="F21" s="65" t="str">
        <f>'II_Inkunabeln+'!H21</f>
        <v>bis 42 cm</v>
      </c>
      <c r="G21" s="93" t="str">
        <f>'II_Inkunabeln+'!X21</f>
        <v>L</v>
      </c>
      <c r="H21" s="93" t="str">
        <f>'II_Inkunabeln+'!AA21</f>
        <v>h/E</v>
      </c>
      <c r="I21" s="93">
        <f>'II_Inkunabeln+'!AC21</f>
        <v>0</v>
      </c>
      <c r="J21" s="94"/>
      <c r="K21" s="93">
        <f>'II_Inkunabeln+'!AD21</f>
        <v>0</v>
      </c>
      <c r="L21" s="94"/>
      <c r="M21" s="94"/>
      <c r="N21" s="94"/>
      <c r="O21" s="94"/>
      <c r="P21" s="94"/>
      <c r="Q21" s="94"/>
      <c r="R21" s="94"/>
      <c r="S21" s="94"/>
      <c r="T21" s="94"/>
      <c r="U21" s="94"/>
      <c r="V21" s="94"/>
      <c r="W21" s="94" t="str">
        <f>'II_Inkunabeln+'!BA21</f>
        <v>n</v>
      </c>
      <c r="X21" s="108"/>
      <c r="Y21" s="93">
        <f>'II_Inkunabeln+'!BI21</f>
        <v>0</v>
      </c>
      <c r="Z21" s="81">
        <f>'II_Inkunabeln+'!BJ21</f>
        <v>0</v>
      </c>
    </row>
    <row r="22" spans="1:26" x14ac:dyDescent="0.25">
      <c r="A22" s="63">
        <f>'II_Inkunabeln+'!A22</f>
        <v>21</v>
      </c>
      <c r="B22" s="63" t="str">
        <f>'II_Inkunabeln+'!B22</f>
        <v>L-1473-315495936</v>
      </c>
      <c r="C22" s="63">
        <f>'II_Inkunabeln+'!C22</f>
        <v>1066965714</v>
      </c>
      <c r="D22" s="84" t="str">
        <f>'II_Inkunabeln+'!D22</f>
        <v>https://portal.dnb.de/opac.htm?method=simpleSearch&amp;cqlMode=true&amp;query=idn%3D1066965714</v>
      </c>
      <c r="E22" s="65" t="str">
        <f>'II_Inkunabeln+'!E22</f>
        <v>II 1,3l</v>
      </c>
      <c r="F22" s="65" t="str">
        <f>'II_Inkunabeln+'!H22</f>
        <v>bis 42 cm</v>
      </c>
      <c r="G22" s="93" t="str">
        <f>'II_Inkunabeln+'!X22</f>
        <v>HL</v>
      </c>
      <c r="H22" s="93" t="str">
        <f>'II_Inkunabeln+'!AA22</f>
        <v>h/E</v>
      </c>
      <c r="I22" s="93">
        <f>'II_Inkunabeln+'!AC22</f>
        <v>0</v>
      </c>
      <c r="J22" s="94"/>
      <c r="K22" s="93">
        <f>'II_Inkunabeln+'!AD22</f>
        <v>0</v>
      </c>
      <c r="L22" s="94"/>
      <c r="M22" s="94"/>
      <c r="N22" s="94"/>
      <c r="O22" s="94"/>
      <c r="P22" s="94"/>
      <c r="Q22" s="94"/>
      <c r="R22" s="94"/>
      <c r="S22" s="94"/>
      <c r="T22" s="94"/>
      <c r="U22" s="94"/>
      <c r="V22" s="94"/>
      <c r="W22" s="94" t="str">
        <f>'II_Inkunabeln+'!BA22</f>
        <v>n</v>
      </c>
      <c r="X22" s="108"/>
      <c r="Y22" s="93">
        <f>'II_Inkunabeln+'!BI22</f>
        <v>0</v>
      </c>
      <c r="Z22" s="81">
        <f>'II_Inkunabeln+'!BJ22</f>
        <v>0</v>
      </c>
    </row>
    <row r="23" spans="1:26" x14ac:dyDescent="0.25">
      <c r="A23" s="63">
        <f>'II_Inkunabeln+'!A23</f>
        <v>22</v>
      </c>
      <c r="B23" s="63" t="str">
        <f>'II_Inkunabeln+'!B23</f>
        <v>L-1489-352274506</v>
      </c>
      <c r="C23" s="63">
        <f>'II_Inkunabeln+'!C23</f>
        <v>1084605600</v>
      </c>
      <c r="D23" s="84" t="str">
        <f>'II_Inkunabeln+'!D23</f>
        <v>https://portal.dnb.de/opac.htm?method=simpleSearch&amp;cqlMode=true&amp;query=idn%3D1084605600</v>
      </c>
      <c r="E23" s="65" t="str">
        <f>'II_Inkunabeln+'!E23</f>
        <v>II 1,3l kursiv</v>
      </c>
      <c r="F23" s="65" t="str">
        <f>'II_Inkunabeln+'!H23</f>
        <v>bis 35 cm</v>
      </c>
      <c r="G23" s="93" t="str">
        <f>'II_Inkunabeln+'!X23</f>
        <v>Pg</v>
      </c>
      <c r="H23" s="93" t="str">
        <f>'II_Inkunabeln+'!AA23</f>
        <v>h</v>
      </c>
      <c r="I23" s="93">
        <f>'II_Inkunabeln+'!AC23</f>
        <v>0</v>
      </c>
      <c r="J23" s="94"/>
      <c r="K23" s="93">
        <f>'II_Inkunabeln+'!AD23</f>
        <v>0</v>
      </c>
      <c r="L23" s="94"/>
      <c r="M23" s="94"/>
      <c r="N23" s="94"/>
      <c r="O23" s="94"/>
      <c r="P23" s="94"/>
      <c r="Q23" s="94"/>
      <c r="R23" s="94"/>
      <c r="S23" s="94"/>
      <c r="T23" s="94"/>
      <c r="U23" s="94"/>
      <c r="V23" s="94"/>
      <c r="W23" s="94" t="str">
        <f>'II_Inkunabeln+'!BA23</f>
        <v>n</v>
      </c>
      <c r="X23" s="108"/>
      <c r="Y23" s="93">
        <f>'II_Inkunabeln+'!BI23</f>
        <v>0</v>
      </c>
      <c r="Z23" s="81">
        <f>'II_Inkunabeln+'!BJ23</f>
        <v>0</v>
      </c>
    </row>
    <row r="24" spans="1:26" x14ac:dyDescent="0.25">
      <c r="A24" s="63">
        <f>'II_Inkunabeln+'!A24</f>
        <v>23</v>
      </c>
      <c r="B24" s="63" t="str">
        <f>'II_Inkunabeln+'!B24</f>
        <v>L-1473-315495944</v>
      </c>
      <c r="C24" s="63">
        <f>'II_Inkunabeln+'!C24</f>
        <v>1066965714</v>
      </c>
      <c r="D24" s="84" t="str">
        <f>'II_Inkunabeln+'!D24</f>
        <v>https://portal.dnb.de/opac.htm?method=simpleSearch&amp;cqlMode=true&amp;query=idn%3D1066965714</v>
      </c>
      <c r="E24" s="65" t="str">
        <f>'II_Inkunabeln+'!E24</f>
        <v>II 1,3la - Fragm.</v>
      </c>
      <c r="F24" s="65">
        <f>'II_Inkunabeln+'!H24</f>
        <v>0</v>
      </c>
      <c r="G24" s="93">
        <f>'II_Inkunabeln+'!X24</f>
        <v>0</v>
      </c>
      <c r="H24" s="93">
        <f>'II_Inkunabeln+'!AA24</f>
        <v>0</v>
      </c>
      <c r="I24" s="93">
        <f>'II_Inkunabeln+'!AC24</f>
        <v>0</v>
      </c>
      <c r="J24" s="94"/>
      <c r="K24" s="93">
        <f>'II_Inkunabeln+'!AD24</f>
        <v>0</v>
      </c>
      <c r="L24" s="94"/>
      <c r="M24" s="94"/>
      <c r="N24" s="94"/>
      <c r="O24" s="94"/>
      <c r="P24" s="94"/>
      <c r="Q24" s="94"/>
      <c r="R24" s="94"/>
      <c r="S24" s="94"/>
      <c r="T24" s="94"/>
      <c r="U24" s="94"/>
      <c r="V24" s="94"/>
      <c r="W24" s="94">
        <f>'II_Inkunabeln+'!BA24</f>
        <v>0</v>
      </c>
      <c r="X24" s="108"/>
      <c r="Y24" s="93">
        <f>'II_Inkunabeln+'!BI24</f>
        <v>0</v>
      </c>
      <c r="Z24" s="81">
        <f>'II_Inkunabeln+'!BJ24</f>
        <v>0</v>
      </c>
    </row>
    <row r="25" spans="1:26" x14ac:dyDescent="0.25">
      <c r="A25" s="63">
        <f>'II_Inkunabeln+'!A25</f>
        <v>24</v>
      </c>
      <c r="B25" s="63" t="str">
        <f>'II_Inkunabeln+'!B25</f>
        <v>L-1473-31549901X</v>
      </c>
      <c r="C25" s="63">
        <f>'II_Inkunabeln+'!C25</f>
        <v>1066968764</v>
      </c>
      <c r="D25" s="84" t="str">
        <f>'II_Inkunabeln+'!D25</f>
        <v>https://portal.dnb.de/opac.htm?method=simpleSearch&amp;cqlMode=true&amp;query=idn%3D1066968764</v>
      </c>
      <c r="E25" s="65" t="str">
        <f>'II_Inkunabeln+'!E25</f>
        <v>II 1,3m</v>
      </c>
      <c r="F25" s="65" t="str">
        <f>'II_Inkunabeln+'!H25</f>
        <v>&gt; 42 cm</v>
      </c>
      <c r="G25" s="93" t="str">
        <f>'II_Inkunabeln+'!X25</f>
        <v>L</v>
      </c>
      <c r="H25" s="93" t="str">
        <f>'II_Inkunabeln+'!AA25</f>
        <v>h/E</v>
      </c>
      <c r="I25" s="93">
        <f>'II_Inkunabeln+'!AC25</f>
        <v>0</v>
      </c>
      <c r="J25" s="94"/>
      <c r="K25" s="93">
        <f>'II_Inkunabeln+'!AD25</f>
        <v>0</v>
      </c>
      <c r="L25" s="94"/>
      <c r="M25" s="94"/>
      <c r="N25" s="94"/>
      <c r="O25" s="94"/>
      <c r="P25" s="94"/>
      <c r="Q25" s="94"/>
      <c r="R25" s="94"/>
      <c r="S25" s="94"/>
      <c r="T25" s="94"/>
      <c r="U25" s="94"/>
      <c r="V25" s="94"/>
      <c r="W25" s="94" t="str">
        <f>'II_Inkunabeln+'!BA25</f>
        <v>n</v>
      </c>
      <c r="X25" s="108"/>
      <c r="Y25" s="93">
        <f>'II_Inkunabeln+'!BI25</f>
        <v>0</v>
      </c>
      <c r="Z25" s="81">
        <f>'II_Inkunabeln+'!BJ25</f>
        <v>0</v>
      </c>
    </row>
    <row r="26" spans="1:26" x14ac:dyDescent="0.25">
      <c r="A26" s="63">
        <f>'II_Inkunabeln+'!A26</f>
        <v>25</v>
      </c>
      <c r="B26" s="63" t="str">
        <f>'II_Inkunabeln+'!B26</f>
        <v>L-1490-315501782</v>
      </c>
      <c r="C26" s="63">
        <f>'II_Inkunabeln+'!C26</f>
        <v>1066971412</v>
      </c>
      <c r="D26" s="84" t="str">
        <f>'II_Inkunabeln+'!D26</f>
        <v>https://portal.dnb.de/opac.htm?method=simpleSearch&amp;cqlMode=true&amp;query=idn%3D1066971412</v>
      </c>
      <c r="E26" s="65" t="str">
        <f>'II_Inkunabeln+'!E26</f>
        <v>II 1,3m kursiv</v>
      </c>
      <c r="F26" s="65" t="str">
        <f>'II_Inkunabeln+'!H26</f>
        <v>bis 25 cm</v>
      </c>
      <c r="G26" s="93" t="str">
        <f>'II_Inkunabeln+'!X26</f>
        <v>L</v>
      </c>
      <c r="H26" s="93" t="str">
        <f>'II_Inkunabeln+'!AA26</f>
        <v>f</v>
      </c>
      <c r="I26" s="93">
        <f>'II_Inkunabeln+'!AC26</f>
        <v>0</v>
      </c>
      <c r="J26" s="94"/>
      <c r="K26" s="93">
        <f>'II_Inkunabeln+'!AD26</f>
        <v>0</v>
      </c>
      <c r="L26" s="94"/>
      <c r="M26" s="94"/>
      <c r="N26" s="94"/>
      <c r="O26" s="94"/>
      <c r="P26" s="94"/>
      <c r="Q26" s="94"/>
      <c r="R26" s="94"/>
      <c r="S26" s="94"/>
      <c r="T26" s="94"/>
      <c r="U26" s="94"/>
      <c r="V26" s="94"/>
      <c r="W26" s="94" t="str">
        <f>'II_Inkunabeln+'!BA26</f>
        <v>n</v>
      </c>
      <c r="X26" s="108"/>
      <c r="Y26" s="93">
        <f>'II_Inkunabeln+'!BI26</f>
        <v>0</v>
      </c>
      <c r="Z26" s="81">
        <f>'II_Inkunabeln+'!BJ26</f>
        <v>0</v>
      </c>
    </row>
    <row r="27" spans="1:26" x14ac:dyDescent="0.25">
      <c r="A27" s="63">
        <f>'II_Inkunabeln+'!A27</f>
        <v>26</v>
      </c>
      <c r="B27" s="63" t="str">
        <f>'II_Inkunabeln+'!B27</f>
        <v>L-1473-315499028</v>
      </c>
      <c r="C27" s="63">
        <f>'II_Inkunabeln+'!C27</f>
        <v>1066968764</v>
      </c>
      <c r="D27" s="84" t="str">
        <f>'II_Inkunabeln+'!D27</f>
        <v>https://portal.dnb.de/opac.htm?method=simpleSearch&amp;cqlMode=true&amp;query=idn%3D1066968764</v>
      </c>
      <c r="E27" s="65" t="str">
        <f>'II_Inkunabeln+'!E27</f>
        <v>II 1,3ma - Fragm.</v>
      </c>
      <c r="F27" s="65">
        <f>'II_Inkunabeln+'!H27</f>
        <v>0</v>
      </c>
      <c r="G27" s="93">
        <f>'II_Inkunabeln+'!X27</f>
        <v>0</v>
      </c>
      <c r="H27" s="93">
        <f>'II_Inkunabeln+'!AA27</f>
        <v>0</v>
      </c>
      <c r="I27" s="93">
        <f>'II_Inkunabeln+'!AC27</f>
        <v>0</v>
      </c>
      <c r="J27" s="94"/>
      <c r="K27" s="93">
        <f>'II_Inkunabeln+'!AD27</f>
        <v>0</v>
      </c>
      <c r="L27" s="94"/>
      <c r="M27" s="94"/>
      <c r="N27" s="94"/>
      <c r="O27" s="94"/>
      <c r="P27" s="94"/>
      <c r="Q27" s="94"/>
      <c r="R27" s="94"/>
      <c r="S27" s="94"/>
      <c r="T27" s="94"/>
      <c r="U27" s="94"/>
      <c r="V27" s="94"/>
      <c r="W27" s="94">
        <f>'II_Inkunabeln+'!BA27</f>
        <v>0</v>
      </c>
      <c r="X27" s="108"/>
      <c r="Y27" s="93">
        <f>'II_Inkunabeln+'!BI27</f>
        <v>0</v>
      </c>
      <c r="Z27" s="81">
        <f>'II_Inkunabeln+'!BJ27</f>
        <v>0</v>
      </c>
    </row>
    <row r="28" spans="1:26" x14ac:dyDescent="0.25">
      <c r="A28" s="63">
        <f>'II_Inkunabeln+'!A28</f>
        <v>27</v>
      </c>
      <c r="B28" s="63" t="str">
        <f>'II_Inkunabeln+'!B28</f>
        <v>L-1474-315499389</v>
      </c>
      <c r="C28" s="63">
        <f>'II_Inkunabeln+'!C28</f>
        <v>1066969086</v>
      </c>
      <c r="D28" s="84" t="str">
        <f>'II_Inkunabeln+'!D28</f>
        <v>https://portal.dnb.de/opac.htm?method=simpleSearch&amp;cqlMode=true&amp;query=idn%3D1066969086</v>
      </c>
      <c r="E28" s="65" t="str">
        <f>'II_Inkunabeln+'!E28</f>
        <v>II 1,3n</v>
      </c>
      <c r="F28" s="65" t="str">
        <f>'II_Inkunabeln+'!H28</f>
        <v>bis 35 cm</v>
      </c>
      <c r="G28" s="93" t="str">
        <f>'II_Inkunabeln+'!X28</f>
        <v>L</v>
      </c>
      <c r="H28" s="93" t="str">
        <f>'II_Inkunabeln+'!AA28</f>
        <v>h/E</v>
      </c>
      <c r="I28" s="93">
        <f>'II_Inkunabeln+'!AC28</f>
        <v>0</v>
      </c>
      <c r="J28" s="94"/>
      <c r="K28" s="93">
        <f>'II_Inkunabeln+'!AD28</f>
        <v>0</v>
      </c>
      <c r="L28" s="94"/>
      <c r="M28" s="94"/>
      <c r="N28" s="94"/>
      <c r="O28" s="94"/>
      <c r="P28" s="94"/>
      <c r="Q28" s="94"/>
      <c r="R28" s="94"/>
      <c r="S28" s="94"/>
      <c r="T28" s="94"/>
      <c r="U28" s="94"/>
      <c r="V28" s="94"/>
      <c r="W28" s="94" t="str">
        <f>'II_Inkunabeln+'!BA28</f>
        <v>n</v>
      </c>
      <c r="X28" s="108"/>
      <c r="Y28" s="93">
        <f>'II_Inkunabeln+'!BI28</f>
        <v>0</v>
      </c>
      <c r="Z28" s="81">
        <f>'II_Inkunabeln+'!BJ28</f>
        <v>0</v>
      </c>
    </row>
    <row r="29" spans="1:26" x14ac:dyDescent="0.25">
      <c r="A29" s="63">
        <f>'II_Inkunabeln+'!A29</f>
        <v>28</v>
      </c>
      <c r="B29" s="63" t="str">
        <f>'II_Inkunabeln+'!B29</f>
        <v>L-1474-315500409</v>
      </c>
      <c r="C29" s="63" t="str">
        <f>'II_Inkunabeln+'!C29</f>
        <v>106697005X</v>
      </c>
      <c r="D29" s="84" t="str">
        <f>'II_Inkunabeln+'!D29</f>
        <v>https://portal.dnb.de/opac.htm?method=simpleSearch&amp;cqlMode=true&amp;query=idn%3D106697005X</v>
      </c>
      <c r="E29" s="65" t="str">
        <f>'II_Inkunabeln+'!E29</f>
        <v>II 1,3o</v>
      </c>
      <c r="F29" s="65" t="str">
        <f>'II_Inkunabeln+'!H29</f>
        <v>bis 35 cm</v>
      </c>
      <c r="G29" s="93" t="str">
        <f>'II_Inkunabeln+'!X29</f>
        <v>L</v>
      </c>
      <c r="H29" s="93" t="str">
        <f>'II_Inkunabeln+'!AA29</f>
        <v>f</v>
      </c>
      <c r="I29" s="93">
        <f>'II_Inkunabeln+'!AC29</f>
        <v>0</v>
      </c>
      <c r="J29" s="94"/>
      <c r="K29" s="93">
        <f>'II_Inkunabeln+'!AD29</f>
        <v>0</v>
      </c>
      <c r="L29" s="94"/>
      <c r="M29" s="94"/>
      <c r="N29" s="94"/>
      <c r="O29" s="94"/>
      <c r="P29" s="94"/>
      <c r="Q29" s="94"/>
      <c r="R29" s="94"/>
      <c r="S29" s="94"/>
      <c r="T29" s="94"/>
      <c r="U29" s="94"/>
      <c r="V29" s="94"/>
      <c r="W29" s="94" t="str">
        <f>'II_Inkunabeln+'!BA29</f>
        <v>n</v>
      </c>
      <c r="X29" s="108"/>
      <c r="Y29" s="93">
        <f>'II_Inkunabeln+'!BI29</f>
        <v>0</v>
      </c>
      <c r="Z29" s="81" t="str">
        <f>'II_Inkunabeln+'!BJ29</f>
        <v>Klemm-Einband liegt der Kassette bei</v>
      </c>
    </row>
    <row r="30" spans="1:26" x14ac:dyDescent="0.25">
      <c r="A30" s="63">
        <f>'II_Inkunabeln+'!A30</f>
        <v>29</v>
      </c>
      <c r="B30" s="63" t="str">
        <f>'II_Inkunabeln+'!B30</f>
        <v>L-1475-315497912</v>
      </c>
      <c r="C30" s="63">
        <f>'II_Inkunabeln+'!C30</f>
        <v>1066967652</v>
      </c>
      <c r="D30" s="84" t="str">
        <f>'II_Inkunabeln+'!D30</f>
        <v>https://portal.dnb.de/opac.htm?method=simpleSearch&amp;cqlMode=true&amp;query=idn%3D1066967652</v>
      </c>
      <c r="E30" s="65" t="str">
        <f>'II_Inkunabeln+'!E30</f>
        <v>II 1,3p</v>
      </c>
      <c r="F30" s="65" t="str">
        <f>'II_Inkunabeln+'!H30</f>
        <v>&gt; 42 cm</v>
      </c>
      <c r="G30" s="93">
        <f>'II_Inkunabeln+'!X30</f>
        <v>0</v>
      </c>
      <c r="H30" s="93">
        <f>'II_Inkunabeln+'!AA30</f>
        <v>0</v>
      </c>
      <c r="I30" s="93">
        <f>'II_Inkunabeln+'!AC30</f>
        <v>0</v>
      </c>
      <c r="J30" s="94"/>
      <c r="K30" s="93">
        <f>'II_Inkunabeln+'!AD30</f>
        <v>0</v>
      </c>
      <c r="L30" s="94"/>
      <c r="M30" s="94"/>
      <c r="N30" s="94"/>
      <c r="O30" s="94"/>
      <c r="P30" s="94"/>
      <c r="Q30" s="94"/>
      <c r="R30" s="94"/>
      <c r="S30" s="94"/>
      <c r="T30" s="94"/>
      <c r="U30" s="94"/>
      <c r="V30" s="94"/>
      <c r="W30" s="94">
        <f>'II_Inkunabeln+'!BA30</f>
        <v>0</v>
      </c>
      <c r="X30" s="108"/>
      <c r="Y30" s="93">
        <f>'II_Inkunabeln+'!BI30</f>
        <v>0</v>
      </c>
      <c r="Z30" s="81">
        <f>'II_Inkunabeln+'!BJ30</f>
        <v>0</v>
      </c>
    </row>
    <row r="31" spans="1:26" x14ac:dyDescent="0.25">
      <c r="A31" s="63">
        <f>'II_Inkunabeln+'!A31</f>
        <v>30</v>
      </c>
      <c r="B31" s="63" t="str">
        <f>'II_Inkunabeln+'!B31</f>
        <v>L-1475-315496576</v>
      </c>
      <c r="C31" s="63">
        <f>'II_Inkunabeln+'!C31</f>
        <v>1066966281</v>
      </c>
      <c r="D31" s="84" t="str">
        <f>'II_Inkunabeln+'!D31</f>
        <v>https://portal.dnb.de/opac.htm?method=simpleSearch&amp;cqlMode=true&amp;query=idn%3D1066966281</v>
      </c>
      <c r="E31" s="65" t="str">
        <f>'II_Inkunabeln+'!E31</f>
        <v>II 1,3q</v>
      </c>
      <c r="F31" s="65" t="str">
        <f>'II_Inkunabeln+'!H31</f>
        <v>bis 42 cm</v>
      </c>
      <c r="G31" s="93" t="str">
        <f>'II_Inkunabeln+'!X31</f>
        <v>L</v>
      </c>
      <c r="H31" s="93" t="str">
        <f>'II_Inkunabeln+'!AA31</f>
        <v>h/E</v>
      </c>
      <c r="I31" s="93">
        <f>'II_Inkunabeln+'!AC31</f>
        <v>0</v>
      </c>
      <c r="J31" s="94"/>
      <c r="K31" s="93">
        <f>'II_Inkunabeln+'!AD31</f>
        <v>0</v>
      </c>
      <c r="L31" s="94"/>
      <c r="M31" s="94"/>
      <c r="N31" s="94"/>
      <c r="O31" s="94"/>
      <c r="P31" s="94"/>
      <c r="Q31" s="94"/>
      <c r="R31" s="94"/>
      <c r="S31" s="94"/>
      <c r="T31" s="94"/>
      <c r="U31" s="94"/>
      <c r="V31" s="94"/>
      <c r="W31" s="94" t="str">
        <f>'II_Inkunabeln+'!BA31</f>
        <v>n</v>
      </c>
      <c r="X31" s="108"/>
      <c r="Y31" s="93">
        <f>'II_Inkunabeln+'!BI31</f>
        <v>0</v>
      </c>
      <c r="Z31" s="81">
        <f>'II_Inkunabeln+'!BJ31</f>
        <v>0</v>
      </c>
    </row>
    <row r="32" spans="1:26" ht="10.5" customHeight="1" x14ac:dyDescent="0.25">
      <c r="A32" s="63">
        <f>'II_Inkunabeln+'!A32</f>
        <v>31</v>
      </c>
      <c r="B32" s="63" t="str">
        <f>'II_Inkunabeln+'!B32</f>
        <v>L-1476-315497319</v>
      </c>
      <c r="C32" s="63">
        <f>'II_Inkunabeln+'!C32</f>
        <v>1066967016</v>
      </c>
      <c r="D32" s="84" t="str">
        <f>'II_Inkunabeln+'!D32</f>
        <v>https://portal.dnb.de/opac.htm?method=simpleSearch&amp;cqlMode=true&amp;query=idn%3D1066967016</v>
      </c>
      <c r="E32" s="65" t="str">
        <f>'II_Inkunabeln+'!E32</f>
        <v>II 1,3r</v>
      </c>
      <c r="F32" s="65" t="str">
        <f>'II_Inkunabeln+'!H32</f>
        <v>bis 42 cm</v>
      </c>
      <c r="G32" s="93" t="str">
        <f>'II_Inkunabeln+'!X32</f>
        <v>L</v>
      </c>
      <c r="H32" s="93" t="str">
        <f>'II_Inkunabeln+'!AA32</f>
        <v>h/E</v>
      </c>
      <c r="I32" s="93">
        <f>'II_Inkunabeln+'!AC32</f>
        <v>0</v>
      </c>
      <c r="J32" s="94" t="s">
        <v>1633</v>
      </c>
      <c r="K32" s="93">
        <f>'II_Inkunabeln+'!AD32</f>
        <v>0</v>
      </c>
      <c r="L32" s="94"/>
      <c r="M32" s="94"/>
      <c r="N32" s="94" t="s">
        <v>1767</v>
      </c>
      <c r="O32" s="94"/>
      <c r="P32" s="94"/>
      <c r="Q32" s="94"/>
      <c r="R32" s="94"/>
      <c r="S32" s="94"/>
      <c r="T32" s="94"/>
      <c r="U32" s="94"/>
      <c r="V32" s="94"/>
      <c r="W32" s="94" t="str">
        <f>'II_Inkunabeln+'!BA32</f>
        <v>ja vor</v>
      </c>
      <c r="X32" s="108">
        <v>3</v>
      </c>
      <c r="Y32" s="93">
        <f>'II_Inkunabeln+'!BI32</f>
        <v>0</v>
      </c>
      <c r="Z32" s="81">
        <f>'II_Inkunabeln+'!BJ32</f>
        <v>0</v>
      </c>
    </row>
    <row r="33" spans="1:26" x14ac:dyDescent="0.25">
      <c r="A33" s="63">
        <f>'II_Inkunabeln+'!A33</f>
        <v>32</v>
      </c>
      <c r="B33" s="63" t="str">
        <f>'II_Inkunabeln+'!B33</f>
        <v>L-1476-315499885</v>
      </c>
      <c r="C33" s="63">
        <f>'II_Inkunabeln+'!C33</f>
        <v>1066969566</v>
      </c>
      <c r="D33" s="84" t="str">
        <f>'II_Inkunabeln+'!D33</f>
        <v>https://portal.dnb.de/opac.htm?method=simpleSearch&amp;cqlMode=true&amp;query=idn%3D1066969566</v>
      </c>
      <c r="E33" s="65" t="str">
        <f>'II_Inkunabeln+'!E33</f>
        <v>II 1,3t</v>
      </c>
      <c r="F33" s="65" t="str">
        <f>'II_Inkunabeln+'!H33</f>
        <v>bis 42 cm</v>
      </c>
      <c r="G33" s="93" t="str">
        <f>'II_Inkunabeln+'!X33</f>
        <v>HD</v>
      </c>
      <c r="H33" s="93" t="str">
        <f>'II_Inkunabeln+'!AA33</f>
        <v>h/E</v>
      </c>
      <c r="I33" s="93">
        <f>'II_Inkunabeln+'!AC33</f>
        <v>0</v>
      </c>
      <c r="J33" s="94"/>
      <c r="K33" s="93">
        <f>'II_Inkunabeln+'!AD33</f>
        <v>0</v>
      </c>
      <c r="L33" s="94"/>
      <c r="M33" s="94"/>
      <c r="N33" s="94"/>
      <c r="O33" s="94"/>
      <c r="P33" s="94"/>
      <c r="Q33" s="94"/>
      <c r="R33" s="94"/>
      <c r="S33" s="94"/>
      <c r="T33" s="94"/>
      <c r="U33" s="94"/>
      <c r="V33" s="94"/>
      <c r="W33" s="94" t="str">
        <f>'II_Inkunabeln+'!BA33</f>
        <v>n</v>
      </c>
      <c r="X33" s="108"/>
      <c r="Y33" s="93">
        <f>'II_Inkunabeln+'!BI33</f>
        <v>0</v>
      </c>
      <c r="Z33" s="81">
        <f>'II_Inkunabeln+'!BJ33</f>
        <v>0</v>
      </c>
    </row>
    <row r="34" spans="1:26" x14ac:dyDescent="0.25">
      <c r="A34" s="63">
        <f>'II_Inkunabeln+'!A34</f>
        <v>33</v>
      </c>
      <c r="B34" s="63" t="str">
        <f>'II_Inkunabeln+'!B34</f>
        <v>L-1476-315497742</v>
      </c>
      <c r="C34" s="63">
        <f>'II_Inkunabeln+'!C34</f>
        <v>1066967482</v>
      </c>
      <c r="D34" s="84" t="str">
        <f>'II_Inkunabeln+'!D34</f>
        <v>https://portal.dnb.de/opac.htm?method=simpleSearch&amp;cqlMode=true&amp;query=idn%3D1066967482</v>
      </c>
      <c r="E34" s="65" t="str">
        <f>'II_Inkunabeln+'!E34</f>
        <v>II 1,3u</v>
      </c>
      <c r="F34" s="65">
        <f>'II_Inkunabeln+'!H34</f>
        <v>0</v>
      </c>
      <c r="G34" s="93">
        <f>'II_Inkunabeln+'!X34</f>
        <v>0</v>
      </c>
      <c r="H34" s="93">
        <f>'II_Inkunabeln+'!AA34</f>
        <v>0</v>
      </c>
      <c r="I34" s="93">
        <f>'II_Inkunabeln+'!AC34</f>
        <v>0</v>
      </c>
      <c r="J34" s="94"/>
      <c r="K34" s="93">
        <f>'II_Inkunabeln+'!AD34</f>
        <v>0</v>
      </c>
      <c r="L34" s="94"/>
      <c r="M34" s="94"/>
      <c r="N34" s="94"/>
      <c r="O34" s="94"/>
      <c r="P34" s="94"/>
      <c r="Q34" s="94"/>
      <c r="R34" s="94"/>
      <c r="S34" s="94"/>
      <c r="T34" s="94"/>
      <c r="U34" s="94"/>
      <c r="V34" s="94"/>
      <c r="W34" s="94">
        <f>'II_Inkunabeln+'!BA34</f>
        <v>0</v>
      </c>
      <c r="X34" s="108"/>
      <c r="Y34" s="93">
        <f>'II_Inkunabeln+'!BI34</f>
        <v>0</v>
      </c>
      <c r="Z34" s="81">
        <f>'II_Inkunabeln+'!BJ34</f>
        <v>0</v>
      </c>
    </row>
    <row r="35" spans="1:26" x14ac:dyDescent="0.25">
      <c r="A35" s="63">
        <f>'II_Inkunabeln+'!A35</f>
        <v>34</v>
      </c>
      <c r="B35" s="63" t="str">
        <f>'II_Inkunabeln+'!B35</f>
        <v>L-1477-315499893</v>
      </c>
      <c r="C35" s="63">
        <f>'II_Inkunabeln+'!C35</f>
        <v>1066969574</v>
      </c>
      <c r="D35" s="84" t="str">
        <f>'II_Inkunabeln+'!D35</f>
        <v>https://portal.dnb.de/opac.htm?method=simpleSearch&amp;cqlMode=true&amp;query=idn%3D1066969574</v>
      </c>
      <c r="E35" s="65" t="str">
        <f>'II_Inkunabeln+'!E35</f>
        <v>II 1,3v</v>
      </c>
      <c r="F35" s="65" t="str">
        <f>'II_Inkunabeln+'!H35</f>
        <v>bis 42 cm</v>
      </c>
      <c r="G35" s="93" t="str">
        <f>'II_Inkunabeln+'!X35</f>
        <v>L</v>
      </c>
      <c r="H35" s="93" t="str">
        <f>'II_Inkunabeln+'!AA35</f>
        <v>f/V</v>
      </c>
      <c r="I35" s="93" t="str">
        <f>'II_Inkunabeln+'!AC35</f>
        <v>xx</v>
      </c>
      <c r="J35" s="94" t="s">
        <v>1633</v>
      </c>
      <c r="K35" s="93">
        <f>'II_Inkunabeln+'!AD35</f>
        <v>0</v>
      </c>
      <c r="L35" s="94" t="s">
        <v>1633</v>
      </c>
      <c r="M35" s="94" t="s">
        <v>1633</v>
      </c>
      <c r="N35" s="94"/>
      <c r="O35" s="94"/>
      <c r="P35" s="94"/>
      <c r="Q35" s="94"/>
      <c r="R35" s="94"/>
      <c r="S35" s="94"/>
      <c r="T35" s="94"/>
      <c r="U35" s="94"/>
      <c r="V35" s="94"/>
      <c r="W35" s="94" t="str">
        <f>'II_Inkunabeln+'!BA35</f>
        <v>ja vor</v>
      </c>
      <c r="X35" s="108">
        <v>3</v>
      </c>
      <c r="Y35" s="93">
        <f>'II_Inkunabeln+'!BI35</f>
        <v>0</v>
      </c>
      <c r="Z35" s="81">
        <f>'II_Inkunabeln+'!BJ35</f>
        <v>0</v>
      </c>
    </row>
    <row r="36" spans="1:26" ht="23" x14ac:dyDescent="0.25">
      <c r="A36" s="63">
        <f>'II_Inkunabeln+'!A36</f>
        <v>35</v>
      </c>
      <c r="B36" s="63" t="str">
        <f>'II_Inkunabeln+'!B36</f>
        <v>L-1478-315496401</v>
      </c>
      <c r="C36" s="63">
        <f>'II_Inkunabeln+'!C36</f>
        <v>1066966109</v>
      </c>
      <c r="D36" s="84" t="str">
        <f>'II_Inkunabeln+'!D36</f>
        <v>https://portal.dnb.de/opac.htm?method=simpleSearch&amp;cqlMode=true&amp;query=idn%3D1066966109</v>
      </c>
      <c r="E36" s="65" t="str">
        <f>'II_Inkunabeln+'!E36</f>
        <v>II 1,3x</v>
      </c>
      <c r="F36" s="65" t="str">
        <f>'II_Inkunabeln+'!H36</f>
        <v>bis 25 cm</v>
      </c>
      <c r="G36" s="93" t="str">
        <f>'II_Inkunabeln+'!X36</f>
        <v>L</v>
      </c>
      <c r="H36" s="93" t="str">
        <f>'II_Inkunabeln+'!AA36</f>
        <v>f/V</v>
      </c>
      <c r="I36" s="93">
        <f>'II_Inkunabeln+'!AC36</f>
        <v>0</v>
      </c>
      <c r="J36" s="94"/>
      <c r="K36" s="93">
        <f>'II_Inkunabeln+'!AD36</f>
        <v>0</v>
      </c>
      <c r="L36" s="94"/>
      <c r="M36" s="94"/>
      <c r="N36" s="94"/>
      <c r="O36" s="94"/>
      <c r="P36" s="94"/>
      <c r="Q36" s="94"/>
      <c r="R36" s="94"/>
      <c r="S36" s="94"/>
      <c r="T36" s="94"/>
      <c r="U36" s="94"/>
      <c r="V36" s="94"/>
      <c r="W36" s="94" t="str">
        <f>'II_Inkunabeln+'!BA36</f>
        <v>nur bei Treventus</v>
      </c>
      <c r="X36" s="108"/>
      <c r="Y36" s="93">
        <f>'II_Inkunabeln+'!BI36</f>
        <v>0</v>
      </c>
      <c r="Z36" s="81">
        <f>'II_Inkunabeln+'!BJ36</f>
        <v>0</v>
      </c>
    </row>
    <row r="37" spans="1:26" x14ac:dyDescent="0.25">
      <c r="A37" s="63">
        <f>'II_Inkunabeln+'!A37</f>
        <v>36</v>
      </c>
      <c r="B37" s="63" t="str">
        <f>'II_Inkunabeln+'!B37</f>
        <v>L-1479-315499087</v>
      </c>
      <c r="C37" s="63">
        <f>'II_Inkunabeln+'!C37</f>
        <v>1066968810</v>
      </c>
      <c r="D37" s="84" t="str">
        <f>'II_Inkunabeln+'!D37</f>
        <v>https://portal.dnb.de/opac.htm?method=simpleSearch&amp;cqlMode=true&amp;query=idn%3D1066968810</v>
      </c>
      <c r="E37" s="65" t="str">
        <f>'II_Inkunabeln+'!E37</f>
        <v>II 1,3y</v>
      </c>
      <c r="F37" s="65" t="str">
        <f>'II_Inkunabeln+'!H37</f>
        <v>&gt; 42 cm</v>
      </c>
      <c r="G37" s="93" t="str">
        <f>'II_Inkunabeln+'!X37</f>
        <v>HD</v>
      </c>
      <c r="H37" s="93" t="str">
        <f>'II_Inkunabeln+'!AA37</f>
        <v>h</v>
      </c>
      <c r="I37" s="93">
        <f>'II_Inkunabeln+'!AC37</f>
        <v>0</v>
      </c>
      <c r="J37" s="94"/>
      <c r="K37" s="93">
        <f>'II_Inkunabeln+'!AD37</f>
        <v>0</v>
      </c>
      <c r="L37" s="94"/>
      <c r="M37" s="94"/>
      <c r="N37" s="94"/>
      <c r="O37" s="94"/>
      <c r="P37" s="94"/>
      <c r="Q37" s="94"/>
      <c r="R37" s="94"/>
      <c r="S37" s="94"/>
      <c r="T37" s="94"/>
      <c r="U37" s="94"/>
      <c r="V37" s="94"/>
      <c r="W37" s="94" t="str">
        <f>'II_Inkunabeln+'!BA37</f>
        <v>n</v>
      </c>
      <c r="X37" s="108"/>
      <c r="Y37" s="93">
        <f>'II_Inkunabeln+'!BI37</f>
        <v>0</v>
      </c>
      <c r="Z37" s="81">
        <f>'II_Inkunabeln+'!BJ37</f>
        <v>0</v>
      </c>
    </row>
    <row r="38" spans="1:26" x14ac:dyDescent="0.25">
      <c r="A38" s="63">
        <f>'II_Inkunabeln+'!A38</f>
        <v>37</v>
      </c>
      <c r="B38" s="63" t="str">
        <f>'II_Inkunabeln+'!B38</f>
        <v>L-1469-315500522</v>
      </c>
      <c r="C38" s="63">
        <f>'II_Inkunabeln+'!C38</f>
        <v>1066970181</v>
      </c>
      <c r="D38" s="84" t="str">
        <f>'II_Inkunabeln+'!D38</f>
        <v>https://portal.dnb.de/opac.htm?method=simpleSearch&amp;cqlMode=true&amp;query=idn%3D1066970181</v>
      </c>
      <c r="E38" s="65" t="str">
        <f>'II_Inkunabeln+'!E38</f>
        <v>II 1,4ab - Fragm.</v>
      </c>
      <c r="F38" s="65">
        <f>'II_Inkunabeln+'!H38</f>
        <v>0</v>
      </c>
      <c r="G38" s="93">
        <f>'II_Inkunabeln+'!X38</f>
        <v>0</v>
      </c>
      <c r="H38" s="93">
        <f>'II_Inkunabeln+'!AA38</f>
        <v>0</v>
      </c>
      <c r="I38" s="93">
        <f>'II_Inkunabeln+'!AC38</f>
        <v>0</v>
      </c>
      <c r="J38" s="94"/>
      <c r="K38" s="93">
        <f>'II_Inkunabeln+'!AD38</f>
        <v>0</v>
      </c>
      <c r="L38" s="94"/>
      <c r="M38" s="94"/>
      <c r="N38" s="94"/>
      <c r="O38" s="94"/>
      <c r="P38" s="94"/>
      <c r="Q38" s="94"/>
      <c r="R38" s="94"/>
      <c r="S38" s="94"/>
      <c r="T38" s="94"/>
      <c r="U38" s="94"/>
      <c r="V38" s="94"/>
      <c r="W38" s="94">
        <f>'II_Inkunabeln+'!BA38</f>
        <v>0</v>
      </c>
      <c r="X38" s="108"/>
      <c r="Y38" s="93">
        <f>'II_Inkunabeln+'!BI38</f>
        <v>0</v>
      </c>
      <c r="Z38" s="81">
        <f>'II_Inkunabeln+'!BJ38</f>
        <v>0</v>
      </c>
    </row>
    <row r="39" spans="1:26" x14ac:dyDescent="0.25">
      <c r="A39" s="63">
        <f>'II_Inkunabeln+'!A39</f>
        <v>38</v>
      </c>
      <c r="B39" s="63" t="str">
        <f>'II_Inkunabeln+'!B39</f>
        <v>L-1469-31550286X</v>
      </c>
      <c r="C39" s="63">
        <f>'II_Inkunabeln+'!C39</f>
        <v>1066972443</v>
      </c>
      <c r="D39" s="84" t="str">
        <f>'II_Inkunabeln+'!D39</f>
        <v>https://portal.dnb.de/opac.htm?method=simpleSearch&amp;cqlMode=true&amp;query=idn%3D1066972443</v>
      </c>
      <c r="E39" s="65" t="str">
        <f>'II_Inkunabeln+'!E39</f>
        <v>II 1,4b</v>
      </c>
      <c r="F39" s="65" t="str">
        <f>'II_Inkunabeln+'!H39</f>
        <v>bis 25 cm</v>
      </c>
      <c r="G39" s="93" t="str">
        <f>'II_Inkunabeln+'!X39</f>
        <v>L</v>
      </c>
      <c r="H39" s="93" t="str">
        <f>'II_Inkunabeln+'!AA39</f>
        <v>f</v>
      </c>
      <c r="I39" s="93">
        <f>'II_Inkunabeln+'!AC39</f>
        <v>0</v>
      </c>
      <c r="J39" s="94"/>
      <c r="K39" s="93">
        <f>'II_Inkunabeln+'!AD39</f>
        <v>0</v>
      </c>
      <c r="L39" s="94"/>
      <c r="M39" s="94"/>
      <c r="N39" s="94"/>
      <c r="O39" s="94"/>
      <c r="P39" s="94"/>
      <c r="Q39" s="94"/>
      <c r="R39" s="94"/>
      <c r="S39" s="94"/>
      <c r="T39" s="94"/>
      <c r="U39" s="94"/>
      <c r="V39" s="94"/>
      <c r="W39" s="94" t="str">
        <f>'II_Inkunabeln+'!BA39</f>
        <v>n</v>
      </c>
      <c r="X39" s="108"/>
      <c r="Y39" s="93">
        <f>'II_Inkunabeln+'!BI39</f>
        <v>0</v>
      </c>
      <c r="Z39" s="81">
        <f>'II_Inkunabeln+'!BJ39</f>
        <v>0</v>
      </c>
    </row>
    <row r="40" spans="1:26" x14ac:dyDescent="0.25">
      <c r="A40" s="63">
        <f>'II_Inkunabeln+'!A40</f>
        <v>39</v>
      </c>
      <c r="B40" s="63" t="str">
        <f>'II_Inkunabeln+'!B40</f>
        <v>L-1480-315500719</v>
      </c>
      <c r="C40" s="63">
        <f>'II_Inkunabeln+'!C40</f>
        <v>1066970378</v>
      </c>
      <c r="D40" s="84" t="str">
        <f>'II_Inkunabeln+'!D40</f>
        <v>https://portal.dnb.de/opac.htm?method=simpleSearch&amp;cqlMode=true&amp;query=idn%3D1066970378</v>
      </c>
      <c r="E40" s="65" t="str">
        <f>'II_Inkunabeln+'!E40</f>
        <v>II 1,5a</v>
      </c>
      <c r="F40" s="65" t="str">
        <f>'II_Inkunabeln+'!H40</f>
        <v>bis 35 cm</v>
      </c>
      <c r="G40" s="93" t="str">
        <f>'II_Inkunabeln+'!X40</f>
        <v>L</v>
      </c>
      <c r="H40" s="93" t="str">
        <f>'II_Inkunabeln+'!AA40</f>
        <v>h/E</v>
      </c>
      <c r="I40" s="93">
        <f>'II_Inkunabeln+'!AC40</f>
        <v>0</v>
      </c>
      <c r="J40" s="94" t="s">
        <v>1633</v>
      </c>
      <c r="K40" s="93">
        <f>'II_Inkunabeln+'!AD40</f>
        <v>0</v>
      </c>
      <c r="L40" s="94"/>
      <c r="M40" s="94"/>
      <c r="N40" s="94" t="s">
        <v>1767</v>
      </c>
      <c r="O40" s="94"/>
      <c r="P40" s="94"/>
      <c r="Q40" s="94"/>
      <c r="R40" s="94"/>
      <c r="S40" s="94"/>
      <c r="T40" s="94"/>
      <c r="U40" s="94"/>
      <c r="V40" s="94"/>
      <c r="W40" s="94" t="str">
        <f>'II_Inkunabeln+'!BA40</f>
        <v>ja vor</v>
      </c>
      <c r="X40" s="108">
        <v>2</v>
      </c>
      <c r="Y40" s="93">
        <f>'II_Inkunabeln+'!BI40</f>
        <v>0</v>
      </c>
      <c r="Z40" s="81">
        <f>'II_Inkunabeln+'!BJ40</f>
        <v>0</v>
      </c>
    </row>
    <row r="41" spans="1:26" x14ac:dyDescent="0.25">
      <c r="A41" s="63">
        <f>'II_Inkunabeln+'!A41</f>
        <v>40</v>
      </c>
      <c r="B41" s="63" t="str">
        <f>'II_Inkunabeln+'!B41</f>
        <v>L-1491-315499540</v>
      </c>
      <c r="C41" s="63" t="str">
        <f>'II_Inkunabeln+'!C41</f>
        <v>106696923X</v>
      </c>
      <c r="D41" s="84" t="str">
        <f>'II_Inkunabeln+'!D41</f>
        <v>https://portal.dnb.de/opac.htm?method=simpleSearch&amp;cqlMode=true&amp;query=idn%3D106696923X</v>
      </c>
      <c r="E41" s="65" t="str">
        <f>'II_Inkunabeln+'!E41</f>
        <v>II 1,8ab - Fragm.</v>
      </c>
      <c r="F41" s="65">
        <f>'II_Inkunabeln+'!H41</f>
        <v>0</v>
      </c>
      <c r="G41" s="93">
        <f>'II_Inkunabeln+'!X41</f>
        <v>0</v>
      </c>
      <c r="H41" s="93">
        <f>'II_Inkunabeln+'!AA41</f>
        <v>0</v>
      </c>
      <c r="I41" s="93">
        <f>'II_Inkunabeln+'!AC41</f>
        <v>0</v>
      </c>
      <c r="J41" s="94"/>
      <c r="K41" s="93">
        <f>'II_Inkunabeln+'!AD41</f>
        <v>0</v>
      </c>
      <c r="L41" s="94"/>
      <c r="M41" s="94"/>
      <c r="N41" s="94"/>
      <c r="O41" s="94"/>
      <c r="P41" s="94"/>
      <c r="Q41" s="94"/>
      <c r="R41" s="94"/>
      <c r="S41" s="94"/>
      <c r="T41" s="94"/>
      <c r="U41" s="94"/>
      <c r="V41" s="94"/>
      <c r="W41" s="94">
        <f>'II_Inkunabeln+'!BA41</f>
        <v>0</v>
      </c>
      <c r="X41" s="108"/>
      <c r="Y41" s="93">
        <f>'II_Inkunabeln+'!BI41</f>
        <v>0</v>
      </c>
      <c r="Z41" s="81">
        <f>'II_Inkunabeln+'!BJ41</f>
        <v>0</v>
      </c>
    </row>
    <row r="42" spans="1:26" x14ac:dyDescent="0.25">
      <c r="A42" s="63">
        <f>'II_Inkunabeln+'!A42</f>
        <v>41</v>
      </c>
      <c r="B42" s="63" t="str">
        <f>'II_Inkunabeln+'!B42</f>
        <v>L-1494-315503262</v>
      </c>
      <c r="C42" s="63">
        <f>'II_Inkunabeln+'!C42</f>
        <v>1066972877</v>
      </c>
      <c r="D42" s="84" t="str">
        <f>'II_Inkunabeln+'!D42</f>
        <v>https://portal.dnb.de/opac.htm?method=simpleSearch&amp;cqlMode=true&amp;query=idn%3D1066972877</v>
      </c>
      <c r="E42" s="65" t="str">
        <f>'II_Inkunabeln+'!E42</f>
        <v>II 1,9a</v>
      </c>
      <c r="F42" s="65" t="str">
        <f>'II_Inkunabeln+'!H42</f>
        <v>bis 25 cm</v>
      </c>
      <c r="G42" s="93" t="str">
        <f>'II_Inkunabeln+'!X42</f>
        <v>HL</v>
      </c>
      <c r="H42" s="93" t="str">
        <f>'II_Inkunabeln+'!AA42</f>
        <v>h</v>
      </c>
      <c r="I42" s="93">
        <f>'II_Inkunabeln+'!AC42</f>
        <v>0</v>
      </c>
      <c r="J42" s="94" t="s">
        <v>1633</v>
      </c>
      <c r="K42" s="93">
        <f>'II_Inkunabeln+'!AD42</f>
        <v>0</v>
      </c>
      <c r="L42" s="94"/>
      <c r="M42" s="94"/>
      <c r="N42" s="94" t="s">
        <v>1767</v>
      </c>
      <c r="O42" s="94"/>
      <c r="P42" s="94"/>
      <c r="Q42" s="94"/>
      <c r="R42" s="94"/>
      <c r="S42" s="94"/>
      <c r="T42" s="94"/>
      <c r="U42" s="94"/>
      <c r="V42" s="94"/>
      <c r="W42" s="94" t="str">
        <f>'II_Inkunabeln+'!BA42</f>
        <v>ja nach</v>
      </c>
      <c r="X42" s="108">
        <v>1</v>
      </c>
      <c r="Y42" s="93">
        <f>'II_Inkunabeln+'!BI42</f>
        <v>0</v>
      </c>
      <c r="Z42" s="81">
        <f>'II_Inkunabeln+'!BJ42</f>
        <v>0</v>
      </c>
    </row>
    <row r="43" spans="1:26" x14ac:dyDescent="0.25">
      <c r="A43" s="63">
        <f>'II_Inkunabeln+'!A43</f>
        <v>42</v>
      </c>
      <c r="B43" s="63" t="str">
        <f>'II_Inkunabeln+'!B43</f>
        <v>L-1494-315503270</v>
      </c>
      <c r="C43" s="63">
        <f>'II_Inkunabeln+'!C43</f>
        <v>1069138924</v>
      </c>
      <c r="D43" s="84" t="str">
        <f>'II_Inkunabeln+'!D43</f>
        <v>https://portal.dnb.de/opac.htm?method=simpleSearch&amp;cqlMode=true&amp;query=idn%3D1069138924</v>
      </c>
      <c r="E43" s="65" t="str">
        <f>'II_Inkunabeln+'!E43</f>
        <v>II 1,9ab</v>
      </c>
      <c r="F43" s="65" t="str">
        <f>'II_Inkunabeln+'!H43</f>
        <v>bis 25 cm</v>
      </c>
      <c r="G43" s="93" t="str">
        <f>'II_Inkunabeln+'!X43</f>
        <v>Pg</v>
      </c>
      <c r="H43" s="93" t="str">
        <f>'II_Inkunabeln+'!AA43</f>
        <v>h</v>
      </c>
      <c r="I43" s="93">
        <f>'II_Inkunabeln+'!AC43</f>
        <v>0</v>
      </c>
      <c r="J43" s="94"/>
      <c r="K43" s="93">
        <f>'II_Inkunabeln+'!AD43</f>
        <v>0</v>
      </c>
      <c r="L43" s="94"/>
      <c r="M43" s="94"/>
      <c r="N43" s="94"/>
      <c r="O43" s="94"/>
      <c r="P43" s="94"/>
      <c r="Q43" s="94"/>
      <c r="R43" s="94"/>
      <c r="S43" s="94"/>
      <c r="T43" s="94"/>
      <c r="U43" s="94"/>
      <c r="V43" s="94"/>
      <c r="W43" s="94">
        <f>'II_Inkunabeln+'!BA43</f>
        <v>0</v>
      </c>
      <c r="X43" s="108"/>
      <c r="Y43" s="93">
        <f>'II_Inkunabeln+'!BI43</f>
        <v>0</v>
      </c>
      <c r="Z43" s="81">
        <f>'II_Inkunabeln+'!BJ43</f>
        <v>0</v>
      </c>
    </row>
    <row r="44" spans="1:26" x14ac:dyDescent="0.25">
      <c r="A44" s="63">
        <f>'II_Inkunabeln+'!A44</f>
        <v>43</v>
      </c>
      <c r="B44" s="63" t="str">
        <f>'II_Inkunabeln+'!B44</f>
        <v>L-1494-315499095</v>
      </c>
      <c r="C44" s="63">
        <f>'II_Inkunabeln+'!C44</f>
        <v>1066968829</v>
      </c>
      <c r="D44" s="84" t="str">
        <f>'II_Inkunabeln+'!D44</f>
        <v>https://portal.dnb.de/opac.htm?method=simpleSearch&amp;cqlMode=true&amp;query=idn%3D1066968829</v>
      </c>
      <c r="E44" s="65" t="str">
        <f>'II_Inkunabeln+'!E44</f>
        <v>II 1,9b</v>
      </c>
      <c r="F44" s="65" t="str">
        <f>'II_Inkunabeln+'!H44</f>
        <v>bis 25 cm</v>
      </c>
      <c r="G44" s="93" t="str">
        <f>'II_Inkunabeln+'!X44</f>
        <v>HL</v>
      </c>
      <c r="H44" s="93" t="str">
        <f>'II_Inkunabeln+'!AA44</f>
        <v>h/E</v>
      </c>
      <c r="I44" s="93">
        <f>'II_Inkunabeln+'!AC44</f>
        <v>0</v>
      </c>
      <c r="J44" s="94"/>
      <c r="K44" s="93">
        <f>'II_Inkunabeln+'!AD44</f>
        <v>0</v>
      </c>
      <c r="L44" s="94"/>
      <c r="M44" s="94"/>
      <c r="N44" s="94"/>
      <c r="O44" s="94"/>
      <c r="P44" s="94"/>
      <c r="Q44" s="94"/>
      <c r="R44" s="94"/>
      <c r="S44" s="94"/>
      <c r="T44" s="94"/>
      <c r="U44" s="94"/>
      <c r="V44" s="94"/>
      <c r="W44" s="94">
        <f>'II_Inkunabeln+'!BA44</f>
        <v>0</v>
      </c>
      <c r="X44" s="108"/>
      <c r="Y44" s="93">
        <f>'II_Inkunabeln+'!BI44</f>
        <v>0</v>
      </c>
      <c r="Z44" s="81">
        <f>'II_Inkunabeln+'!BJ44</f>
        <v>0</v>
      </c>
    </row>
    <row r="45" spans="1:26" x14ac:dyDescent="0.25">
      <c r="A45" s="63">
        <f>'II_Inkunabeln+'!A45</f>
        <v>44</v>
      </c>
      <c r="B45" s="63" t="str">
        <f>'II_Inkunabeln+'!B45</f>
        <v>L-1494-315502177</v>
      </c>
      <c r="C45" s="63">
        <f>'II_Inkunabeln+'!C45</f>
        <v>1066971781</v>
      </c>
      <c r="D45" s="84" t="str">
        <f>'II_Inkunabeln+'!D45</f>
        <v>https://portal.dnb.de/opac.htm?method=simpleSearch&amp;cqlMode=true&amp;query=idn%3D1066971781</v>
      </c>
      <c r="E45" s="65" t="str">
        <f>'II_Inkunabeln+'!E45</f>
        <v>II 1,9c</v>
      </c>
      <c r="F45" s="65" t="str">
        <f>'II_Inkunabeln+'!H45</f>
        <v>bis 25 cm</v>
      </c>
      <c r="G45" s="93" t="str">
        <f>'II_Inkunabeln+'!X45</f>
        <v>HL</v>
      </c>
      <c r="H45" s="93" t="str">
        <f>'II_Inkunabeln+'!AA45</f>
        <v>h/E</v>
      </c>
      <c r="I45" s="93">
        <f>'II_Inkunabeln+'!AC45</f>
        <v>0</v>
      </c>
      <c r="J45" s="94" t="s">
        <v>1633</v>
      </c>
      <c r="K45" s="93">
        <f>'II_Inkunabeln+'!AD45</f>
        <v>0</v>
      </c>
      <c r="L45" s="94"/>
      <c r="M45" s="94"/>
      <c r="N45" s="94" t="s">
        <v>1767</v>
      </c>
      <c r="O45" s="94"/>
      <c r="P45" s="94"/>
      <c r="Q45" s="94"/>
      <c r="R45" s="94"/>
      <c r="S45" s="94"/>
      <c r="T45" s="94"/>
      <c r="U45" s="94"/>
      <c r="V45" s="94"/>
      <c r="W45" s="94" t="str">
        <f>'II_Inkunabeln+'!BA45</f>
        <v>ja nach</v>
      </c>
      <c r="X45" s="108">
        <v>2</v>
      </c>
      <c r="Y45" s="93">
        <f>'II_Inkunabeln+'!BI45</f>
        <v>0</v>
      </c>
      <c r="Z45" s="81">
        <f>'II_Inkunabeln+'!BJ45</f>
        <v>0</v>
      </c>
    </row>
    <row r="46" spans="1:26" x14ac:dyDescent="0.25">
      <c r="A46" s="63">
        <f>'II_Inkunabeln+'!A46</f>
        <v>45</v>
      </c>
      <c r="B46" s="63" t="str">
        <f>'II_Inkunabeln+'!B46</f>
        <v>L-1494-315503254</v>
      </c>
      <c r="C46" s="63">
        <f>'II_Inkunabeln+'!C46</f>
        <v>1066972869</v>
      </c>
      <c r="D46" s="84" t="str">
        <f>'II_Inkunabeln+'!D46</f>
        <v>https://portal.dnb.de/opac.htm?method=simpleSearch&amp;cqlMode=true&amp;query=idn%3D1066972869</v>
      </c>
      <c r="E46" s="65" t="str">
        <f>'II_Inkunabeln+'!E46</f>
        <v>II 1,9d</v>
      </c>
      <c r="F46" s="65" t="str">
        <f>'II_Inkunabeln+'!H46</f>
        <v>bis 25 cm</v>
      </c>
      <c r="G46" s="93" t="str">
        <f>'II_Inkunabeln+'!X46</f>
        <v>HL</v>
      </c>
      <c r="H46" s="93" t="str">
        <f>'II_Inkunabeln+'!AA46</f>
        <v>h/E</v>
      </c>
      <c r="I46" s="93">
        <f>'II_Inkunabeln+'!AC46</f>
        <v>0</v>
      </c>
      <c r="J46" s="94"/>
      <c r="K46" s="93">
        <f>'II_Inkunabeln+'!AD46</f>
        <v>0</v>
      </c>
      <c r="L46" s="94"/>
      <c r="M46" s="94"/>
      <c r="N46" s="94"/>
      <c r="O46" s="94"/>
      <c r="P46" s="94"/>
      <c r="Q46" s="94"/>
      <c r="R46" s="94"/>
      <c r="S46" s="94"/>
      <c r="T46" s="94"/>
      <c r="U46" s="94"/>
      <c r="V46" s="94"/>
      <c r="W46" s="94" t="str">
        <f>'II_Inkunabeln+'!BA46</f>
        <v>n</v>
      </c>
      <c r="X46" s="108"/>
      <c r="Y46" s="93">
        <f>'II_Inkunabeln+'!BI46</f>
        <v>0</v>
      </c>
      <c r="Z46" s="81">
        <f>'II_Inkunabeln+'!BJ46</f>
        <v>0</v>
      </c>
    </row>
    <row r="47" spans="1:26" x14ac:dyDescent="0.25">
      <c r="A47" s="63">
        <f>'II_Inkunabeln+'!A47</f>
        <v>46</v>
      </c>
      <c r="B47" s="63" t="str">
        <f>'II_Inkunabeln+'!B47</f>
        <v>L-1495-315500867</v>
      </c>
      <c r="C47" s="63">
        <f>'II_Inkunabeln+'!C47</f>
        <v>1066970505</v>
      </c>
      <c r="D47" s="84" t="str">
        <f>'II_Inkunabeln+'!D47</f>
        <v>https://portal.dnb.de/opac.htm?method=simpleSearch&amp;cqlMode=true&amp;query=idn%3D1066970505</v>
      </c>
      <c r="E47" s="65" t="str">
        <f>'II_Inkunabeln+'!E47</f>
        <v>II 1,9e</v>
      </c>
      <c r="F47" s="65" t="str">
        <f>'II_Inkunabeln+'!H47</f>
        <v>bis 25 cm</v>
      </c>
      <c r="G47" s="93" t="str">
        <f>'II_Inkunabeln+'!X47</f>
        <v>HL</v>
      </c>
      <c r="H47" s="93" t="str">
        <f>'II_Inkunabeln+'!AA47</f>
        <v>h/E</v>
      </c>
      <c r="I47" s="93">
        <f>'II_Inkunabeln+'!AC47</f>
        <v>0</v>
      </c>
      <c r="J47" s="94"/>
      <c r="K47" s="93">
        <f>'II_Inkunabeln+'!AD47</f>
        <v>0</v>
      </c>
      <c r="L47" s="94"/>
      <c r="M47" s="94"/>
      <c r="N47" s="94"/>
      <c r="O47" s="94"/>
      <c r="P47" s="94"/>
      <c r="Q47" s="94"/>
      <c r="R47" s="94"/>
      <c r="S47" s="94"/>
      <c r="T47" s="94"/>
      <c r="U47" s="94"/>
      <c r="V47" s="94"/>
      <c r="W47" s="94" t="str">
        <f>'II_Inkunabeln+'!BA47</f>
        <v>n</v>
      </c>
      <c r="X47" s="108"/>
      <c r="Y47" s="93">
        <f>'II_Inkunabeln+'!BI47</f>
        <v>0</v>
      </c>
      <c r="Z47" s="81">
        <f>'II_Inkunabeln+'!BJ47</f>
        <v>0</v>
      </c>
    </row>
    <row r="48" spans="1:26" x14ac:dyDescent="0.25">
      <c r="A48" s="63">
        <f>'II_Inkunabeln+'!A48</f>
        <v>47</v>
      </c>
      <c r="B48" s="63" t="str">
        <f>'II_Inkunabeln+'!B48</f>
        <v>L-1495-315503289</v>
      </c>
      <c r="C48" s="63">
        <f>'II_Inkunabeln+'!C48</f>
        <v>1066972893</v>
      </c>
      <c r="D48" s="84" t="str">
        <f>'II_Inkunabeln+'!D48</f>
        <v>https://portal.dnb.de/opac.htm?method=simpleSearch&amp;cqlMode=true&amp;query=idn%3D1066972893</v>
      </c>
      <c r="E48" s="65" t="str">
        <f>'II_Inkunabeln+'!E48</f>
        <v>II 1,9f</v>
      </c>
      <c r="F48" s="65" t="str">
        <f>'II_Inkunabeln+'!H48</f>
        <v>bis 25 cm</v>
      </c>
      <c r="G48" s="93" t="str">
        <f>'II_Inkunabeln+'!X48</f>
        <v>Pg</v>
      </c>
      <c r="H48" s="93" t="str">
        <f>'II_Inkunabeln+'!AA48</f>
        <v>h</v>
      </c>
      <c r="I48" s="93">
        <f>'II_Inkunabeln+'!AC48</f>
        <v>0</v>
      </c>
      <c r="J48" s="94"/>
      <c r="K48" s="93">
        <f>'II_Inkunabeln+'!AD48</f>
        <v>0</v>
      </c>
      <c r="L48" s="94"/>
      <c r="M48" s="94"/>
      <c r="N48" s="94"/>
      <c r="O48" s="94"/>
      <c r="P48" s="94"/>
      <c r="Q48" s="94"/>
      <c r="R48" s="94"/>
      <c r="S48" s="94"/>
      <c r="T48" s="94"/>
      <c r="U48" s="94"/>
      <c r="V48" s="94"/>
      <c r="W48" s="94" t="str">
        <f>'II_Inkunabeln+'!BA48</f>
        <v>n</v>
      </c>
      <c r="X48" s="108"/>
      <c r="Y48" s="93">
        <f>'II_Inkunabeln+'!BI48</f>
        <v>0</v>
      </c>
      <c r="Z48" s="81">
        <f>'II_Inkunabeln+'!BJ48</f>
        <v>0</v>
      </c>
    </row>
    <row r="49" spans="1:26" x14ac:dyDescent="0.25">
      <c r="A49" s="63">
        <f>'II_Inkunabeln+'!A49</f>
        <v>48</v>
      </c>
      <c r="B49" s="63" t="str">
        <f>'II_Inkunabeln+'!B49</f>
        <v>L-1495-315503335</v>
      </c>
      <c r="C49" s="63">
        <f>'II_Inkunabeln+'!C49</f>
        <v>1066972958</v>
      </c>
      <c r="D49" s="84" t="str">
        <f>'II_Inkunabeln+'!D49</f>
        <v>https://portal.dnb.de/opac.htm?method=simpleSearch&amp;cqlMode=true&amp;query=idn%3D1066972958</v>
      </c>
      <c r="E49" s="65" t="str">
        <f>'II_Inkunabeln+'!E49</f>
        <v>II 1,9g</v>
      </c>
      <c r="F49" s="65" t="str">
        <f>'II_Inkunabeln+'!H49</f>
        <v>bis 25 cm</v>
      </c>
      <c r="G49" s="93" t="str">
        <f>'II_Inkunabeln+'!X49</f>
        <v>Pg</v>
      </c>
      <c r="H49" s="93" t="str">
        <f>'II_Inkunabeln+'!AA49</f>
        <v>h</v>
      </c>
      <c r="I49" s="93">
        <f>'II_Inkunabeln+'!AC49</f>
        <v>0</v>
      </c>
      <c r="J49" s="94"/>
      <c r="K49" s="93">
        <f>'II_Inkunabeln+'!AD49</f>
        <v>0</v>
      </c>
      <c r="L49" s="94"/>
      <c r="M49" s="94"/>
      <c r="N49" s="94"/>
      <c r="O49" s="94"/>
      <c r="P49" s="94"/>
      <c r="Q49" s="94"/>
      <c r="R49" s="94"/>
      <c r="S49" s="94"/>
      <c r="T49" s="94"/>
      <c r="U49" s="94"/>
      <c r="V49" s="94"/>
      <c r="W49" s="94" t="str">
        <f>'II_Inkunabeln+'!BA49</f>
        <v>n</v>
      </c>
      <c r="X49" s="108"/>
      <c r="Y49" s="93">
        <f>'II_Inkunabeln+'!BI49</f>
        <v>0</v>
      </c>
      <c r="Z49" s="81">
        <f>'II_Inkunabeln+'!BJ49</f>
        <v>0</v>
      </c>
    </row>
    <row r="50" spans="1:26" x14ac:dyDescent="0.25">
      <c r="A50" s="63">
        <f>'II_Inkunabeln+'!A50</f>
        <v>49</v>
      </c>
      <c r="B50" s="63" t="str">
        <f>'II_Inkunabeln+'!B50</f>
        <v>L-1498-315503319</v>
      </c>
      <c r="C50" s="63">
        <f>'II_Inkunabeln+'!C50</f>
        <v>1066972931</v>
      </c>
      <c r="D50" s="84" t="str">
        <f>'II_Inkunabeln+'!D50</f>
        <v>https://portal.dnb.de/opac.htm?method=simpleSearch&amp;cqlMode=true&amp;query=idn%3D1066972931</v>
      </c>
      <c r="E50" s="65" t="str">
        <f>'II_Inkunabeln+'!E50</f>
        <v>II 1,9h</v>
      </c>
      <c r="F50" s="65">
        <f>'II_Inkunabeln+'!H50</f>
        <v>0</v>
      </c>
      <c r="G50" s="93">
        <f>'II_Inkunabeln+'!X50</f>
        <v>0</v>
      </c>
      <c r="H50" s="93">
        <f>'II_Inkunabeln+'!AA50</f>
        <v>0</v>
      </c>
      <c r="I50" s="93">
        <f>'II_Inkunabeln+'!AC50</f>
        <v>0</v>
      </c>
      <c r="J50" s="94"/>
      <c r="K50" s="93">
        <f>'II_Inkunabeln+'!AD50</f>
        <v>0</v>
      </c>
      <c r="L50" s="94"/>
      <c r="M50" s="94"/>
      <c r="N50" s="94"/>
      <c r="O50" s="94"/>
      <c r="P50" s="94"/>
      <c r="Q50" s="94"/>
      <c r="R50" s="94"/>
      <c r="S50" s="94"/>
      <c r="T50" s="94"/>
      <c r="U50" s="94"/>
      <c r="V50" s="94"/>
      <c r="W50" s="94">
        <f>'II_Inkunabeln+'!BA50</f>
        <v>0</v>
      </c>
      <c r="X50" s="108"/>
      <c r="Y50" s="93">
        <f>'II_Inkunabeln+'!BI50</f>
        <v>0</v>
      </c>
      <c r="Z50" s="81">
        <f>'II_Inkunabeln+'!BJ50</f>
        <v>0</v>
      </c>
    </row>
    <row r="51" spans="1:26" x14ac:dyDescent="0.25">
      <c r="A51" s="63">
        <f>'II_Inkunabeln+'!A51</f>
        <v>50</v>
      </c>
      <c r="B51" s="63" t="str">
        <f>'II_Inkunabeln+'!B51</f>
        <v>L-1495-315503246</v>
      </c>
      <c r="C51" s="63">
        <f>'II_Inkunabeln+'!C51</f>
        <v>1066972850</v>
      </c>
      <c r="D51" s="84" t="str">
        <f>'II_Inkunabeln+'!D51</f>
        <v>https://portal.dnb.de/opac.htm?method=simpleSearch&amp;cqlMode=true&amp;query=idn%3D1066972850</v>
      </c>
      <c r="E51" s="65" t="str">
        <f>'II_Inkunabeln+'!E51</f>
        <v>II 1,9i</v>
      </c>
      <c r="F51" s="65" t="str">
        <f>'II_Inkunabeln+'!H51</f>
        <v>bis 25 cm</v>
      </c>
      <c r="G51" s="93" t="str">
        <f>'II_Inkunabeln+'!X51</f>
        <v>L</v>
      </c>
      <c r="H51" s="93" t="str">
        <f>'II_Inkunabeln+'!AA51</f>
        <v>h/E</v>
      </c>
      <c r="I51" s="93">
        <f>'II_Inkunabeln+'!AC51</f>
        <v>0</v>
      </c>
      <c r="J51" s="94"/>
      <c r="K51" s="93">
        <f>'II_Inkunabeln+'!AD51</f>
        <v>0</v>
      </c>
      <c r="L51" s="94"/>
      <c r="M51" s="94"/>
      <c r="N51" s="94"/>
      <c r="O51" s="94"/>
      <c r="P51" s="94"/>
      <c r="Q51" s="94"/>
      <c r="R51" s="94"/>
      <c r="S51" s="94"/>
      <c r="T51" s="94"/>
      <c r="U51" s="94"/>
      <c r="V51" s="94"/>
      <c r="W51" s="94" t="str">
        <f>'II_Inkunabeln+'!BA51</f>
        <v>n</v>
      </c>
      <c r="X51" s="108"/>
      <c r="Y51" s="93">
        <f>'II_Inkunabeln+'!BI51</f>
        <v>0</v>
      </c>
      <c r="Z51" s="81">
        <f>'II_Inkunabeln+'!BJ51</f>
        <v>0</v>
      </c>
    </row>
    <row r="52" spans="1:26" x14ac:dyDescent="0.25">
      <c r="A52" s="63">
        <f>'II_Inkunabeln+'!A52</f>
        <v>51</v>
      </c>
      <c r="B52" s="63" t="str">
        <f>'II_Inkunabeln+'!B52</f>
        <v>L-1493-315503297</v>
      </c>
      <c r="C52" s="63">
        <f>'II_Inkunabeln+'!C52</f>
        <v>1066972907</v>
      </c>
      <c r="D52" s="84" t="str">
        <f>'II_Inkunabeln+'!D52</f>
        <v>https://portal.dnb.de/opac.htm?method=simpleSearch&amp;cqlMode=true&amp;query=idn%3D1066972907</v>
      </c>
      <c r="E52" s="65" t="str">
        <f>'II_Inkunabeln+'!E52</f>
        <v>II 1,9k</v>
      </c>
      <c r="F52" s="65" t="str">
        <f>'II_Inkunabeln+'!H52</f>
        <v>bis 25 cm</v>
      </c>
      <c r="G52" s="93">
        <f>'II_Inkunabeln+'!X52</f>
        <v>0</v>
      </c>
      <c r="H52" s="93">
        <f>'II_Inkunabeln+'!AA52</f>
        <v>0</v>
      </c>
      <c r="I52" s="93">
        <f>'II_Inkunabeln+'!AC52</f>
        <v>0</v>
      </c>
      <c r="J52" s="94"/>
      <c r="K52" s="93">
        <f>'II_Inkunabeln+'!AD52</f>
        <v>0</v>
      </c>
      <c r="L52" s="94"/>
      <c r="M52" s="94"/>
      <c r="N52" s="94"/>
      <c r="O52" s="94"/>
      <c r="P52" s="94"/>
      <c r="Q52" s="94"/>
      <c r="R52" s="94"/>
      <c r="S52" s="94"/>
      <c r="T52" s="94"/>
      <c r="U52" s="94"/>
      <c r="V52" s="94"/>
      <c r="W52" s="94">
        <f>'II_Inkunabeln+'!BA52</f>
        <v>0</v>
      </c>
      <c r="X52" s="108"/>
      <c r="Y52" s="93">
        <f>'II_Inkunabeln+'!BI52</f>
        <v>0</v>
      </c>
      <c r="Z52" s="81">
        <f>'II_Inkunabeln+'!BJ52</f>
        <v>0</v>
      </c>
    </row>
    <row r="53" spans="1:26" x14ac:dyDescent="0.25">
      <c r="A53" s="63">
        <f>'II_Inkunabeln+'!A53</f>
        <v>52</v>
      </c>
      <c r="B53" s="63" t="str">
        <f>'II_Inkunabeln+'!B53</f>
        <v>L-1497-326851682</v>
      </c>
      <c r="C53" s="63">
        <f>'II_Inkunabeln+'!C53</f>
        <v>1072051036</v>
      </c>
      <c r="D53" s="84" t="str">
        <f>'II_Inkunabeln+'!D53</f>
        <v>https://portal.dnb.de/opac.htm?method=simpleSearch&amp;cqlMode=true&amp;query=idn%3D1072051036</v>
      </c>
      <c r="E53" s="65" t="str">
        <f>'II_Inkunabeln+'!E53</f>
        <v>II 1,9l</v>
      </c>
      <c r="F53" s="65" t="str">
        <f>'II_Inkunabeln+'!H53</f>
        <v>bis 25 cm</v>
      </c>
      <c r="G53" s="93">
        <f>'II_Inkunabeln+'!X53</f>
        <v>0</v>
      </c>
      <c r="H53" s="93">
        <f>'II_Inkunabeln+'!AA53</f>
        <v>0</v>
      </c>
      <c r="I53" s="93">
        <f>'II_Inkunabeln+'!AC53</f>
        <v>0</v>
      </c>
      <c r="J53" s="94"/>
      <c r="K53" s="93">
        <f>'II_Inkunabeln+'!AD53</f>
        <v>0</v>
      </c>
      <c r="L53" s="94"/>
      <c r="M53" s="94"/>
      <c r="N53" s="94"/>
      <c r="O53" s="94"/>
      <c r="P53" s="94"/>
      <c r="Q53" s="94"/>
      <c r="R53" s="94"/>
      <c r="S53" s="94"/>
      <c r="T53" s="94"/>
      <c r="U53" s="94"/>
      <c r="V53" s="94"/>
      <c r="W53" s="94">
        <f>'II_Inkunabeln+'!BA53</f>
        <v>0</v>
      </c>
      <c r="X53" s="108"/>
      <c r="Y53" s="93">
        <f>'II_Inkunabeln+'!BI53</f>
        <v>0</v>
      </c>
      <c r="Z53" s="81">
        <f>'II_Inkunabeln+'!BJ53</f>
        <v>0</v>
      </c>
    </row>
    <row r="54" spans="1:26" x14ac:dyDescent="0.25">
      <c r="A54" s="63">
        <f>'II_Inkunabeln+'!A54</f>
        <v>53</v>
      </c>
      <c r="B54" s="63" t="str">
        <f>'II_Inkunabeln+'!B54</f>
        <v>L-1493-315503300</v>
      </c>
      <c r="C54" s="63">
        <f>'II_Inkunabeln+'!C54</f>
        <v>1066972923</v>
      </c>
      <c r="D54" s="84" t="str">
        <f>'II_Inkunabeln+'!D54</f>
        <v>https://portal.dnb.de/opac.htm?method=simpleSearch&amp;cqlMode=true&amp;query=idn%3D1066972923</v>
      </c>
      <c r="E54" s="65" t="str">
        <f>'II_Inkunabeln+'!E54</f>
        <v>II 1,9m - 1. Ex.</v>
      </c>
      <c r="F54" s="65" t="str">
        <f>'II_Inkunabeln+'!H54</f>
        <v>bis 25 cm</v>
      </c>
      <c r="G54" s="93">
        <f>'II_Inkunabeln+'!X54</f>
        <v>0</v>
      </c>
      <c r="H54" s="93">
        <f>'II_Inkunabeln+'!AA54</f>
        <v>0</v>
      </c>
      <c r="I54" s="93">
        <f>'II_Inkunabeln+'!AC54</f>
        <v>0</v>
      </c>
      <c r="J54" s="94"/>
      <c r="K54" s="93">
        <f>'II_Inkunabeln+'!AD54</f>
        <v>0</v>
      </c>
      <c r="L54" s="94"/>
      <c r="M54" s="94"/>
      <c r="N54" s="94"/>
      <c r="O54" s="94"/>
      <c r="P54" s="94"/>
      <c r="Q54" s="94"/>
      <c r="R54" s="94"/>
      <c r="S54" s="94"/>
      <c r="T54" s="94"/>
      <c r="U54" s="94"/>
      <c r="V54" s="94"/>
      <c r="W54" s="94">
        <f>'II_Inkunabeln+'!BA54</f>
        <v>0</v>
      </c>
      <c r="X54" s="108"/>
      <c r="Y54" s="93">
        <f>'II_Inkunabeln+'!BI54</f>
        <v>0</v>
      </c>
      <c r="Z54" s="81">
        <f>'II_Inkunabeln+'!BJ54</f>
        <v>0</v>
      </c>
    </row>
    <row r="55" spans="1:26" x14ac:dyDescent="0.25">
      <c r="A55" s="63">
        <f>'II_Inkunabeln+'!A55</f>
        <v>54</v>
      </c>
      <c r="B55" s="63" t="str">
        <f>'II_Inkunabeln+'!B55</f>
        <v>L-1493-478322305</v>
      </c>
      <c r="C55" s="63">
        <f>'II_Inkunabeln+'!C55</f>
        <v>1066972923</v>
      </c>
      <c r="D55" s="84" t="str">
        <f>'II_Inkunabeln+'!D55</f>
        <v>https://portal.dnb.de/opac.htm?method=simpleSearch&amp;cqlMode=true&amp;query=idn%3D1066972923</v>
      </c>
      <c r="E55" s="65" t="str">
        <f>'II_Inkunabeln+'!E55</f>
        <v>II 1,9m - 2. Ex.</v>
      </c>
      <c r="F55" s="65" t="str">
        <f>'II_Inkunabeln+'!H55</f>
        <v>bis 25 cm</v>
      </c>
      <c r="G55" s="93">
        <f>'II_Inkunabeln+'!X55</f>
        <v>0</v>
      </c>
      <c r="H55" s="93">
        <f>'II_Inkunabeln+'!AA55</f>
        <v>0</v>
      </c>
      <c r="I55" s="93">
        <f>'II_Inkunabeln+'!AC55</f>
        <v>0</v>
      </c>
      <c r="J55" s="94"/>
      <c r="K55" s="93">
        <f>'II_Inkunabeln+'!AD55</f>
        <v>0</v>
      </c>
      <c r="L55" s="94"/>
      <c r="M55" s="94"/>
      <c r="N55" s="94"/>
      <c r="O55" s="94"/>
      <c r="P55" s="94"/>
      <c r="Q55" s="94"/>
      <c r="R55" s="94"/>
      <c r="S55" s="94"/>
      <c r="T55" s="94"/>
      <c r="U55" s="94"/>
      <c r="V55" s="94"/>
      <c r="W55" s="94">
        <f>'II_Inkunabeln+'!BA55</f>
        <v>0</v>
      </c>
      <c r="X55" s="108"/>
      <c r="Y55" s="93">
        <f>'II_Inkunabeln+'!BI55</f>
        <v>0</v>
      </c>
      <c r="Z55" s="81">
        <f>'II_Inkunabeln+'!BJ55</f>
        <v>0</v>
      </c>
    </row>
    <row r="56" spans="1:26" x14ac:dyDescent="0.25">
      <c r="A56" s="63">
        <f>'II_Inkunabeln+'!A56</f>
        <v>55</v>
      </c>
      <c r="B56" s="63" t="str">
        <f>'II_Inkunabeln+'!B56</f>
        <v>L-1493-315503580</v>
      </c>
      <c r="C56" s="63">
        <f>'II_Inkunabeln+'!C56</f>
        <v>1066973199</v>
      </c>
      <c r="D56" s="84" t="str">
        <f>'II_Inkunabeln+'!D56</f>
        <v>https://portal.dnb.de/opac.htm?method=simpleSearch&amp;cqlMode=true&amp;query=idn%3D1066973199</v>
      </c>
      <c r="E56" s="65" t="str">
        <f>'II_Inkunabeln+'!E56</f>
        <v>II 1,9n (angebunden)</v>
      </c>
      <c r="F56" s="65">
        <f>'II_Inkunabeln+'!H56</f>
        <v>0</v>
      </c>
      <c r="G56" s="93">
        <f>'II_Inkunabeln+'!X56</f>
        <v>0</v>
      </c>
      <c r="H56" s="93">
        <f>'II_Inkunabeln+'!AA56</f>
        <v>0</v>
      </c>
      <c r="I56" s="93">
        <f>'II_Inkunabeln+'!AC56</f>
        <v>0</v>
      </c>
      <c r="J56" s="94"/>
      <c r="K56" s="93">
        <f>'II_Inkunabeln+'!AD56</f>
        <v>0</v>
      </c>
      <c r="L56" s="94"/>
      <c r="M56" s="94"/>
      <c r="N56" s="94"/>
      <c r="O56" s="94"/>
      <c r="P56" s="94"/>
      <c r="Q56" s="94"/>
      <c r="R56" s="94"/>
      <c r="S56" s="94"/>
      <c r="T56" s="94"/>
      <c r="U56" s="94"/>
      <c r="V56" s="94"/>
      <c r="W56" s="94">
        <f>'II_Inkunabeln+'!BA56</f>
        <v>0</v>
      </c>
      <c r="X56" s="108"/>
      <c r="Y56" s="93">
        <f>'II_Inkunabeln+'!BI56</f>
        <v>0</v>
      </c>
      <c r="Z56" s="81">
        <f>'II_Inkunabeln+'!BJ56</f>
        <v>0</v>
      </c>
    </row>
    <row r="57" spans="1:26" x14ac:dyDescent="0.25">
      <c r="A57" s="63">
        <f>'II_Inkunabeln+'!A57</f>
        <v>56</v>
      </c>
      <c r="B57" s="63" t="str">
        <f>'II_Inkunabeln+'!B57</f>
        <v>L-1468-31549722X</v>
      </c>
      <c r="C57" s="63">
        <f>'II_Inkunabeln+'!C57</f>
        <v>1066966923</v>
      </c>
      <c r="D57" s="84" t="str">
        <f>'II_Inkunabeln+'!D57</f>
        <v>https://portal.dnb.de/opac.htm?method=simpleSearch&amp;cqlMode=true&amp;query=idn%3D1066966923</v>
      </c>
      <c r="E57" s="65" t="str">
        <f>'II_Inkunabeln+'!E57</f>
        <v>II 2,1a</v>
      </c>
      <c r="F57" s="65" t="str">
        <f>'II_Inkunabeln+'!H57</f>
        <v>bis 35 cm</v>
      </c>
      <c r="G57" s="93">
        <f>'II_Inkunabeln+'!X57</f>
        <v>0</v>
      </c>
      <c r="H57" s="93">
        <f>'II_Inkunabeln+'!AA57</f>
        <v>0</v>
      </c>
      <c r="I57" s="93">
        <f>'II_Inkunabeln+'!AC57</f>
        <v>0</v>
      </c>
      <c r="J57" s="94"/>
      <c r="K57" s="93">
        <f>'II_Inkunabeln+'!AD57</f>
        <v>0</v>
      </c>
      <c r="L57" s="94"/>
      <c r="M57" s="94"/>
      <c r="N57" s="94"/>
      <c r="O57" s="94"/>
      <c r="P57" s="94"/>
      <c r="Q57" s="94"/>
      <c r="R57" s="94"/>
      <c r="S57" s="94"/>
      <c r="T57" s="94"/>
      <c r="U57" s="94"/>
      <c r="V57" s="94"/>
      <c r="W57" s="94">
        <f>'II_Inkunabeln+'!BA57</f>
        <v>0</v>
      </c>
      <c r="X57" s="108"/>
      <c r="Y57" s="93">
        <f>'II_Inkunabeln+'!BI57</f>
        <v>0</v>
      </c>
      <c r="Z57" s="81">
        <f>'II_Inkunabeln+'!BJ57</f>
        <v>0</v>
      </c>
    </row>
    <row r="58" spans="1:26" x14ac:dyDescent="0.25">
      <c r="A58" s="63">
        <f>'II_Inkunabeln+'!A58</f>
        <v>57</v>
      </c>
      <c r="B58" s="63" t="str">
        <f>'II_Inkunabeln+'!B58</f>
        <v>L-1469-316397148</v>
      </c>
      <c r="C58" s="63">
        <f>'II_Inkunabeln+'!C58</f>
        <v>1067435948</v>
      </c>
      <c r="D58" s="84" t="str">
        <f>'II_Inkunabeln+'!D58</f>
        <v>https://portal.dnb.de/opac.htm?method=simpleSearch&amp;cqlMode=true&amp;query=idn%3D1067435948</v>
      </c>
      <c r="E58" s="65" t="str">
        <f>'II_Inkunabeln+'!E58</f>
        <v>II 2,1b - Fragm.</v>
      </c>
      <c r="F58" s="65">
        <f>'II_Inkunabeln+'!H58</f>
        <v>0</v>
      </c>
      <c r="G58" s="93">
        <f>'II_Inkunabeln+'!X58</f>
        <v>0</v>
      </c>
      <c r="H58" s="93">
        <f>'II_Inkunabeln+'!AA58</f>
        <v>0</v>
      </c>
      <c r="I58" s="93">
        <f>'II_Inkunabeln+'!AC58</f>
        <v>0</v>
      </c>
      <c r="J58" s="94"/>
      <c r="K58" s="93">
        <f>'II_Inkunabeln+'!AD58</f>
        <v>0</v>
      </c>
      <c r="L58" s="94"/>
      <c r="M58" s="94"/>
      <c r="N58" s="94"/>
      <c r="O58" s="94"/>
      <c r="P58" s="94"/>
      <c r="Q58" s="94"/>
      <c r="R58" s="94"/>
      <c r="S58" s="94"/>
      <c r="T58" s="94"/>
      <c r="U58" s="94"/>
      <c r="V58" s="94"/>
      <c r="W58" s="94">
        <f>'II_Inkunabeln+'!BA58</f>
        <v>0</v>
      </c>
      <c r="X58" s="108"/>
      <c r="Y58" s="93">
        <f>'II_Inkunabeln+'!BI58</f>
        <v>0</v>
      </c>
      <c r="Z58" s="81">
        <f>'II_Inkunabeln+'!BJ58</f>
        <v>0</v>
      </c>
    </row>
    <row r="59" spans="1:26" x14ac:dyDescent="0.25">
      <c r="A59" s="63">
        <f>'II_Inkunabeln+'!A59</f>
        <v>58</v>
      </c>
      <c r="B59" s="63" t="str">
        <f>'II_Inkunabeln+'!B59</f>
        <v>L-1469-316397156</v>
      </c>
      <c r="C59" s="63">
        <f>'II_Inkunabeln+'!C59</f>
        <v>1067435948</v>
      </c>
      <c r="D59" s="84" t="str">
        <f>'II_Inkunabeln+'!D59</f>
        <v>https://portal.dnb.de/opac.htm?method=simpleSearch&amp;cqlMode=true&amp;query=idn%3D1067435948</v>
      </c>
      <c r="E59" s="65" t="str">
        <f>'II_Inkunabeln+'!E59</f>
        <v>II 2,1ba - Fragm.</v>
      </c>
      <c r="F59" s="65">
        <f>'II_Inkunabeln+'!H59</f>
        <v>0</v>
      </c>
      <c r="G59" s="93">
        <f>'II_Inkunabeln+'!X59</f>
        <v>0</v>
      </c>
      <c r="H59" s="93">
        <f>'II_Inkunabeln+'!AA59</f>
        <v>0</v>
      </c>
      <c r="I59" s="93">
        <f>'II_Inkunabeln+'!AC59</f>
        <v>0</v>
      </c>
      <c r="J59" s="94"/>
      <c r="K59" s="93">
        <f>'II_Inkunabeln+'!AD59</f>
        <v>0</v>
      </c>
      <c r="L59" s="94"/>
      <c r="M59" s="94"/>
      <c r="N59" s="94"/>
      <c r="O59" s="94"/>
      <c r="P59" s="94"/>
      <c r="Q59" s="94"/>
      <c r="R59" s="94"/>
      <c r="S59" s="94"/>
      <c r="T59" s="94"/>
      <c r="U59" s="94"/>
      <c r="V59" s="94"/>
      <c r="W59" s="94">
        <f>'II_Inkunabeln+'!BA59</f>
        <v>0</v>
      </c>
      <c r="X59" s="108"/>
      <c r="Y59" s="93">
        <f>'II_Inkunabeln+'!BI59</f>
        <v>0</v>
      </c>
      <c r="Z59" s="81">
        <f>'II_Inkunabeln+'!BJ59</f>
        <v>0</v>
      </c>
    </row>
    <row r="60" spans="1:26" x14ac:dyDescent="0.25">
      <c r="A60" s="63">
        <f>'II_Inkunabeln+'!A60</f>
        <v>59</v>
      </c>
      <c r="B60" s="63" t="str">
        <f>'II_Inkunabeln+'!B60</f>
        <v>L-1469-315500271</v>
      </c>
      <c r="C60" s="63">
        <f>'II_Inkunabeln+'!C60</f>
        <v>1066969930</v>
      </c>
      <c r="D60" s="84" t="str">
        <f>'II_Inkunabeln+'!D60</f>
        <v>https://portal.dnb.de/opac.htm?method=simpleSearch&amp;cqlMode=true&amp;query=idn%3D1066969930</v>
      </c>
      <c r="E60" s="65" t="str">
        <f>'II_Inkunabeln+'!E60</f>
        <v>II 2,1c</v>
      </c>
      <c r="F60" s="65" t="str">
        <f>'II_Inkunabeln+'!H60</f>
        <v>bis 35 cm</v>
      </c>
      <c r="G60" s="93">
        <f>'II_Inkunabeln+'!X60</f>
        <v>0</v>
      </c>
      <c r="H60" s="93">
        <f>'II_Inkunabeln+'!AA60</f>
        <v>0</v>
      </c>
      <c r="I60" s="93">
        <f>'II_Inkunabeln+'!AC60</f>
        <v>0</v>
      </c>
      <c r="J60" s="94"/>
      <c r="K60" s="93">
        <f>'II_Inkunabeln+'!AD60</f>
        <v>0</v>
      </c>
      <c r="L60" s="94"/>
      <c r="M60" s="94"/>
      <c r="N60" s="94"/>
      <c r="O60" s="94"/>
      <c r="P60" s="94"/>
      <c r="Q60" s="94"/>
      <c r="R60" s="94"/>
      <c r="S60" s="94"/>
      <c r="T60" s="94"/>
      <c r="U60" s="94"/>
      <c r="V60" s="94"/>
      <c r="W60" s="94">
        <f>'II_Inkunabeln+'!BA60</f>
        <v>0</v>
      </c>
      <c r="X60" s="108"/>
      <c r="Y60" s="93">
        <f>'II_Inkunabeln+'!BI60</f>
        <v>0</v>
      </c>
      <c r="Z60" s="81">
        <f>'II_Inkunabeln+'!BJ60</f>
        <v>0</v>
      </c>
    </row>
    <row r="61" spans="1:26" x14ac:dyDescent="0.25">
      <c r="A61" s="63">
        <f>'II_Inkunabeln+'!A61</f>
        <v>60</v>
      </c>
      <c r="B61" s="63" t="str">
        <f>'II_Inkunabeln+'!B61</f>
        <v>L-1470-315498153</v>
      </c>
      <c r="C61" s="63">
        <f>'II_Inkunabeln+'!C61</f>
        <v>1066967903</v>
      </c>
      <c r="D61" s="84" t="str">
        <f>'II_Inkunabeln+'!D61</f>
        <v>https://portal.dnb.de/opac.htm?method=simpleSearch&amp;cqlMode=true&amp;query=idn%3D1066967903</v>
      </c>
      <c r="E61" s="65" t="str">
        <f>'II_Inkunabeln+'!E61</f>
        <v>II 2,1d</v>
      </c>
      <c r="F61" s="65" t="str">
        <f>'II_Inkunabeln+'!H61</f>
        <v>bis 42 cm</v>
      </c>
      <c r="G61" s="93" t="str">
        <f>'II_Inkunabeln+'!X61</f>
        <v>L</v>
      </c>
      <c r="H61" s="93" t="str">
        <f>'II_Inkunabeln+'!AA61</f>
        <v>h/E</v>
      </c>
      <c r="I61" s="93" t="str">
        <f>'II_Inkunabeln+'!AC61</f>
        <v>x</v>
      </c>
      <c r="J61" s="94" t="s">
        <v>1633</v>
      </c>
      <c r="K61" s="93">
        <f>'II_Inkunabeln+'!AD61</f>
        <v>0</v>
      </c>
      <c r="L61" s="94"/>
      <c r="M61" s="94" t="s">
        <v>1633</v>
      </c>
      <c r="N61" s="94" t="s">
        <v>1744</v>
      </c>
      <c r="O61" s="94"/>
      <c r="P61" s="94"/>
      <c r="Q61" s="94"/>
      <c r="R61" s="94"/>
      <c r="S61" s="94"/>
      <c r="T61" s="94"/>
      <c r="U61" s="94"/>
      <c r="V61" s="94"/>
      <c r="W61" s="94" t="str">
        <f>'II_Inkunabeln+'!BA61</f>
        <v>ja vor</v>
      </c>
      <c r="X61" s="108">
        <v>3</v>
      </c>
      <c r="Y61" s="93">
        <f>'II_Inkunabeln+'!BI61</f>
        <v>0</v>
      </c>
      <c r="Z61" s="81">
        <f>'II_Inkunabeln+'!BJ61</f>
        <v>0</v>
      </c>
    </row>
    <row r="62" spans="1:26" x14ac:dyDescent="0.25">
      <c r="A62" s="63">
        <f>'II_Inkunabeln+'!A62</f>
        <v>61</v>
      </c>
      <c r="B62" s="63" t="str">
        <f>'II_Inkunabeln+'!B62</f>
        <v>L-1471-315502436</v>
      </c>
      <c r="C62" s="63" t="str">
        <f>'II_Inkunabeln+'!C62</f>
        <v>106697201X</v>
      </c>
      <c r="D62" s="84" t="str">
        <f>'II_Inkunabeln+'!D62</f>
        <v>https://portal.dnb.de/opac.htm?method=simpleSearch&amp;cqlMode=true&amp;query=idn%3D106697201X</v>
      </c>
      <c r="E62" s="65" t="str">
        <f>'II_Inkunabeln+'!E62</f>
        <v>II 2,1e</v>
      </c>
      <c r="F62" s="65" t="str">
        <f>'II_Inkunabeln+'!H62</f>
        <v>bis 35 cm</v>
      </c>
      <c r="G62" s="93">
        <f>'II_Inkunabeln+'!X62</f>
        <v>0</v>
      </c>
      <c r="H62" s="93">
        <f>'II_Inkunabeln+'!AA62</f>
        <v>0</v>
      </c>
      <c r="I62" s="93">
        <f>'II_Inkunabeln+'!AC62</f>
        <v>0</v>
      </c>
      <c r="J62" s="94"/>
      <c r="K62" s="93">
        <f>'II_Inkunabeln+'!AD62</f>
        <v>0</v>
      </c>
      <c r="L62" s="94"/>
      <c r="M62" s="94"/>
      <c r="N62" s="94"/>
      <c r="O62" s="94"/>
      <c r="P62" s="94"/>
      <c r="Q62" s="94"/>
      <c r="R62" s="94"/>
      <c r="S62" s="94"/>
      <c r="T62" s="94"/>
      <c r="U62" s="94"/>
      <c r="V62" s="94"/>
      <c r="W62" s="94">
        <f>'II_Inkunabeln+'!BA62</f>
        <v>0</v>
      </c>
      <c r="X62" s="108"/>
      <c r="Y62" s="93">
        <f>'II_Inkunabeln+'!BI62</f>
        <v>0</v>
      </c>
      <c r="Z62" s="81">
        <f>'II_Inkunabeln+'!BJ62</f>
        <v>0</v>
      </c>
    </row>
    <row r="63" spans="1:26" x14ac:dyDescent="0.25">
      <c r="A63" s="63">
        <f>'II_Inkunabeln+'!A63</f>
        <v>62</v>
      </c>
      <c r="B63" s="63" t="str">
        <f>'II_Inkunabeln+'!B63</f>
        <v>L-1472-31549980X</v>
      </c>
      <c r="C63" s="63">
        <f>'II_Inkunabeln+'!C63</f>
        <v>1066969477</v>
      </c>
      <c r="D63" s="84" t="str">
        <f>'II_Inkunabeln+'!D63</f>
        <v>https://portal.dnb.de/opac.htm?method=simpleSearch&amp;cqlMode=true&amp;query=idn%3D1066969477</v>
      </c>
      <c r="E63" s="65" t="str">
        <f>'II_Inkunabeln+'!E63</f>
        <v>II 2,1f</v>
      </c>
      <c r="F63" s="65" t="str">
        <f>'II_Inkunabeln+'!H63</f>
        <v>bis 35 cm</v>
      </c>
      <c r="G63" s="93">
        <f>'II_Inkunabeln+'!X63</f>
        <v>0</v>
      </c>
      <c r="H63" s="93">
        <f>'II_Inkunabeln+'!AA63</f>
        <v>0</v>
      </c>
      <c r="I63" s="93">
        <f>'II_Inkunabeln+'!AC63</f>
        <v>0</v>
      </c>
      <c r="J63" s="94"/>
      <c r="K63" s="93">
        <f>'II_Inkunabeln+'!AD63</f>
        <v>0</v>
      </c>
      <c r="L63" s="94"/>
      <c r="M63" s="94"/>
      <c r="N63" s="94"/>
      <c r="O63" s="94"/>
      <c r="P63" s="94"/>
      <c r="Q63" s="94"/>
      <c r="R63" s="94"/>
      <c r="S63" s="94"/>
      <c r="T63" s="94"/>
      <c r="U63" s="94"/>
      <c r="V63" s="94"/>
      <c r="W63" s="94">
        <f>'II_Inkunabeln+'!BA63</f>
        <v>0</v>
      </c>
      <c r="X63" s="108"/>
      <c r="Y63" s="93">
        <f>'II_Inkunabeln+'!BI63</f>
        <v>0</v>
      </c>
      <c r="Z63" s="81">
        <f>'II_Inkunabeln+'!BJ63</f>
        <v>0</v>
      </c>
    </row>
    <row r="64" spans="1:26" x14ac:dyDescent="0.25">
      <c r="A64" s="63">
        <f>'II_Inkunabeln+'!A64</f>
        <v>63</v>
      </c>
      <c r="B64" s="63" t="str">
        <f>'II_Inkunabeln+'!B64</f>
        <v>L-1472-315499796</v>
      </c>
      <c r="C64" s="63">
        <f>'II_Inkunabeln+'!C64</f>
        <v>1066969469</v>
      </c>
      <c r="D64" s="84" t="str">
        <f>'II_Inkunabeln+'!D64</f>
        <v>https://portal.dnb.de/opac.htm?method=simpleSearch&amp;cqlMode=true&amp;query=idn%3D1066969469</v>
      </c>
      <c r="E64" s="65" t="str">
        <f>'II_Inkunabeln+'!E64</f>
        <v>II 2,1g</v>
      </c>
      <c r="F64" s="65" t="str">
        <f>'II_Inkunabeln+'!H64</f>
        <v>bis 35 cm</v>
      </c>
      <c r="G64" s="93">
        <f>'II_Inkunabeln+'!X64</f>
        <v>0</v>
      </c>
      <c r="H64" s="93">
        <f>'II_Inkunabeln+'!AA64</f>
        <v>0</v>
      </c>
      <c r="I64" s="93">
        <f>'II_Inkunabeln+'!AC64</f>
        <v>0</v>
      </c>
      <c r="J64" s="94"/>
      <c r="K64" s="93">
        <f>'II_Inkunabeln+'!AD64</f>
        <v>0</v>
      </c>
      <c r="L64" s="94"/>
      <c r="M64" s="94"/>
      <c r="N64" s="94"/>
      <c r="O64" s="94"/>
      <c r="P64" s="94"/>
      <c r="Q64" s="94"/>
      <c r="R64" s="94"/>
      <c r="S64" s="94"/>
      <c r="T64" s="94"/>
      <c r="U64" s="94"/>
      <c r="V64" s="94"/>
      <c r="W64" s="94">
        <f>'II_Inkunabeln+'!BA64</f>
        <v>0</v>
      </c>
      <c r="X64" s="108"/>
      <c r="Y64" s="93">
        <f>'II_Inkunabeln+'!BI64</f>
        <v>0</v>
      </c>
      <c r="Z64" s="81">
        <f>'II_Inkunabeln+'!BJ64</f>
        <v>0</v>
      </c>
    </row>
    <row r="65" spans="1:26" x14ac:dyDescent="0.25">
      <c r="A65" s="63">
        <f>'II_Inkunabeln+'!A65</f>
        <v>64</v>
      </c>
      <c r="B65" s="63" t="str">
        <f>'II_Inkunabeln+'!B65</f>
        <v>L-1472-315499141</v>
      </c>
      <c r="C65" s="63" t="str">
        <f>'II_Inkunabeln+'!C65</f>
        <v>106696887X</v>
      </c>
      <c r="D65" s="84" t="str">
        <f>'II_Inkunabeln+'!D65</f>
        <v>https://portal.dnb.de/opac.htm?method=simpleSearch&amp;cqlMode=true&amp;query=idn%3D106696887X</v>
      </c>
      <c r="E65" s="65" t="str">
        <f>'II_Inkunabeln+'!E65</f>
        <v>II 2,1i</v>
      </c>
      <c r="F65" s="65" t="str">
        <f>'II_Inkunabeln+'!H65</f>
        <v>bis 35 cm</v>
      </c>
      <c r="G65" s="93">
        <f>'II_Inkunabeln+'!X65</f>
        <v>0</v>
      </c>
      <c r="H65" s="93">
        <f>'II_Inkunabeln+'!AA65</f>
        <v>0</v>
      </c>
      <c r="I65" s="93">
        <f>'II_Inkunabeln+'!AC65</f>
        <v>0</v>
      </c>
      <c r="J65" s="94"/>
      <c r="K65" s="93">
        <f>'II_Inkunabeln+'!AD65</f>
        <v>0</v>
      </c>
      <c r="L65" s="94"/>
      <c r="M65" s="94"/>
      <c r="N65" s="94"/>
      <c r="O65" s="94"/>
      <c r="P65" s="94"/>
      <c r="Q65" s="94"/>
      <c r="R65" s="94"/>
      <c r="S65" s="94"/>
      <c r="T65" s="94"/>
      <c r="U65" s="94"/>
      <c r="V65" s="94"/>
      <c r="W65" s="94">
        <f>'II_Inkunabeln+'!BA65</f>
        <v>0</v>
      </c>
      <c r="X65" s="108"/>
      <c r="Y65" s="93">
        <f>'II_Inkunabeln+'!BI65</f>
        <v>0</v>
      </c>
      <c r="Z65" s="81">
        <f>'II_Inkunabeln+'!BJ65</f>
        <v>0</v>
      </c>
    </row>
    <row r="66" spans="1:26" x14ac:dyDescent="0.25">
      <c r="A66" s="63">
        <f>'II_Inkunabeln+'!A66</f>
        <v>65</v>
      </c>
      <c r="B66" s="63" t="str">
        <f>'II_Inkunabeln+'!B66</f>
        <v>L-1470-343702525</v>
      </c>
      <c r="C66" s="63">
        <f>'II_Inkunabeln+'!C66</f>
        <v>1079550038</v>
      </c>
      <c r="D66" s="84" t="str">
        <f>'II_Inkunabeln+'!D66</f>
        <v>https://portal.dnb.de/opac.htm?method=simpleSearch&amp;cqlMode=true&amp;query=idn%3D1079550038</v>
      </c>
      <c r="E66" s="65" t="str">
        <f>'II_Inkunabeln+'!E66</f>
        <v>II 2,1k</v>
      </c>
      <c r="F66" s="65" t="str">
        <f>'II_Inkunabeln+'!H66</f>
        <v>bis 35 cm</v>
      </c>
      <c r="G66" s="93">
        <f>'II_Inkunabeln+'!X66</f>
        <v>0</v>
      </c>
      <c r="H66" s="93">
        <f>'II_Inkunabeln+'!AA66</f>
        <v>0</v>
      </c>
      <c r="I66" s="93">
        <f>'II_Inkunabeln+'!AC66</f>
        <v>0</v>
      </c>
      <c r="J66" s="94"/>
      <c r="K66" s="93">
        <f>'II_Inkunabeln+'!AD66</f>
        <v>0</v>
      </c>
      <c r="L66" s="94"/>
      <c r="M66" s="94"/>
      <c r="N66" s="94"/>
      <c r="O66" s="94"/>
      <c r="P66" s="94"/>
      <c r="Q66" s="94"/>
      <c r="R66" s="94"/>
      <c r="S66" s="94"/>
      <c r="T66" s="94"/>
      <c r="U66" s="94"/>
      <c r="V66" s="94"/>
      <c r="W66" s="94">
        <f>'II_Inkunabeln+'!BA66</f>
        <v>0</v>
      </c>
      <c r="X66" s="108"/>
      <c r="Y66" s="93">
        <f>'II_Inkunabeln+'!BI66</f>
        <v>0</v>
      </c>
      <c r="Z66" s="81">
        <f>'II_Inkunabeln+'!BJ66</f>
        <v>0</v>
      </c>
    </row>
    <row r="67" spans="1:26" x14ac:dyDescent="0.25">
      <c r="A67" s="63">
        <f>'II_Inkunabeln+'!A67</f>
        <v>66</v>
      </c>
      <c r="B67" s="63" t="str">
        <f>'II_Inkunabeln+'!B67</f>
        <v>L-1470-343702576</v>
      </c>
      <c r="C67" s="63" t="str">
        <f>'II_Inkunabeln+'!C67</f>
        <v>107955016X</v>
      </c>
      <c r="D67" s="84" t="str">
        <f>'II_Inkunabeln+'!D67</f>
        <v>https://portal.dnb.de/opac.htm?method=simpleSearch&amp;cqlMode=true&amp;query=idn%3D107955016X</v>
      </c>
      <c r="E67" s="65" t="str">
        <f>'II_Inkunabeln+'!E67</f>
        <v>II 2,1k (1. angeb. Werk)</v>
      </c>
      <c r="F67" s="65">
        <f>'II_Inkunabeln+'!H67</f>
        <v>0</v>
      </c>
      <c r="G67" s="93">
        <f>'II_Inkunabeln+'!X67</f>
        <v>0</v>
      </c>
      <c r="H67" s="93">
        <f>'II_Inkunabeln+'!AA67</f>
        <v>0</v>
      </c>
      <c r="I67" s="93">
        <f>'II_Inkunabeln+'!AC67</f>
        <v>0</v>
      </c>
      <c r="J67" s="94"/>
      <c r="K67" s="93">
        <f>'II_Inkunabeln+'!AD67</f>
        <v>0</v>
      </c>
      <c r="L67" s="94"/>
      <c r="M67" s="94"/>
      <c r="N67" s="94"/>
      <c r="O67" s="94"/>
      <c r="P67" s="94"/>
      <c r="Q67" s="94"/>
      <c r="R67" s="94"/>
      <c r="S67" s="94"/>
      <c r="T67" s="94"/>
      <c r="U67" s="94"/>
      <c r="V67" s="94"/>
      <c r="W67" s="94">
        <f>'II_Inkunabeln+'!BA67</f>
        <v>0</v>
      </c>
      <c r="X67" s="108"/>
      <c r="Y67" s="93">
        <f>'II_Inkunabeln+'!BI67</f>
        <v>0</v>
      </c>
      <c r="Z67" s="81">
        <f>'II_Inkunabeln+'!BJ67</f>
        <v>0</v>
      </c>
    </row>
    <row r="68" spans="1:26" x14ac:dyDescent="0.25">
      <c r="A68" s="63">
        <f>'II_Inkunabeln+'!A68</f>
        <v>67</v>
      </c>
      <c r="B68" s="63" t="str">
        <f>'II_Inkunabeln+'!B68</f>
        <v>L-1470-343702606</v>
      </c>
      <c r="C68" s="63">
        <f>'II_Inkunabeln+'!C68</f>
        <v>1079550275</v>
      </c>
      <c r="D68" s="84" t="str">
        <f>'II_Inkunabeln+'!D68</f>
        <v>https://portal.dnb.de/opac.htm?method=simpleSearch&amp;cqlMode=true&amp;query=idn%3D1079550275</v>
      </c>
      <c r="E68" s="65" t="str">
        <f>'II_Inkunabeln+'!E68</f>
        <v>II 2,1k (2. angeb. Werk)</v>
      </c>
      <c r="F68" s="65">
        <f>'II_Inkunabeln+'!H68</f>
        <v>0</v>
      </c>
      <c r="G68" s="93">
        <f>'II_Inkunabeln+'!X68</f>
        <v>0</v>
      </c>
      <c r="H68" s="93">
        <f>'II_Inkunabeln+'!AA68</f>
        <v>0</v>
      </c>
      <c r="I68" s="93">
        <f>'II_Inkunabeln+'!AC68</f>
        <v>0</v>
      </c>
      <c r="J68" s="94"/>
      <c r="K68" s="93">
        <f>'II_Inkunabeln+'!AD68</f>
        <v>0</v>
      </c>
      <c r="L68" s="94"/>
      <c r="M68" s="94"/>
      <c r="N68" s="94"/>
      <c r="O68" s="94"/>
      <c r="P68" s="94"/>
      <c r="Q68" s="94"/>
      <c r="R68" s="94"/>
      <c r="S68" s="94"/>
      <c r="T68" s="94"/>
      <c r="U68" s="94"/>
      <c r="V68" s="94"/>
      <c r="W68" s="94">
        <f>'II_Inkunabeln+'!BA68</f>
        <v>0</v>
      </c>
      <c r="X68" s="108"/>
      <c r="Y68" s="93">
        <f>'II_Inkunabeln+'!BI68</f>
        <v>0</v>
      </c>
      <c r="Z68" s="81">
        <f>'II_Inkunabeln+'!BJ68</f>
        <v>0</v>
      </c>
    </row>
    <row r="69" spans="1:26" x14ac:dyDescent="0.25">
      <c r="A69" s="63">
        <f>'II_Inkunabeln+'!A69</f>
        <v>68</v>
      </c>
      <c r="B69" s="63" t="str">
        <f>'II_Inkunabeln+'!B69</f>
        <v>L-1470-343702665</v>
      </c>
      <c r="C69" s="63">
        <f>'II_Inkunabeln+'!C69</f>
        <v>1079550437</v>
      </c>
      <c r="D69" s="84" t="str">
        <f>'II_Inkunabeln+'!D69</f>
        <v>https://portal.dnb.de/opac.htm?method=simpleSearch&amp;cqlMode=true&amp;query=idn%3D1079550437</v>
      </c>
      <c r="E69" s="65" t="str">
        <f>'II_Inkunabeln+'!E69</f>
        <v>II 2,1k (3.-4. angeb. Werk)</v>
      </c>
      <c r="F69" s="65">
        <f>'II_Inkunabeln+'!H69</f>
        <v>0</v>
      </c>
      <c r="G69" s="93">
        <f>'II_Inkunabeln+'!X69</f>
        <v>0</v>
      </c>
      <c r="H69" s="93">
        <f>'II_Inkunabeln+'!AA69</f>
        <v>0</v>
      </c>
      <c r="I69" s="93">
        <f>'II_Inkunabeln+'!AC69</f>
        <v>0</v>
      </c>
      <c r="J69" s="94"/>
      <c r="K69" s="93">
        <f>'II_Inkunabeln+'!AD69</f>
        <v>0</v>
      </c>
      <c r="L69" s="94"/>
      <c r="M69" s="94"/>
      <c r="N69" s="94"/>
      <c r="O69" s="94"/>
      <c r="P69" s="94"/>
      <c r="Q69" s="94"/>
      <c r="R69" s="94"/>
      <c r="S69" s="94"/>
      <c r="T69" s="94"/>
      <c r="U69" s="94"/>
      <c r="V69" s="94"/>
      <c r="W69" s="94">
        <f>'II_Inkunabeln+'!BA69</f>
        <v>0</v>
      </c>
      <c r="X69" s="108"/>
      <c r="Y69" s="93">
        <f>'II_Inkunabeln+'!BI69</f>
        <v>0</v>
      </c>
      <c r="Z69" s="81">
        <f>'II_Inkunabeln+'!BJ69</f>
        <v>0</v>
      </c>
    </row>
    <row r="70" spans="1:26" x14ac:dyDescent="0.25">
      <c r="A70" s="63">
        <f>'II_Inkunabeln+'!A70</f>
        <v>69</v>
      </c>
      <c r="B70" s="63" t="str">
        <f>'II_Inkunabeln+'!B70</f>
        <v>L-1470-343702770</v>
      </c>
      <c r="C70" s="63">
        <f>'II_Inkunabeln+'!C70</f>
        <v>1079550615</v>
      </c>
      <c r="D70" s="84" t="str">
        <f>'II_Inkunabeln+'!D70</f>
        <v>https://portal.dnb.de/opac.htm?method=simpleSearch&amp;cqlMode=true&amp;query=idn%3D1079550615</v>
      </c>
      <c r="E70" s="65" t="str">
        <f>'II_Inkunabeln+'!E70</f>
        <v>II 2,1k (5. angeb. Werk)</v>
      </c>
      <c r="F70" s="65">
        <f>'II_Inkunabeln+'!H70</f>
        <v>0</v>
      </c>
      <c r="G70" s="93">
        <f>'II_Inkunabeln+'!X70</f>
        <v>0</v>
      </c>
      <c r="H70" s="93">
        <f>'II_Inkunabeln+'!AA70</f>
        <v>0</v>
      </c>
      <c r="I70" s="93">
        <f>'II_Inkunabeln+'!AC70</f>
        <v>0</v>
      </c>
      <c r="J70" s="94"/>
      <c r="K70" s="93">
        <f>'II_Inkunabeln+'!AD70</f>
        <v>0</v>
      </c>
      <c r="L70" s="94"/>
      <c r="M70" s="94"/>
      <c r="N70" s="94"/>
      <c r="O70" s="94"/>
      <c r="P70" s="94"/>
      <c r="Q70" s="94"/>
      <c r="R70" s="94"/>
      <c r="S70" s="94"/>
      <c r="T70" s="94"/>
      <c r="U70" s="94"/>
      <c r="V70" s="94"/>
      <c r="W70" s="94">
        <f>'II_Inkunabeln+'!BA70</f>
        <v>0</v>
      </c>
      <c r="X70" s="108"/>
      <c r="Y70" s="93">
        <f>'II_Inkunabeln+'!BI70</f>
        <v>0</v>
      </c>
      <c r="Z70" s="81">
        <f>'II_Inkunabeln+'!BJ70</f>
        <v>0</v>
      </c>
    </row>
    <row r="71" spans="1:26" x14ac:dyDescent="0.25">
      <c r="A71" s="63">
        <f>'II_Inkunabeln+'!A71</f>
        <v>70</v>
      </c>
      <c r="B71" s="63" t="str">
        <f>'II_Inkunabeln+'!B71</f>
        <v>L-1470-343703084</v>
      </c>
      <c r="C71" s="63">
        <f>'II_Inkunabeln+'!C71</f>
        <v>1079551522</v>
      </c>
      <c r="D71" s="84" t="str">
        <f>'II_Inkunabeln+'!D71</f>
        <v>https://portal.dnb.de/opac.htm?method=simpleSearch&amp;cqlMode=true&amp;query=idn%3D1079551522</v>
      </c>
      <c r="E71" s="65" t="str">
        <f>'II_Inkunabeln+'!E71</f>
        <v>II 2,1k (6. angeb. Werk)</v>
      </c>
      <c r="F71" s="65">
        <f>'II_Inkunabeln+'!H71</f>
        <v>0</v>
      </c>
      <c r="G71" s="93">
        <f>'II_Inkunabeln+'!X71</f>
        <v>0</v>
      </c>
      <c r="H71" s="93">
        <f>'II_Inkunabeln+'!AA71</f>
        <v>0</v>
      </c>
      <c r="I71" s="93">
        <f>'II_Inkunabeln+'!AC71</f>
        <v>0</v>
      </c>
      <c r="J71" s="94"/>
      <c r="K71" s="93">
        <f>'II_Inkunabeln+'!AD71</f>
        <v>0</v>
      </c>
      <c r="L71" s="94"/>
      <c r="M71" s="94"/>
      <c r="N71" s="94"/>
      <c r="O71" s="94"/>
      <c r="P71" s="94"/>
      <c r="Q71" s="94"/>
      <c r="R71" s="94"/>
      <c r="S71" s="94"/>
      <c r="T71" s="94"/>
      <c r="U71" s="94"/>
      <c r="V71" s="94"/>
      <c r="W71" s="94">
        <f>'II_Inkunabeln+'!BA71</f>
        <v>0</v>
      </c>
      <c r="X71" s="108"/>
      <c r="Y71" s="93">
        <f>'II_Inkunabeln+'!BI71</f>
        <v>0</v>
      </c>
      <c r="Z71" s="81">
        <f>'II_Inkunabeln+'!BJ71</f>
        <v>0</v>
      </c>
    </row>
    <row r="72" spans="1:26" x14ac:dyDescent="0.25">
      <c r="A72" s="63">
        <f>'II_Inkunabeln+'!A72</f>
        <v>71</v>
      </c>
      <c r="B72" s="63" t="str">
        <f>'II_Inkunabeln+'!B72</f>
        <v>L-1472-315502169</v>
      </c>
      <c r="C72" s="63">
        <f>'II_Inkunabeln+'!C72</f>
        <v>1066971773</v>
      </c>
      <c r="D72" s="84" t="str">
        <f>'II_Inkunabeln+'!D72</f>
        <v>https://portal.dnb.de/opac.htm?method=simpleSearch&amp;cqlMode=true&amp;query=idn%3D1066971773</v>
      </c>
      <c r="E72" s="65" t="str">
        <f>'II_Inkunabeln+'!E72</f>
        <v>II 2,1k (7. angeb. Werk)</v>
      </c>
      <c r="F72" s="65">
        <f>'II_Inkunabeln+'!H72</f>
        <v>0</v>
      </c>
      <c r="G72" s="93">
        <f>'II_Inkunabeln+'!X72</f>
        <v>0</v>
      </c>
      <c r="H72" s="93">
        <f>'II_Inkunabeln+'!AA72</f>
        <v>0</v>
      </c>
      <c r="I72" s="93">
        <f>'II_Inkunabeln+'!AC72</f>
        <v>0</v>
      </c>
      <c r="J72" s="94"/>
      <c r="K72" s="93">
        <f>'II_Inkunabeln+'!AD72</f>
        <v>0</v>
      </c>
      <c r="L72" s="94"/>
      <c r="M72" s="94"/>
      <c r="N72" s="94"/>
      <c r="O72" s="94"/>
      <c r="P72" s="94"/>
      <c r="Q72" s="94"/>
      <c r="R72" s="94"/>
      <c r="S72" s="94"/>
      <c r="T72" s="94"/>
      <c r="U72" s="94"/>
      <c r="V72" s="94"/>
      <c r="W72" s="94">
        <f>'II_Inkunabeln+'!BA72</f>
        <v>0</v>
      </c>
      <c r="X72" s="108"/>
      <c r="Y72" s="93">
        <f>'II_Inkunabeln+'!BI72</f>
        <v>0</v>
      </c>
      <c r="Z72" s="81">
        <f>'II_Inkunabeln+'!BJ72</f>
        <v>0</v>
      </c>
    </row>
    <row r="73" spans="1:26" x14ac:dyDescent="0.25">
      <c r="A73" s="63">
        <f>'II_Inkunabeln+'!A73</f>
        <v>72</v>
      </c>
      <c r="B73" s="63" t="str">
        <f>'II_Inkunabeln+'!B73</f>
        <v>L-1470-34370322X</v>
      </c>
      <c r="C73" s="63">
        <f>'II_Inkunabeln+'!C73</f>
        <v>1079551913</v>
      </c>
      <c r="D73" s="84" t="str">
        <f>'II_Inkunabeln+'!D73</f>
        <v>https://portal.dnb.de/opac.htm?method=simpleSearch&amp;cqlMode=true&amp;query=idn%3D1079551913</v>
      </c>
      <c r="E73" s="65" t="str">
        <f>'II_Inkunabeln+'!E73</f>
        <v>II 2,1k (8. angeb. Werk)</v>
      </c>
      <c r="F73" s="65">
        <f>'II_Inkunabeln+'!H73</f>
        <v>0</v>
      </c>
      <c r="G73" s="93">
        <f>'II_Inkunabeln+'!X73</f>
        <v>0</v>
      </c>
      <c r="H73" s="93">
        <f>'II_Inkunabeln+'!AA73</f>
        <v>0</v>
      </c>
      <c r="I73" s="93">
        <f>'II_Inkunabeln+'!AC73</f>
        <v>0</v>
      </c>
      <c r="J73" s="94"/>
      <c r="K73" s="93">
        <f>'II_Inkunabeln+'!AD73</f>
        <v>0</v>
      </c>
      <c r="L73" s="94"/>
      <c r="M73" s="94"/>
      <c r="N73" s="94"/>
      <c r="O73" s="94"/>
      <c r="P73" s="94"/>
      <c r="Q73" s="94"/>
      <c r="R73" s="94"/>
      <c r="S73" s="94"/>
      <c r="T73" s="94"/>
      <c r="U73" s="94"/>
      <c r="V73" s="94"/>
      <c r="W73" s="94">
        <f>'II_Inkunabeln+'!BA73</f>
        <v>0</v>
      </c>
      <c r="X73" s="108"/>
      <c r="Y73" s="93">
        <f>'II_Inkunabeln+'!BI73</f>
        <v>0</v>
      </c>
      <c r="Z73" s="81">
        <f>'II_Inkunabeln+'!BJ73</f>
        <v>0</v>
      </c>
    </row>
    <row r="74" spans="1:26" x14ac:dyDescent="0.25">
      <c r="A74" s="63">
        <f>'II_Inkunabeln+'!A74</f>
        <v>73</v>
      </c>
      <c r="B74" s="63" t="str">
        <f>'II_Inkunabeln+'!B74</f>
        <v>L-1470-343703203</v>
      </c>
      <c r="C74" s="63">
        <f>'II_Inkunabeln+'!C74</f>
        <v>1079551808</v>
      </c>
      <c r="D74" s="84" t="str">
        <f>'II_Inkunabeln+'!D74</f>
        <v>https://portal.dnb.de/opac.htm?method=simpleSearch&amp;cqlMode=true&amp;query=idn%3D1079551808</v>
      </c>
      <c r="E74" s="65" t="str">
        <f>'II_Inkunabeln+'!E74</f>
        <v>II 2,1k (9. angeb. Werk)</v>
      </c>
      <c r="F74" s="65">
        <f>'II_Inkunabeln+'!H74</f>
        <v>0</v>
      </c>
      <c r="G74" s="93">
        <f>'II_Inkunabeln+'!X74</f>
        <v>0</v>
      </c>
      <c r="H74" s="93">
        <f>'II_Inkunabeln+'!AA74</f>
        <v>0</v>
      </c>
      <c r="I74" s="93">
        <f>'II_Inkunabeln+'!AC74</f>
        <v>0</v>
      </c>
      <c r="J74" s="94"/>
      <c r="K74" s="93">
        <f>'II_Inkunabeln+'!AD74</f>
        <v>0</v>
      </c>
      <c r="L74" s="94"/>
      <c r="M74" s="94"/>
      <c r="N74" s="94"/>
      <c r="O74" s="94"/>
      <c r="P74" s="94"/>
      <c r="Q74" s="94"/>
      <c r="R74" s="94"/>
      <c r="S74" s="94"/>
      <c r="T74" s="94"/>
      <c r="U74" s="94"/>
      <c r="V74" s="94"/>
      <c r="W74" s="94">
        <f>'II_Inkunabeln+'!BA74</f>
        <v>0</v>
      </c>
      <c r="X74" s="108"/>
      <c r="Y74" s="93">
        <f>'II_Inkunabeln+'!BI74</f>
        <v>0</v>
      </c>
      <c r="Z74" s="81">
        <f>'II_Inkunabeln+'!BJ74</f>
        <v>0</v>
      </c>
    </row>
    <row r="75" spans="1:26" x14ac:dyDescent="0.25">
      <c r="A75" s="63">
        <f>'II_Inkunabeln+'!A75</f>
        <v>74</v>
      </c>
      <c r="B75" s="63" t="str">
        <f>'II_Inkunabeln+'!B75</f>
        <v>L-1475-315502851</v>
      </c>
      <c r="C75" s="63">
        <f>'II_Inkunabeln+'!C75</f>
        <v>1066972435</v>
      </c>
      <c r="D75" s="84" t="str">
        <f>'II_Inkunabeln+'!D75</f>
        <v>https://portal.dnb.de/opac.htm?method=simpleSearch&amp;cqlMode=true&amp;query=idn%3D1066972435</v>
      </c>
      <c r="E75" s="65" t="str">
        <f>'II_Inkunabeln+'!E75</f>
        <v>II 2,1m</v>
      </c>
      <c r="F75" s="65" t="str">
        <f>'II_Inkunabeln+'!H75</f>
        <v>bis 42 cm</v>
      </c>
      <c r="G75" s="93" t="str">
        <f>'II_Inkunabeln+'!X75</f>
        <v>HL</v>
      </c>
      <c r="H75" s="93" t="str">
        <f>'II_Inkunabeln+'!AA75</f>
        <v>h/E</v>
      </c>
      <c r="I75" s="93">
        <f>'II_Inkunabeln+'!AC75</f>
        <v>0</v>
      </c>
      <c r="J75" s="94"/>
      <c r="K75" s="93">
        <f>'II_Inkunabeln+'!AD75</f>
        <v>0</v>
      </c>
      <c r="L75" s="94"/>
      <c r="M75" s="94"/>
      <c r="N75" s="94"/>
      <c r="O75" s="94"/>
      <c r="P75" s="94"/>
      <c r="Q75" s="94"/>
      <c r="R75" s="94"/>
      <c r="S75" s="94"/>
      <c r="T75" s="94"/>
      <c r="U75" s="94"/>
      <c r="V75" s="94"/>
      <c r="W75" s="94" t="str">
        <f>'II_Inkunabeln+'!BA75</f>
        <v>n</v>
      </c>
      <c r="X75" s="108"/>
      <c r="Y75" s="93">
        <f>'II_Inkunabeln+'!BI75</f>
        <v>0</v>
      </c>
      <c r="Z75" s="81" t="str">
        <f>'II_Inkunabeln+'!BJ75</f>
        <v>extremer Bauch --&gt; Digi-Grenzfall</v>
      </c>
    </row>
    <row r="76" spans="1:26" x14ac:dyDescent="0.25">
      <c r="A76" s="63">
        <f>'II_Inkunabeln+'!A76</f>
        <v>75</v>
      </c>
      <c r="B76" s="63" t="str">
        <f>'II_Inkunabeln+'!B76</f>
        <v>L-1471-315500115</v>
      </c>
      <c r="C76" s="63">
        <f>'II_Inkunabeln+'!C76</f>
        <v>1066969779</v>
      </c>
      <c r="D76" s="84" t="str">
        <f>'II_Inkunabeln+'!D76</f>
        <v>https://portal.dnb.de/opac.htm?method=simpleSearch&amp;cqlMode=true&amp;query=idn%3D1066969779</v>
      </c>
      <c r="E76" s="65" t="str">
        <f>'II_Inkunabeln+'!E76</f>
        <v>II 2,1n - Pt. 2</v>
      </c>
      <c r="F76" s="65" t="str">
        <f>'II_Inkunabeln+'!H76</f>
        <v>bis 42 cm</v>
      </c>
      <c r="G76" s="93" t="str">
        <f>'II_Inkunabeln+'!X76</f>
        <v>L</v>
      </c>
      <c r="H76" s="93" t="str">
        <f>'II_Inkunabeln+'!AA76</f>
        <v>h/E</v>
      </c>
      <c r="I76" s="93" t="str">
        <f>'II_Inkunabeln+'!AC76</f>
        <v>x</v>
      </c>
      <c r="J76" s="94" t="s">
        <v>1633</v>
      </c>
      <c r="K76" s="93">
        <f>'II_Inkunabeln+'!AD76</f>
        <v>0</v>
      </c>
      <c r="L76" s="94" t="s">
        <v>1633</v>
      </c>
      <c r="M76" s="94"/>
      <c r="N76" s="94" t="s">
        <v>1744</v>
      </c>
      <c r="O76" s="94"/>
      <c r="P76" s="94"/>
      <c r="Q76" s="94"/>
      <c r="R76" s="94"/>
      <c r="S76" s="94"/>
      <c r="T76" s="94"/>
      <c r="U76" s="94"/>
      <c r="V76" s="94"/>
      <c r="W76" s="94" t="str">
        <f>'II_Inkunabeln+'!BA76</f>
        <v>ja vor</v>
      </c>
      <c r="X76" s="108">
        <v>3</v>
      </c>
      <c r="Y76" s="93">
        <f>'II_Inkunabeln+'!BI76</f>
        <v>0</v>
      </c>
      <c r="Z76" s="81">
        <f>'II_Inkunabeln+'!BJ76</f>
        <v>0</v>
      </c>
    </row>
    <row r="77" spans="1:26" x14ac:dyDescent="0.25">
      <c r="A77" s="63">
        <f>'II_Inkunabeln+'!A77</f>
        <v>76</v>
      </c>
      <c r="B77" s="63" t="str">
        <f>'II_Inkunabeln+'!B77</f>
        <v>L-1470-343703238</v>
      </c>
      <c r="C77" s="63">
        <f>'II_Inkunabeln+'!C77</f>
        <v>1079551808</v>
      </c>
      <c r="D77" s="84" t="str">
        <f>'II_Inkunabeln+'!D77</f>
        <v>https://portal.dnb.de/opac.htm?method=simpleSearch&amp;cqlMode=true&amp;query=idn%3D1079551808</v>
      </c>
      <c r="E77" s="65" t="str">
        <f>'II_Inkunabeln+'!E77</f>
        <v>II 2,1o</v>
      </c>
      <c r="F77" s="65" t="str">
        <f>'II_Inkunabeln+'!H77</f>
        <v>bis 35 cm</v>
      </c>
      <c r="G77" s="93">
        <f>'II_Inkunabeln+'!X77</f>
        <v>0</v>
      </c>
      <c r="H77" s="93">
        <f>'II_Inkunabeln+'!AA77</f>
        <v>0</v>
      </c>
      <c r="I77" s="93">
        <f>'II_Inkunabeln+'!AC77</f>
        <v>0</v>
      </c>
      <c r="J77" s="94"/>
      <c r="K77" s="93">
        <f>'II_Inkunabeln+'!AD77</f>
        <v>0</v>
      </c>
      <c r="L77" s="94"/>
      <c r="M77" s="94"/>
      <c r="N77" s="94"/>
      <c r="O77" s="94"/>
      <c r="P77" s="94"/>
      <c r="Q77" s="94"/>
      <c r="R77" s="94"/>
      <c r="S77" s="94"/>
      <c r="T77" s="94"/>
      <c r="U77" s="94"/>
      <c r="V77" s="94"/>
      <c r="W77" s="94">
        <f>'II_Inkunabeln+'!BA77</f>
        <v>0</v>
      </c>
      <c r="X77" s="108"/>
      <c r="Y77" s="93">
        <f>'II_Inkunabeln+'!BI77</f>
        <v>0</v>
      </c>
      <c r="Z77" s="81">
        <f>'II_Inkunabeln+'!BJ77</f>
        <v>0</v>
      </c>
    </row>
    <row r="78" spans="1:26" x14ac:dyDescent="0.25">
      <c r="A78" s="63">
        <f>'II_Inkunabeln+'!A78</f>
        <v>77</v>
      </c>
      <c r="B78" s="63" t="str">
        <f>'II_Inkunabeln+'!B78</f>
        <v>L-1470-343703262</v>
      </c>
      <c r="C78" s="63">
        <f>'II_Inkunabeln+'!C78</f>
        <v>1079550275</v>
      </c>
      <c r="D78" s="84" t="str">
        <f>'II_Inkunabeln+'!D78</f>
        <v>https://portal.dnb.de/opac.htm?method=simpleSearch&amp;cqlMode=true&amp;query=idn%3D1079550275</v>
      </c>
      <c r="E78" s="65" t="str">
        <f>'II_Inkunabeln+'!E78</f>
        <v>II 2,1p</v>
      </c>
      <c r="F78" s="65" t="str">
        <f>'II_Inkunabeln+'!H78</f>
        <v>bis 35 cm</v>
      </c>
      <c r="G78" s="93">
        <f>'II_Inkunabeln+'!X78</f>
        <v>0</v>
      </c>
      <c r="H78" s="93">
        <f>'II_Inkunabeln+'!AA78</f>
        <v>0</v>
      </c>
      <c r="I78" s="93">
        <f>'II_Inkunabeln+'!AC78</f>
        <v>0</v>
      </c>
      <c r="J78" s="94"/>
      <c r="K78" s="93">
        <f>'II_Inkunabeln+'!AD78</f>
        <v>0</v>
      </c>
      <c r="L78" s="94"/>
      <c r="M78" s="94"/>
      <c r="N78" s="94"/>
      <c r="O78" s="94"/>
      <c r="P78" s="94"/>
      <c r="Q78" s="94"/>
      <c r="R78" s="94"/>
      <c r="S78" s="94"/>
      <c r="T78" s="94"/>
      <c r="U78" s="94"/>
      <c r="V78" s="94"/>
      <c r="W78" s="94">
        <f>'II_Inkunabeln+'!BA78</f>
        <v>0</v>
      </c>
      <c r="X78" s="108"/>
      <c r="Y78" s="93">
        <f>'II_Inkunabeln+'!BI78</f>
        <v>0</v>
      </c>
      <c r="Z78" s="81">
        <f>'II_Inkunabeln+'!BJ78</f>
        <v>0</v>
      </c>
    </row>
    <row r="79" spans="1:26" x14ac:dyDescent="0.25">
      <c r="A79" s="63">
        <f>'II_Inkunabeln+'!A79</f>
        <v>78</v>
      </c>
      <c r="B79" s="63" t="str">
        <f>'II_Inkunabeln+'!B79</f>
        <v>L-1470-34370269X</v>
      </c>
      <c r="C79" s="63">
        <f>'II_Inkunabeln+'!C79</f>
        <v>1079550437</v>
      </c>
      <c r="D79" s="84" t="str">
        <f>'II_Inkunabeln+'!D79</f>
        <v>https://portal.dnb.de/opac.htm?method=simpleSearch&amp;cqlMode=true&amp;query=idn%3D1079550437</v>
      </c>
      <c r="E79" s="65" t="str">
        <f>'II_Inkunabeln+'!E79</f>
        <v>II 2,1q</v>
      </c>
      <c r="F79" s="65" t="str">
        <f>'II_Inkunabeln+'!H79</f>
        <v>bis 35 cm</v>
      </c>
      <c r="G79" s="93">
        <f>'II_Inkunabeln+'!X79</f>
        <v>0</v>
      </c>
      <c r="H79" s="93">
        <f>'II_Inkunabeln+'!AA79</f>
        <v>0</v>
      </c>
      <c r="I79" s="93">
        <f>'II_Inkunabeln+'!AC79</f>
        <v>0</v>
      </c>
      <c r="J79" s="94"/>
      <c r="K79" s="93">
        <f>'II_Inkunabeln+'!AD79</f>
        <v>0</v>
      </c>
      <c r="L79" s="94"/>
      <c r="M79" s="94"/>
      <c r="N79" s="94"/>
      <c r="O79" s="94"/>
      <c r="P79" s="94"/>
      <c r="Q79" s="94"/>
      <c r="R79" s="94"/>
      <c r="S79" s="94"/>
      <c r="T79" s="94"/>
      <c r="U79" s="94"/>
      <c r="V79" s="94"/>
      <c r="W79" s="94">
        <f>'II_Inkunabeln+'!BA79</f>
        <v>0</v>
      </c>
      <c r="X79" s="108"/>
      <c r="Y79" s="93">
        <f>'II_Inkunabeln+'!BI79</f>
        <v>0</v>
      </c>
      <c r="Z79" s="81">
        <f>'II_Inkunabeln+'!BJ79</f>
        <v>0</v>
      </c>
    </row>
    <row r="80" spans="1:26" x14ac:dyDescent="0.25">
      <c r="A80" s="63">
        <f>'II_Inkunabeln+'!A80</f>
        <v>79</v>
      </c>
      <c r="B80" s="63" t="str">
        <f>'II_Inkunabeln+'!B80</f>
        <v>L-1470-315500670</v>
      </c>
      <c r="C80" s="63">
        <f>'II_Inkunabeln+'!C80</f>
        <v>1066970335</v>
      </c>
      <c r="D80" s="84" t="str">
        <f>'II_Inkunabeln+'!D80</f>
        <v>https://portal.dnb.de/opac.htm?method=simpleSearch&amp;cqlMode=true&amp;query=idn%3D1066970335</v>
      </c>
      <c r="E80" s="65" t="str">
        <f>'II_Inkunabeln+'!E80</f>
        <v>II 2,2a</v>
      </c>
      <c r="F80" s="65" t="str">
        <f>'II_Inkunabeln+'!H80</f>
        <v>bis 42 cm</v>
      </c>
      <c r="G80" s="93" t="str">
        <f>'II_Inkunabeln+'!X80</f>
        <v>L</v>
      </c>
      <c r="H80" s="93" t="str">
        <f>'II_Inkunabeln+'!AA80</f>
        <v>h/E</v>
      </c>
      <c r="I80" s="93">
        <f>'II_Inkunabeln+'!AC80</f>
        <v>0</v>
      </c>
      <c r="J80" s="94"/>
      <c r="K80" s="93">
        <f>'II_Inkunabeln+'!AD80</f>
        <v>0</v>
      </c>
      <c r="L80" s="94"/>
      <c r="M80" s="94" t="s">
        <v>1633</v>
      </c>
      <c r="N80" s="94"/>
      <c r="O80" s="94"/>
      <c r="P80" s="94"/>
      <c r="Q80" s="94"/>
      <c r="R80" s="94"/>
      <c r="S80" s="94"/>
      <c r="T80" s="94"/>
      <c r="U80" s="94"/>
      <c r="V80" s="94"/>
      <c r="W80" s="94" t="str">
        <f>'II_Inkunabeln+'!BA80</f>
        <v>ja vor</v>
      </c>
      <c r="X80" s="108">
        <v>2</v>
      </c>
      <c r="Y80" s="93">
        <f>'II_Inkunabeln+'!BI80</f>
        <v>0</v>
      </c>
      <c r="Z80" s="81">
        <f>'II_Inkunabeln+'!BJ80</f>
        <v>0</v>
      </c>
    </row>
    <row r="81" spans="1:26" x14ac:dyDescent="0.25">
      <c r="A81" s="63">
        <f>'II_Inkunabeln+'!A81</f>
        <v>80</v>
      </c>
      <c r="B81" s="63" t="str">
        <f>'II_Inkunabeln+'!B81</f>
        <v>L-1471-315495146</v>
      </c>
      <c r="C81" s="63">
        <f>'II_Inkunabeln+'!C81</f>
        <v>1066964998</v>
      </c>
      <c r="D81" s="84" t="str">
        <f>'II_Inkunabeln+'!D81</f>
        <v>https://portal.dnb.de/opac.htm?method=simpleSearch&amp;cqlMode=true&amp;query=idn%3D1066964998</v>
      </c>
      <c r="E81" s="65" t="str">
        <f>'II_Inkunabeln+'!E81</f>
        <v>II 2,2b - Fragm.</v>
      </c>
      <c r="F81" s="65">
        <f>'II_Inkunabeln+'!H81</f>
        <v>0</v>
      </c>
      <c r="G81" s="93">
        <f>'II_Inkunabeln+'!X81</f>
        <v>0</v>
      </c>
      <c r="H81" s="93">
        <f>'II_Inkunabeln+'!AA81</f>
        <v>0</v>
      </c>
      <c r="I81" s="93">
        <f>'II_Inkunabeln+'!AC81</f>
        <v>0</v>
      </c>
      <c r="J81" s="94"/>
      <c r="K81" s="93">
        <f>'II_Inkunabeln+'!AD81</f>
        <v>0</v>
      </c>
      <c r="L81" s="94"/>
      <c r="M81" s="94"/>
      <c r="N81" s="94"/>
      <c r="O81" s="94"/>
      <c r="P81" s="94"/>
      <c r="Q81" s="94"/>
      <c r="R81" s="94"/>
      <c r="S81" s="94"/>
      <c r="T81" s="94"/>
      <c r="U81" s="94"/>
      <c r="V81" s="94"/>
      <c r="W81" s="94">
        <f>'II_Inkunabeln+'!BA81</f>
        <v>0</v>
      </c>
      <c r="X81" s="108"/>
      <c r="Y81" s="93">
        <f>'II_Inkunabeln+'!BI81</f>
        <v>0</v>
      </c>
      <c r="Z81" s="81">
        <f>'II_Inkunabeln+'!BJ81</f>
        <v>0</v>
      </c>
    </row>
    <row r="82" spans="1:26" x14ac:dyDescent="0.25">
      <c r="A82" s="63">
        <f>'II_Inkunabeln+'!A82</f>
        <v>81</v>
      </c>
      <c r="B82" s="63" t="str">
        <f>'II_Inkunabeln+'!B82</f>
        <v>L-1472-31549767X</v>
      </c>
      <c r="C82" s="63">
        <f>'II_Inkunabeln+'!C82</f>
        <v>1066967415</v>
      </c>
      <c r="D82" s="84" t="str">
        <f>'II_Inkunabeln+'!D82</f>
        <v>https://portal.dnb.de/opac.htm?method=simpleSearch&amp;cqlMode=true&amp;query=idn%3D1066967415</v>
      </c>
      <c r="E82" s="65" t="str">
        <f>'II_Inkunabeln+'!E82</f>
        <v>II 2,2c</v>
      </c>
      <c r="F82" s="65" t="str">
        <f>'II_Inkunabeln+'!H82</f>
        <v>bis 35 cm</v>
      </c>
      <c r="G82" s="93">
        <f>'II_Inkunabeln+'!X82</f>
        <v>0</v>
      </c>
      <c r="H82" s="93">
        <f>'II_Inkunabeln+'!AA82</f>
        <v>0</v>
      </c>
      <c r="I82" s="93">
        <f>'II_Inkunabeln+'!AC82</f>
        <v>0</v>
      </c>
      <c r="J82" s="94"/>
      <c r="K82" s="93">
        <f>'II_Inkunabeln+'!AD82</f>
        <v>0</v>
      </c>
      <c r="L82" s="94"/>
      <c r="M82" s="94"/>
      <c r="N82" s="94"/>
      <c r="O82" s="94"/>
      <c r="P82" s="94"/>
      <c r="Q82" s="94"/>
      <c r="R82" s="94"/>
      <c r="S82" s="94"/>
      <c r="T82" s="94"/>
      <c r="U82" s="94"/>
      <c r="V82" s="94"/>
      <c r="W82" s="94">
        <f>'II_Inkunabeln+'!BA82</f>
        <v>0</v>
      </c>
      <c r="X82" s="108"/>
      <c r="Y82" s="93">
        <f>'II_Inkunabeln+'!BI82</f>
        <v>0</v>
      </c>
      <c r="Z82" s="81">
        <f>'II_Inkunabeln+'!BJ82</f>
        <v>0</v>
      </c>
    </row>
    <row r="83" spans="1:26" x14ac:dyDescent="0.25">
      <c r="A83" s="63">
        <f>'II_Inkunabeln+'!A83</f>
        <v>82</v>
      </c>
      <c r="B83" s="63" t="str">
        <f>'II_Inkunabeln+'!B83</f>
        <v>L-1472-315500042</v>
      </c>
      <c r="C83" s="63">
        <f>'II_Inkunabeln+'!C83</f>
        <v>1066969701</v>
      </c>
      <c r="D83" s="84" t="str">
        <f>'II_Inkunabeln+'!D83</f>
        <v>https://portal.dnb.de/opac.htm?method=simpleSearch&amp;cqlMode=true&amp;query=idn%3D1066969701</v>
      </c>
      <c r="E83" s="65" t="str">
        <f>'II_Inkunabeln+'!E83</f>
        <v>II 2,2d</v>
      </c>
      <c r="F83" s="65" t="str">
        <f>'II_Inkunabeln+'!H83</f>
        <v>bis 35 cm</v>
      </c>
      <c r="G83" s="93">
        <f>'II_Inkunabeln+'!X83</f>
        <v>0</v>
      </c>
      <c r="H83" s="93">
        <f>'II_Inkunabeln+'!AA83</f>
        <v>0</v>
      </c>
      <c r="I83" s="93">
        <f>'II_Inkunabeln+'!AC83</f>
        <v>0</v>
      </c>
      <c r="J83" s="94"/>
      <c r="K83" s="93">
        <f>'II_Inkunabeln+'!AD83</f>
        <v>0</v>
      </c>
      <c r="L83" s="94"/>
      <c r="M83" s="94"/>
      <c r="N83" s="94"/>
      <c r="O83" s="94"/>
      <c r="P83" s="94"/>
      <c r="Q83" s="94"/>
      <c r="R83" s="94"/>
      <c r="S83" s="94"/>
      <c r="T83" s="94"/>
      <c r="U83" s="94"/>
      <c r="V83" s="94"/>
      <c r="W83" s="94">
        <f>'II_Inkunabeln+'!BA83</f>
        <v>0</v>
      </c>
      <c r="X83" s="108"/>
      <c r="Y83" s="93">
        <f>'II_Inkunabeln+'!BI83</f>
        <v>0</v>
      </c>
      <c r="Z83" s="81">
        <f>'II_Inkunabeln+'!BJ83</f>
        <v>0</v>
      </c>
    </row>
    <row r="84" spans="1:26" x14ac:dyDescent="0.25">
      <c r="A84" s="63">
        <f>'II_Inkunabeln+'!A84</f>
        <v>83</v>
      </c>
      <c r="B84" s="63" t="str">
        <f>'II_Inkunabeln+'!B84</f>
        <v>L-1474-315500204</v>
      </c>
      <c r="C84" s="63">
        <f>'II_Inkunabeln+'!C84</f>
        <v>1066969876</v>
      </c>
      <c r="D84" s="84" t="str">
        <f>'II_Inkunabeln+'!D84</f>
        <v>https://portal.dnb.de/opac.htm?method=simpleSearch&amp;cqlMode=true&amp;query=idn%3D1066969876</v>
      </c>
      <c r="E84" s="65" t="str">
        <f>'II_Inkunabeln+'!E84</f>
        <v>II 2,3b</v>
      </c>
      <c r="F84" s="65" t="str">
        <f>'II_Inkunabeln+'!H84</f>
        <v>bis 35 cm</v>
      </c>
      <c r="G84" s="93">
        <f>'II_Inkunabeln+'!X84</f>
        <v>0</v>
      </c>
      <c r="H84" s="93">
        <f>'II_Inkunabeln+'!AA84</f>
        <v>0</v>
      </c>
      <c r="I84" s="93">
        <f>'II_Inkunabeln+'!AC84</f>
        <v>0</v>
      </c>
      <c r="J84" s="94"/>
      <c r="K84" s="93">
        <f>'II_Inkunabeln+'!AD84</f>
        <v>0</v>
      </c>
      <c r="L84" s="94"/>
      <c r="M84" s="94"/>
      <c r="N84" s="94"/>
      <c r="O84" s="94"/>
      <c r="P84" s="94"/>
      <c r="Q84" s="94"/>
      <c r="R84" s="94"/>
      <c r="S84" s="94"/>
      <c r="T84" s="94"/>
      <c r="U84" s="94"/>
      <c r="V84" s="94"/>
      <c r="W84" s="94">
        <f>'II_Inkunabeln+'!BA84</f>
        <v>0</v>
      </c>
      <c r="X84" s="108"/>
      <c r="Y84" s="93">
        <f>'II_Inkunabeln+'!BI84</f>
        <v>0</v>
      </c>
      <c r="Z84" s="81">
        <f>'II_Inkunabeln+'!BJ84</f>
        <v>0</v>
      </c>
    </row>
    <row r="85" spans="1:26" x14ac:dyDescent="0.25">
      <c r="A85" s="63">
        <f>'II_Inkunabeln+'!A85</f>
        <v>84</v>
      </c>
      <c r="B85" s="63" t="str">
        <f>'II_Inkunabeln+'!B85</f>
        <v>L-1474-315500956</v>
      </c>
      <c r="C85" s="63">
        <f>'II_Inkunabeln+'!C85</f>
        <v>1066970599</v>
      </c>
      <c r="D85" s="84" t="str">
        <f>'II_Inkunabeln+'!D85</f>
        <v>https://portal.dnb.de/opac.htm?method=simpleSearch&amp;cqlMode=true&amp;query=idn%3D1066970599</v>
      </c>
      <c r="E85" s="65" t="str">
        <f>'II_Inkunabeln+'!E85</f>
        <v>II 2,4a</v>
      </c>
      <c r="F85" s="65" t="str">
        <f>'II_Inkunabeln+'!H85</f>
        <v>bis 35 cm</v>
      </c>
      <c r="G85" s="93">
        <f>'II_Inkunabeln+'!X85</f>
        <v>0</v>
      </c>
      <c r="H85" s="93">
        <f>'II_Inkunabeln+'!AA85</f>
        <v>0</v>
      </c>
      <c r="I85" s="93">
        <f>'II_Inkunabeln+'!AC85</f>
        <v>0</v>
      </c>
      <c r="J85" s="94"/>
      <c r="K85" s="93">
        <f>'II_Inkunabeln+'!AD85</f>
        <v>0</v>
      </c>
      <c r="L85" s="94"/>
      <c r="M85" s="94"/>
      <c r="N85" s="94"/>
      <c r="O85" s="94"/>
      <c r="P85" s="94"/>
      <c r="Q85" s="94"/>
      <c r="R85" s="94"/>
      <c r="S85" s="94"/>
      <c r="T85" s="94"/>
      <c r="U85" s="94"/>
      <c r="V85" s="94"/>
      <c r="W85" s="94">
        <f>'II_Inkunabeln+'!BA85</f>
        <v>0</v>
      </c>
      <c r="X85" s="108"/>
      <c r="Y85" s="93">
        <f>'II_Inkunabeln+'!BI85</f>
        <v>0</v>
      </c>
      <c r="Z85" s="81">
        <f>'II_Inkunabeln+'!BJ85</f>
        <v>0</v>
      </c>
    </row>
    <row r="86" spans="1:26" x14ac:dyDescent="0.25">
      <c r="A86" s="63">
        <f>'II_Inkunabeln+'!A86</f>
        <v>85</v>
      </c>
      <c r="B86" s="63" t="str">
        <f>'II_Inkunabeln+'!B86</f>
        <v>L-1474-315502509</v>
      </c>
      <c r="C86" s="63">
        <f>'II_Inkunabeln+'!C86</f>
        <v>1066972087</v>
      </c>
      <c r="D86" s="84" t="str">
        <f>'II_Inkunabeln+'!D86</f>
        <v>https://portal.dnb.de/opac.htm?method=simpleSearch&amp;cqlMode=true&amp;query=idn%3D1066972087</v>
      </c>
      <c r="E86" s="65" t="str">
        <f>'II_Inkunabeln+'!E86</f>
        <v>II 2,4b</v>
      </c>
      <c r="F86" s="65" t="str">
        <f>'II_Inkunabeln+'!H86</f>
        <v>bis 42 cm</v>
      </c>
      <c r="G86" s="93" t="str">
        <f>'II_Inkunabeln+'!X86</f>
        <v>L</v>
      </c>
      <c r="H86" s="93" t="str">
        <f>'II_Inkunabeln+'!AA86</f>
        <v>h/E</v>
      </c>
      <c r="I86" s="93">
        <f>'II_Inkunabeln+'!AC86</f>
        <v>0</v>
      </c>
      <c r="J86" s="94"/>
      <c r="K86" s="93">
        <f>'II_Inkunabeln+'!AD86</f>
        <v>0</v>
      </c>
      <c r="L86" s="94"/>
      <c r="M86" s="94" t="s">
        <v>1633</v>
      </c>
      <c r="N86" s="94"/>
      <c r="O86" s="94"/>
      <c r="P86" s="94"/>
      <c r="Q86" s="94"/>
      <c r="R86" s="94"/>
      <c r="S86" s="94"/>
      <c r="T86" s="94"/>
      <c r="U86" s="94"/>
      <c r="V86" s="94"/>
      <c r="W86" s="94" t="str">
        <f>'II_Inkunabeln+'!BA86</f>
        <v>ja vor</v>
      </c>
      <c r="X86" s="108">
        <v>0.5</v>
      </c>
      <c r="Y86" s="93">
        <f>'II_Inkunabeln+'!BI86</f>
        <v>0</v>
      </c>
      <c r="Z86" s="81">
        <f>'II_Inkunabeln+'!BJ86</f>
        <v>0</v>
      </c>
    </row>
    <row r="87" spans="1:26" x14ac:dyDescent="0.25">
      <c r="A87" s="63">
        <f>'II_Inkunabeln+'!A87</f>
        <v>86</v>
      </c>
      <c r="B87" s="63" t="str">
        <f>'II_Inkunabeln+'!B87</f>
        <v>L-1475-315496150</v>
      </c>
      <c r="C87" s="63">
        <f>'II_Inkunabeln+'!C87</f>
        <v>1066965870</v>
      </c>
      <c r="D87" s="84" t="str">
        <f>'II_Inkunabeln+'!D87</f>
        <v>https://portal.dnb.de/opac.htm?method=simpleSearch&amp;cqlMode=true&amp;query=idn%3D1066965870</v>
      </c>
      <c r="E87" s="65" t="str">
        <f>'II_Inkunabeln+'!E87</f>
        <v>II 2,5a</v>
      </c>
      <c r="F87" s="65" t="str">
        <f>'II_Inkunabeln+'!H87</f>
        <v>bis 35 cm</v>
      </c>
      <c r="G87" s="93" t="str">
        <f>'II_Inkunabeln+'!X87</f>
        <v>Pg</v>
      </c>
      <c r="H87" s="93" t="str">
        <f>'II_Inkunabeln+'!AA87</f>
        <v>h</v>
      </c>
      <c r="I87" s="93">
        <f>'II_Inkunabeln+'!AC87</f>
        <v>0</v>
      </c>
      <c r="J87" s="94"/>
      <c r="K87" s="93">
        <f>'II_Inkunabeln+'!AD87</f>
        <v>0</v>
      </c>
      <c r="L87" s="94"/>
      <c r="M87" s="94"/>
      <c r="N87" s="94"/>
      <c r="O87" s="94"/>
      <c r="P87" s="94"/>
      <c r="Q87" s="94"/>
      <c r="R87" s="94"/>
      <c r="S87" s="94"/>
      <c r="T87" s="94"/>
      <c r="U87" s="94"/>
      <c r="V87" s="94"/>
      <c r="W87" s="94" t="str">
        <f>'II_Inkunabeln+'!BA87</f>
        <v>n</v>
      </c>
      <c r="X87" s="108"/>
      <c r="Y87" s="93">
        <f>'II_Inkunabeln+'!BI87</f>
        <v>0</v>
      </c>
      <c r="Z87" s="81">
        <f>'II_Inkunabeln+'!BJ87</f>
        <v>0</v>
      </c>
    </row>
    <row r="88" spans="1:26" x14ac:dyDescent="0.25">
      <c r="A88" s="63">
        <f>'II_Inkunabeln+'!A88</f>
        <v>87</v>
      </c>
      <c r="B88" s="63" t="str">
        <f>'II_Inkunabeln+'!B88</f>
        <v>L-1476-315497831</v>
      </c>
      <c r="C88" s="63" t="str">
        <f>'II_Inkunabeln+'!C88</f>
        <v>106696758X</v>
      </c>
      <c r="D88" s="84" t="str">
        <f>'II_Inkunabeln+'!D88</f>
        <v>https://portal.dnb.de/opac.htm?method=simpleSearch&amp;cqlMode=true&amp;query=idn%3D106696758X</v>
      </c>
      <c r="E88" s="65" t="str">
        <f>'II_Inkunabeln+'!E88</f>
        <v>II 2,5b</v>
      </c>
      <c r="F88" s="65" t="str">
        <f>'II_Inkunabeln+'!H88</f>
        <v>bis 42 cm</v>
      </c>
      <c r="G88" s="93" t="str">
        <f>'II_Inkunabeln+'!X88</f>
        <v>HL</v>
      </c>
      <c r="H88" s="93" t="str">
        <f>'II_Inkunabeln+'!AA88</f>
        <v>h/E</v>
      </c>
      <c r="I88" s="93">
        <f>'II_Inkunabeln+'!AC88</f>
        <v>0</v>
      </c>
      <c r="J88" s="94"/>
      <c r="K88" s="93">
        <f>'II_Inkunabeln+'!AD88</f>
        <v>0</v>
      </c>
      <c r="L88" s="94"/>
      <c r="M88" s="94"/>
      <c r="N88" s="94"/>
      <c r="O88" s="94"/>
      <c r="P88" s="94"/>
      <c r="Q88" s="94"/>
      <c r="R88" s="94"/>
      <c r="S88" s="94"/>
      <c r="T88" s="94"/>
      <c r="U88" s="94"/>
      <c r="V88" s="94"/>
      <c r="W88" s="94" t="str">
        <f>'II_Inkunabeln+'!BA88</f>
        <v>ja vor</v>
      </c>
      <c r="X88" s="108"/>
      <c r="Y88" s="93">
        <f>'II_Inkunabeln+'!BI88</f>
        <v>0</v>
      </c>
      <c r="Z88" s="81">
        <f>'II_Inkunabeln+'!BJ88</f>
        <v>0</v>
      </c>
    </row>
    <row r="89" spans="1:26" x14ac:dyDescent="0.25">
      <c r="A89" s="63">
        <f>'II_Inkunabeln+'!A89</f>
        <v>88</v>
      </c>
      <c r="B89" s="63" t="str">
        <f>'II_Inkunabeln+'!B89</f>
        <v>L-1476-315495413</v>
      </c>
      <c r="C89" s="63">
        <f>'II_Inkunabeln+'!C89</f>
        <v>1066965250</v>
      </c>
      <c r="D89" s="84" t="str">
        <f>'II_Inkunabeln+'!D89</f>
        <v>https://portal.dnb.de/opac.htm?method=simpleSearch&amp;cqlMode=true&amp;query=idn%3D1066965250</v>
      </c>
      <c r="E89" s="65" t="str">
        <f>'II_Inkunabeln+'!E89</f>
        <v>II 2,5c</v>
      </c>
      <c r="F89" s="65" t="str">
        <f>'II_Inkunabeln+'!H89</f>
        <v>bis 35 cm</v>
      </c>
      <c r="G89" s="93" t="str">
        <f>'II_Inkunabeln+'!X89</f>
        <v>L</v>
      </c>
      <c r="H89" s="93" t="str">
        <f>'II_Inkunabeln+'!AA89</f>
        <v>f/V</v>
      </c>
      <c r="I89" s="93">
        <f>'II_Inkunabeln+'!AC89</f>
        <v>0</v>
      </c>
      <c r="J89" s="94" t="s">
        <v>1633</v>
      </c>
      <c r="K89" s="93">
        <f>'II_Inkunabeln+'!AD89</f>
        <v>0</v>
      </c>
      <c r="L89" s="94" t="s">
        <v>1633</v>
      </c>
      <c r="M89" s="94" t="s">
        <v>1633</v>
      </c>
      <c r="N89" s="94" t="s">
        <v>1767</v>
      </c>
      <c r="O89" s="94">
        <v>1</v>
      </c>
      <c r="P89" s="94"/>
      <c r="Q89" s="94"/>
      <c r="R89" s="94"/>
      <c r="S89" s="94"/>
      <c r="T89" s="94"/>
      <c r="U89" s="94"/>
      <c r="V89" s="94"/>
      <c r="W89" s="94" t="str">
        <f>'II_Inkunabeln+'!BA89</f>
        <v>ja vor</v>
      </c>
      <c r="X89" s="108">
        <v>6</v>
      </c>
      <c r="Y89" s="93">
        <f>'II_Inkunabeln+'!BI89</f>
        <v>0</v>
      </c>
      <c r="Z89" s="81">
        <f>'II_Inkunabeln+'!BJ89</f>
        <v>0</v>
      </c>
    </row>
    <row r="90" spans="1:26" x14ac:dyDescent="0.25">
      <c r="A90" s="63">
        <f>'II_Inkunabeln+'!A90</f>
        <v>89</v>
      </c>
      <c r="B90" s="63" t="str">
        <f>'II_Inkunabeln+'!B90</f>
        <v>L-1486-315502827</v>
      </c>
      <c r="C90" s="63">
        <f>'II_Inkunabeln+'!C90</f>
        <v>1066972400</v>
      </c>
      <c r="D90" s="84" t="str">
        <f>'II_Inkunabeln+'!D90</f>
        <v>https://portal.dnb.de/opac.htm?method=simpleSearch&amp;cqlMode=true&amp;query=idn%3D1066972400</v>
      </c>
      <c r="E90" s="65" t="str">
        <f>'II_Inkunabeln+'!E90</f>
        <v>II 2,5g</v>
      </c>
      <c r="F90" s="65" t="str">
        <f>'II_Inkunabeln+'!H90</f>
        <v>bis 25 cm</v>
      </c>
      <c r="G90" s="93" t="str">
        <f>'II_Inkunabeln+'!X90</f>
        <v>HD</v>
      </c>
      <c r="H90" s="93" t="str">
        <f>'II_Inkunabeln+'!AA90</f>
        <v>f</v>
      </c>
      <c r="I90" s="93">
        <f>'II_Inkunabeln+'!AC90</f>
        <v>0</v>
      </c>
      <c r="J90" s="94"/>
      <c r="K90" s="93">
        <f>'II_Inkunabeln+'!AD90</f>
        <v>0</v>
      </c>
      <c r="L90" s="94"/>
      <c r="M90" s="94"/>
      <c r="N90" s="94"/>
      <c r="O90" s="94"/>
      <c r="P90" s="94"/>
      <c r="Q90" s="94"/>
      <c r="R90" s="94"/>
      <c r="S90" s="94"/>
      <c r="T90" s="94"/>
      <c r="U90" s="94"/>
      <c r="V90" s="94"/>
      <c r="W90" s="94" t="str">
        <f>'II_Inkunabeln+'!BA90</f>
        <v>n</v>
      </c>
      <c r="X90" s="108"/>
      <c r="Y90" s="93">
        <f>'II_Inkunabeln+'!BI90</f>
        <v>0</v>
      </c>
      <c r="Z90" s="81">
        <f>'II_Inkunabeln+'!BJ90</f>
        <v>0</v>
      </c>
    </row>
    <row r="91" spans="1:26" ht="23" x14ac:dyDescent="0.25">
      <c r="A91" s="63">
        <f>'II_Inkunabeln+'!A91</f>
        <v>90</v>
      </c>
      <c r="B91" s="63" t="str">
        <f>'II_Inkunabeln+'!B91</f>
        <v>L-1488-315497483</v>
      </c>
      <c r="C91" s="63">
        <f>'II_Inkunabeln+'!C91</f>
        <v>1066967210</v>
      </c>
      <c r="D91" s="84" t="str">
        <f>'II_Inkunabeln+'!D91</f>
        <v>https://portal.dnb.de/opac.htm?method=simpleSearch&amp;cqlMode=true&amp;query=idn%3D1066967210</v>
      </c>
      <c r="E91" s="65" t="str">
        <f>'II_Inkunabeln+'!E91</f>
        <v>II 2,5h</v>
      </c>
      <c r="F91" s="65" t="str">
        <f>'II_Inkunabeln+'!H91</f>
        <v>bis 35 cm</v>
      </c>
      <c r="G91" s="93" t="str">
        <f>'II_Inkunabeln+'!X91</f>
        <v>L</v>
      </c>
      <c r="H91" s="93" t="str">
        <f>'II_Inkunabeln+'!AA91</f>
        <v>f</v>
      </c>
      <c r="I91" s="93">
        <f>'II_Inkunabeln+'!AC91</f>
        <v>0</v>
      </c>
      <c r="J91" s="94"/>
      <c r="K91" s="93">
        <f>'II_Inkunabeln+'!AD91</f>
        <v>0</v>
      </c>
      <c r="L91" s="94"/>
      <c r="M91" s="94"/>
      <c r="N91" s="94"/>
      <c r="O91" s="94"/>
      <c r="P91" s="94"/>
      <c r="Q91" s="94"/>
      <c r="R91" s="94"/>
      <c r="S91" s="94"/>
      <c r="T91" s="94"/>
      <c r="U91" s="94"/>
      <c r="V91" s="94"/>
      <c r="W91" s="94" t="str">
        <f>'II_Inkunabeln+'!BA91</f>
        <v>n</v>
      </c>
      <c r="X91" s="108"/>
      <c r="Y91" s="93">
        <f>'II_Inkunabeln+'!BI91</f>
        <v>0</v>
      </c>
      <c r="Z91" s="81" t="str">
        <f>'II_Inkunabeln+'!BJ91</f>
        <v>geringerer Öffnungswinkel mindert "Bauch"</v>
      </c>
    </row>
    <row r="92" spans="1:26" ht="23" x14ac:dyDescent="0.25">
      <c r="A92" s="63">
        <f>'II_Inkunabeln+'!A92</f>
        <v>91</v>
      </c>
      <c r="B92" s="63" t="str">
        <f>'II_Inkunabeln+'!B92</f>
        <v>L-1489-326851933</v>
      </c>
      <c r="C92" s="63">
        <f>'II_Inkunabeln+'!C92</f>
        <v>1072051486</v>
      </c>
      <c r="D92" s="84" t="str">
        <f>'II_Inkunabeln+'!D92</f>
        <v>https://portal.dnb.de/opac.htm?method=simpleSearch&amp;cqlMode=true&amp;query=idn%3D1072051486</v>
      </c>
      <c r="E92" s="65" t="str">
        <f>'II_Inkunabeln+'!E92</f>
        <v>II 2,5k</v>
      </c>
      <c r="F92" s="65" t="str">
        <f>'II_Inkunabeln+'!H92</f>
        <v>bis 25 cm</v>
      </c>
      <c r="G92" s="93" t="str">
        <f>'II_Inkunabeln+'!X92</f>
        <v>L</v>
      </c>
      <c r="H92" s="93" t="str">
        <f>'II_Inkunabeln+'!AA92</f>
        <v>f</v>
      </c>
      <c r="I92" s="93">
        <f>'II_Inkunabeln+'!AC92</f>
        <v>0</v>
      </c>
      <c r="J92" s="94"/>
      <c r="K92" s="93">
        <f>'II_Inkunabeln+'!AD92</f>
        <v>0</v>
      </c>
      <c r="L92" s="94"/>
      <c r="M92" s="94"/>
      <c r="N92" s="94"/>
      <c r="O92" s="94"/>
      <c r="P92" s="94"/>
      <c r="Q92" s="94"/>
      <c r="R92" s="94"/>
      <c r="S92" s="94"/>
      <c r="T92" s="94"/>
      <c r="U92" s="94"/>
      <c r="V92" s="94"/>
      <c r="W92" s="94" t="str">
        <f>'II_Inkunabeln+'!BA92</f>
        <v>n</v>
      </c>
      <c r="X92" s="108"/>
      <c r="Y92" s="93">
        <f>'II_Inkunabeln+'!BI92</f>
        <v>0</v>
      </c>
      <c r="Z92" s="81" t="str">
        <f>'II_Inkunabeln+'!BJ92</f>
        <v>geringerer Öffnungswinkel mindert "Bauch"</v>
      </c>
    </row>
    <row r="93" spans="1:26" x14ac:dyDescent="0.25">
      <c r="A93" s="63">
        <f>'II_Inkunabeln+'!A93</f>
        <v>92</v>
      </c>
      <c r="B93" s="63" t="str">
        <f>'II_Inkunabeln+'!B93</f>
        <v>L-1490-315497548</v>
      </c>
      <c r="C93" s="63">
        <f>'II_Inkunabeln+'!C93</f>
        <v>1066967288</v>
      </c>
      <c r="D93" s="84" t="str">
        <f>'II_Inkunabeln+'!D93</f>
        <v>https://portal.dnb.de/opac.htm?method=simpleSearch&amp;cqlMode=true&amp;query=idn%3D1066967288</v>
      </c>
      <c r="E93" s="65" t="str">
        <f>'II_Inkunabeln+'!E93</f>
        <v>II 2,5l</v>
      </c>
      <c r="F93" s="65" t="str">
        <f>'II_Inkunabeln+'!H93</f>
        <v>bis 25 cm</v>
      </c>
      <c r="G93" s="93" t="str">
        <f>'II_Inkunabeln+'!X93</f>
        <v>HD</v>
      </c>
      <c r="H93" s="93" t="str">
        <f>'II_Inkunabeln+'!AA93</f>
        <v>f</v>
      </c>
      <c r="I93" s="93">
        <f>'II_Inkunabeln+'!AC93</f>
        <v>0</v>
      </c>
      <c r="J93" s="94"/>
      <c r="K93" s="93">
        <f>'II_Inkunabeln+'!AD93</f>
        <v>0</v>
      </c>
      <c r="L93" s="94"/>
      <c r="M93" s="94"/>
      <c r="N93" s="94"/>
      <c r="O93" s="94"/>
      <c r="P93" s="94"/>
      <c r="Q93" s="94"/>
      <c r="R93" s="94"/>
      <c r="S93" s="94"/>
      <c r="T93" s="94"/>
      <c r="U93" s="94"/>
      <c r="V93" s="94"/>
      <c r="W93" s="94" t="str">
        <f>'II_Inkunabeln+'!BA93</f>
        <v>n</v>
      </c>
      <c r="X93" s="108"/>
      <c r="Y93" s="93">
        <f>'II_Inkunabeln+'!BI93</f>
        <v>0</v>
      </c>
      <c r="Z93" s="81">
        <f>'II_Inkunabeln+'!BJ93</f>
        <v>0</v>
      </c>
    </row>
    <row r="94" spans="1:26" x14ac:dyDescent="0.25">
      <c r="A94" s="63">
        <f>'II_Inkunabeln+'!A94</f>
        <v>93</v>
      </c>
      <c r="B94" s="63" t="str">
        <f>'II_Inkunabeln+'!B94</f>
        <v>L-1476-315501839</v>
      </c>
      <c r="C94" s="63">
        <f>'II_Inkunabeln+'!C94</f>
        <v>1066971455</v>
      </c>
      <c r="D94" s="84" t="str">
        <f>'II_Inkunabeln+'!D94</f>
        <v>https://portal.dnb.de/opac.htm?method=simpleSearch&amp;cqlMode=true&amp;query=idn%3D1066971455</v>
      </c>
      <c r="E94" s="65" t="str">
        <f>'II_Inkunabeln+'!E94</f>
        <v>II 2,5n</v>
      </c>
      <c r="F94" s="65" t="str">
        <f>'II_Inkunabeln+'!H94</f>
        <v>bis 35 cm</v>
      </c>
      <c r="G94" s="93" t="str">
        <f>'II_Inkunabeln+'!X94</f>
        <v>G</v>
      </c>
      <c r="H94" s="93" t="str">
        <f>'II_Inkunabeln+'!AA94</f>
        <v>h</v>
      </c>
      <c r="I94" s="93">
        <f>'II_Inkunabeln+'!AC94</f>
        <v>0</v>
      </c>
      <c r="J94" s="94"/>
      <c r="K94" s="93">
        <f>'II_Inkunabeln+'!AD94</f>
        <v>0</v>
      </c>
      <c r="L94" s="94"/>
      <c r="M94" s="94"/>
      <c r="N94" s="94"/>
      <c r="O94" s="94"/>
      <c r="P94" s="94"/>
      <c r="Q94" s="94"/>
      <c r="R94" s="94"/>
      <c r="S94" s="94"/>
      <c r="T94" s="94"/>
      <c r="U94" s="94"/>
      <c r="V94" s="94"/>
      <c r="W94" s="94" t="str">
        <f>'II_Inkunabeln+'!BA94</f>
        <v>n</v>
      </c>
      <c r="X94" s="108"/>
      <c r="Y94" s="93">
        <f>'II_Inkunabeln+'!BI94</f>
        <v>0</v>
      </c>
      <c r="Z94" s="81">
        <f>'II_Inkunabeln+'!BJ94</f>
        <v>0</v>
      </c>
    </row>
    <row r="95" spans="1:26" x14ac:dyDescent="0.25">
      <c r="A95" s="63">
        <f>'II_Inkunabeln+'!A95</f>
        <v>94</v>
      </c>
      <c r="B95" s="63" t="str">
        <f>'II_Inkunabeln+'!B95</f>
        <v>L-9999-316397652</v>
      </c>
      <c r="C95" s="63">
        <f>'II_Inkunabeln+'!C95</f>
        <v>1067436936</v>
      </c>
      <c r="D95" s="84" t="str">
        <f>'II_Inkunabeln+'!D95</f>
        <v>https://portal.dnb.de/opac.htm?method=simpleSearch&amp;cqlMode=true&amp;query=idn%3D1067436936</v>
      </c>
      <c r="E95" s="65" t="str">
        <f>'II_Inkunabeln+'!E95</f>
        <v>II 2,5o - Fragm</v>
      </c>
      <c r="F95" s="65">
        <f>'II_Inkunabeln+'!H95</f>
        <v>0</v>
      </c>
      <c r="G95" s="93">
        <f>'II_Inkunabeln+'!X95</f>
        <v>0</v>
      </c>
      <c r="H95" s="93">
        <f>'II_Inkunabeln+'!AA95</f>
        <v>0</v>
      </c>
      <c r="I95" s="93">
        <f>'II_Inkunabeln+'!AC95</f>
        <v>0</v>
      </c>
      <c r="J95" s="94"/>
      <c r="K95" s="93">
        <f>'II_Inkunabeln+'!AD95</f>
        <v>0</v>
      </c>
      <c r="L95" s="94"/>
      <c r="M95" s="94"/>
      <c r="N95" s="94"/>
      <c r="O95" s="94"/>
      <c r="P95" s="94"/>
      <c r="Q95" s="94"/>
      <c r="R95" s="94"/>
      <c r="S95" s="94"/>
      <c r="T95" s="94"/>
      <c r="U95" s="94"/>
      <c r="V95" s="94"/>
      <c r="W95" s="94">
        <f>'II_Inkunabeln+'!BA95</f>
        <v>0</v>
      </c>
      <c r="X95" s="108"/>
      <c r="Y95" s="93">
        <f>'II_Inkunabeln+'!BI95</f>
        <v>0</v>
      </c>
      <c r="Z95" s="81">
        <f>'II_Inkunabeln+'!BJ95</f>
        <v>0</v>
      </c>
    </row>
    <row r="96" spans="1:26" x14ac:dyDescent="0.25">
      <c r="A96" s="63">
        <f>'II_Inkunabeln+'!A96</f>
        <v>95</v>
      </c>
      <c r="B96" s="63" t="str">
        <f>'II_Inkunabeln+'!B96</f>
        <v>L-1477-315497262</v>
      </c>
      <c r="C96" s="63">
        <f>'II_Inkunabeln+'!C96</f>
        <v>1066966966</v>
      </c>
      <c r="D96" s="84" t="str">
        <f>'II_Inkunabeln+'!D96</f>
        <v>https://portal.dnb.de/opac.htm?method=simpleSearch&amp;cqlMode=true&amp;query=idn%3D1066966966</v>
      </c>
      <c r="E96" s="65" t="str">
        <f>'II_Inkunabeln+'!E96</f>
        <v>II 2,5p</v>
      </c>
      <c r="F96" s="65" t="str">
        <f>'II_Inkunabeln+'!H96</f>
        <v>bis 35 cm</v>
      </c>
      <c r="G96" s="93">
        <f>'II_Inkunabeln+'!X96</f>
        <v>0</v>
      </c>
      <c r="H96" s="93">
        <f>'II_Inkunabeln+'!AA96</f>
        <v>0</v>
      </c>
      <c r="I96" s="93">
        <f>'II_Inkunabeln+'!AC96</f>
        <v>0</v>
      </c>
      <c r="J96" s="94"/>
      <c r="K96" s="93">
        <f>'II_Inkunabeln+'!AD96</f>
        <v>0</v>
      </c>
      <c r="L96" s="94"/>
      <c r="M96" s="94"/>
      <c r="N96" s="94"/>
      <c r="O96" s="94"/>
      <c r="P96" s="94"/>
      <c r="Q96" s="94"/>
      <c r="R96" s="94"/>
      <c r="S96" s="94"/>
      <c r="T96" s="94"/>
      <c r="U96" s="94"/>
      <c r="V96" s="94"/>
      <c r="W96" s="94">
        <f>'II_Inkunabeln+'!BA96</f>
        <v>0</v>
      </c>
      <c r="X96" s="108"/>
      <c r="Y96" s="93">
        <f>'II_Inkunabeln+'!BI96</f>
        <v>0</v>
      </c>
      <c r="Z96" s="81">
        <f>'II_Inkunabeln+'!BJ96</f>
        <v>0</v>
      </c>
    </row>
    <row r="97" spans="1:26" x14ac:dyDescent="0.25">
      <c r="A97" s="63">
        <f>'II_Inkunabeln+'!A97</f>
        <v>96</v>
      </c>
      <c r="B97" s="63" t="str">
        <f>'II_Inkunabeln+'!B97</f>
        <v>L-1475-315498676</v>
      </c>
      <c r="C97" s="63" t="str">
        <f>'II_Inkunabeln+'!C97</f>
        <v>106696842X</v>
      </c>
      <c r="D97" s="84" t="str">
        <f>'II_Inkunabeln+'!D97</f>
        <v>https://portal.dnb.de/opac.htm?method=simpleSearch&amp;cqlMode=true&amp;query=idn%3D106696842X</v>
      </c>
      <c r="E97" s="65" t="str">
        <f>'II_Inkunabeln+'!E97</f>
        <v>II 2,6a</v>
      </c>
      <c r="F97" s="65" t="str">
        <f>'II_Inkunabeln+'!H97</f>
        <v>bis 35 cm</v>
      </c>
      <c r="G97" s="93">
        <f>'II_Inkunabeln+'!X97</f>
        <v>0</v>
      </c>
      <c r="H97" s="93">
        <f>'II_Inkunabeln+'!AA97</f>
        <v>0</v>
      </c>
      <c r="I97" s="93">
        <f>'II_Inkunabeln+'!AC97</f>
        <v>0</v>
      </c>
      <c r="J97" s="94"/>
      <c r="K97" s="93">
        <f>'II_Inkunabeln+'!AD97</f>
        <v>0</v>
      </c>
      <c r="L97" s="94"/>
      <c r="M97" s="94"/>
      <c r="N97" s="94"/>
      <c r="O97" s="94"/>
      <c r="P97" s="94"/>
      <c r="Q97" s="94"/>
      <c r="R97" s="94"/>
      <c r="S97" s="94"/>
      <c r="T97" s="94"/>
      <c r="U97" s="94"/>
      <c r="V97" s="94"/>
      <c r="W97" s="94">
        <f>'II_Inkunabeln+'!BA97</f>
        <v>0</v>
      </c>
      <c r="X97" s="108"/>
      <c r="Y97" s="93">
        <f>'II_Inkunabeln+'!BI97</f>
        <v>0</v>
      </c>
      <c r="Z97" s="81">
        <f>'II_Inkunabeln+'!BJ97</f>
        <v>0</v>
      </c>
    </row>
    <row r="98" spans="1:26" x14ac:dyDescent="0.25">
      <c r="A98" s="63">
        <f>'II_Inkunabeln+'!A98</f>
        <v>97</v>
      </c>
      <c r="B98" s="63" t="str">
        <f>'II_Inkunabeln+'!B98</f>
        <v>L-1477-315499346</v>
      </c>
      <c r="C98" s="63">
        <f>'II_Inkunabeln+'!C98</f>
        <v>1066969051</v>
      </c>
      <c r="D98" s="84" t="str">
        <f>'II_Inkunabeln+'!D98</f>
        <v>https://portal.dnb.de/opac.htm?method=simpleSearch&amp;cqlMode=true&amp;query=idn%3D1066969051</v>
      </c>
      <c r="E98" s="65" t="str">
        <f>'II_Inkunabeln+'!E98</f>
        <v>II 2,7a</v>
      </c>
      <c r="F98" s="65" t="str">
        <f>'II_Inkunabeln+'!H98</f>
        <v>bis 35 cm</v>
      </c>
      <c r="G98" s="93">
        <f>'II_Inkunabeln+'!X98</f>
        <v>0</v>
      </c>
      <c r="H98" s="93">
        <f>'II_Inkunabeln+'!AA98</f>
        <v>0</v>
      </c>
      <c r="I98" s="93">
        <f>'II_Inkunabeln+'!AC98</f>
        <v>0</v>
      </c>
      <c r="J98" s="94"/>
      <c r="K98" s="93">
        <f>'II_Inkunabeln+'!AD98</f>
        <v>0</v>
      </c>
      <c r="L98" s="94"/>
      <c r="M98" s="94"/>
      <c r="N98" s="94"/>
      <c r="O98" s="94"/>
      <c r="P98" s="94"/>
      <c r="Q98" s="94"/>
      <c r="R98" s="94"/>
      <c r="S98" s="94"/>
      <c r="T98" s="94"/>
      <c r="U98" s="94"/>
      <c r="V98" s="94"/>
      <c r="W98" s="94">
        <f>'II_Inkunabeln+'!BA98</f>
        <v>0</v>
      </c>
      <c r="X98" s="108"/>
      <c r="Y98" s="93">
        <f>'II_Inkunabeln+'!BI98</f>
        <v>0</v>
      </c>
      <c r="Z98" s="81">
        <f>'II_Inkunabeln+'!BJ98</f>
        <v>0</v>
      </c>
    </row>
    <row r="99" spans="1:26" x14ac:dyDescent="0.25">
      <c r="A99" s="63">
        <f>'II_Inkunabeln+'!A99</f>
        <v>0</v>
      </c>
      <c r="B99" s="63">
        <f>'II_Inkunabeln+'!B99</f>
        <v>0</v>
      </c>
      <c r="C99" s="63">
        <f>'II_Inkunabeln+'!C99</f>
        <v>0</v>
      </c>
      <c r="D99" s="84">
        <f>'II_Inkunabeln+'!D99</f>
        <v>0</v>
      </c>
      <c r="E99" s="65" t="str">
        <f>'II_Inkunabeln+'!E99</f>
        <v>II 2,7a - 1</v>
      </c>
      <c r="F99" s="65" t="str">
        <f>'II_Inkunabeln+'!H99</f>
        <v>bis 35 cm</v>
      </c>
      <c r="G99" s="93">
        <f>'II_Inkunabeln+'!X99</f>
        <v>0</v>
      </c>
      <c r="H99" s="93">
        <f>'II_Inkunabeln+'!AA99</f>
        <v>0</v>
      </c>
      <c r="I99" s="93">
        <f>'II_Inkunabeln+'!AC99</f>
        <v>0</v>
      </c>
      <c r="J99" s="94"/>
      <c r="K99" s="93">
        <f>'II_Inkunabeln+'!AD99</f>
        <v>0</v>
      </c>
      <c r="L99" s="94"/>
      <c r="M99" s="94"/>
      <c r="N99" s="94"/>
      <c r="O99" s="94"/>
      <c r="P99" s="94"/>
      <c r="Q99" s="94"/>
      <c r="R99" s="94"/>
      <c r="S99" s="94"/>
      <c r="T99" s="94"/>
      <c r="U99" s="94"/>
      <c r="V99" s="94"/>
      <c r="W99" s="94">
        <f>'II_Inkunabeln+'!BA99</f>
        <v>0</v>
      </c>
      <c r="X99" s="108"/>
      <c r="Y99" s="93">
        <f>'II_Inkunabeln+'!BI99</f>
        <v>0</v>
      </c>
      <c r="Z99" s="81">
        <f>'II_Inkunabeln+'!BJ99</f>
        <v>0</v>
      </c>
    </row>
    <row r="100" spans="1:26" x14ac:dyDescent="0.25">
      <c r="A100" s="63">
        <f>'II_Inkunabeln+'!A100</f>
        <v>0</v>
      </c>
      <c r="B100" s="63">
        <f>'II_Inkunabeln+'!B100</f>
        <v>0</v>
      </c>
      <c r="C100" s="63">
        <f>'II_Inkunabeln+'!C100</f>
        <v>0</v>
      </c>
      <c r="D100" s="84">
        <f>'II_Inkunabeln+'!D100</f>
        <v>0</v>
      </c>
      <c r="E100" s="65" t="str">
        <f>'II_Inkunabeln+'!E100</f>
        <v>II 2,7a - 2</v>
      </c>
      <c r="F100" s="65" t="str">
        <f>'II_Inkunabeln+'!H100</f>
        <v>bis 35 cm</v>
      </c>
      <c r="G100" s="93" t="str">
        <f>'II_Inkunabeln+'!X100</f>
        <v>HD</v>
      </c>
      <c r="H100" s="93" t="str">
        <f>'II_Inkunabeln+'!AA100</f>
        <v>f</v>
      </c>
      <c r="I100" s="93">
        <f>'II_Inkunabeln+'!AC100</f>
        <v>0</v>
      </c>
      <c r="J100" s="94"/>
      <c r="K100" s="93">
        <f>'II_Inkunabeln+'!AD100</f>
        <v>0</v>
      </c>
      <c r="L100" s="94"/>
      <c r="M100" s="94"/>
      <c r="N100" s="94"/>
      <c r="O100" s="94"/>
      <c r="P100" s="94"/>
      <c r="Q100" s="94"/>
      <c r="R100" s="94"/>
      <c r="S100" s="94"/>
      <c r="T100" s="94"/>
      <c r="U100" s="94"/>
      <c r="V100" s="94"/>
      <c r="W100" s="94" t="str">
        <f>'II_Inkunabeln+'!BA100</f>
        <v>n</v>
      </c>
      <c r="X100" s="108"/>
      <c r="Y100" s="93">
        <f>'II_Inkunabeln+'!BI100</f>
        <v>0</v>
      </c>
      <c r="Z100" s="81" t="str">
        <f>'II_Inkunabeln+'!BJ100</f>
        <v>Originaleinband</v>
      </c>
    </row>
    <row r="101" spans="1:26" ht="23" x14ac:dyDescent="0.25">
      <c r="A101" s="63">
        <f>'II_Inkunabeln+'!A101</f>
        <v>0</v>
      </c>
      <c r="B101" s="63">
        <f>'II_Inkunabeln+'!B101</f>
        <v>0</v>
      </c>
      <c r="C101" s="63">
        <f>'II_Inkunabeln+'!C101</f>
        <v>0</v>
      </c>
      <c r="D101" s="84">
        <f>'II_Inkunabeln+'!D101</f>
        <v>0</v>
      </c>
      <c r="E101" s="65" t="str">
        <f>'II_Inkunabeln+'!E101</f>
        <v>II 2,7a - 5</v>
      </c>
      <c r="F101" s="65" t="str">
        <f>'II_Inkunabeln+'!H101</f>
        <v>bis 35 cm</v>
      </c>
      <c r="G101" s="93" t="str">
        <f>'II_Inkunabeln+'!X101</f>
        <v>HD</v>
      </c>
      <c r="H101" s="93" t="str">
        <f>'II_Inkunabeln+'!AA101</f>
        <v>f</v>
      </c>
      <c r="I101" s="93">
        <f>'II_Inkunabeln+'!AC101</f>
        <v>0</v>
      </c>
      <c r="J101" s="94"/>
      <c r="K101" s="93">
        <f>'II_Inkunabeln+'!AD101</f>
        <v>0</v>
      </c>
      <c r="L101" s="94"/>
      <c r="M101" s="94"/>
      <c r="N101" s="94"/>
      <c r="O101" s="94"/>
      <c r="P101" s="94"/>
      <c r="Q101" s="94"/>
      <c r="R101" s="94" t="s">
        <v>1768</v>
      </c>
      <c r="S101" s="94"/>
      <c r="T101" s="94"/>
      <c r="U101" s="94"/>
      <c r="V101" s="94"/>
      <c r="W101" s="94" t="str">
        <f>'II_Inkunabeln+'!BA101</f>
        <v>ja vor</v>
      </c>
      <c r="X101" s="108">
        <v>1</v>
      </c>
      <c r="Y101" s="93">
        <f>'II_Inkunabeln+'!BI101</f>
        <v>0</v>
      </c>
      <c r="Z101" s="81" t="str">
        <f>'II_Inkunabeln+'!BJ101</f>
        <v>Originaleinband; es gibt 2 Bücher unter dieser Signatur</v>
      </c>
    </row>
    <row r="102" spans="1:26" ht="23" x14ac:dyDescent="0.25">
      <c r="A102" s="63">
        <f>'II_Inkunabeln+'!A102</f>
        <v>0</v>
      </c>
      <c r="B102" s="63">
        <f>'II_Inkunabeln+'!B102</f>
        <v>0</v>
      </c>
      <c r="C102" s="63">
        <f>'II_Inkunabeln+'!C102</f>
        <v>0</v>
      </c>
      <c r="D102" s="84">
        <f>'II_Inkunabeln+'!D102</f>
        <v>0</v>
      </c>
      <c r="E102" s="65" t="str">
        <f>'II_Inkunabeln+'!E102</f>
        <v>II 2,7a - 5</v>
      </c>
      <c r="F102" s="65" t="str">
        <f>'II_Inkunabeln+'!H102</f>
        <v>bis 35 cm</v>
      </c>
      <c r="G102" s="93" t="str">
        <f>'II_Inkunabeln+'!X102</f>
        <v>HD</v>
      </c>
      <c r="H102" s="93" t="str">
        <f>'II_Inkunabeln+'!AA102</f>
        <v>f</v>
      </c>
      <c r="I102" s="93">
        <f>'II_Inkunabeln+'!AC102</f>
        <v>0</v>
      </c>
      <c r="J102" s="94"/>
      <c r="K102" s="93">
        <f>'II_Inkunabeln+'!AD102</f>
        <v>0</v>
      </c>
      <c r="L102" s="94"/>
      <c r="M102" s="94"/>
      <c r="N102" s="94"/>
      <c r="O102" s="94"/>
      <c r="P102" s="94"/>
      <c r="Q102" s="94"/>
      <c r="R102" s="94"/>
      <c r="S102" s="94"/>
      <c r="T102" s="94"/>
      <c r="U102" s="94"/>
      <c r="V102" s="94"/>
      <c r="W102" s="94" t="str">
        <f>'II_Inkunabeln+'!BA102</f>
        <v>n</v>
      </c>
      <c r="X102" s="108"/>
      <c r="Y102" s="93">
        <f>'II_Inkunabeln+'!BI102</f>
        <v>0</v>
      </c>
      <c r="Z102" s="81" t="str">
        <f>'II_Inkunabeln+'!BJ102</f>
        <v>Originaleinband; es gibt 2 Bücher unter dieser Signatur</v>
      </c>
    </row>
    <row r="103" spans="1:26" x14ac:dyDescent="0.25">
      <c r="A103" s="63">
        <f>'II_Inkunabeln+'!A103</f>
        <v>98</v>
      </c>
      <c r="B103" s="63" t="str">
        <f>'II_Inkunabeln+'!B103</f>
        <v>L-1477-315497076</v>
      </c>
      <c r="C103" s="63">
        <f>'II_Inkunabeln+'!C103</f>
        <v>1066966761</v>
      </c>
      <c r="D103" s="84" t="str">
        <f>'II_Inkunabeln+'!D103</f>
        <v>https://portal.dnb.de/opac.htm?method=simpleSearch&amp;cqlMode=true&amp;query=idn%3D1066966761</v>
      </c>
      <c r="E103" s="65" t="str">
        <f>'II_Inkunabeln+'!E103</f>
        <v>II 2,7b</v>
      </c>
      <c r="F103" s="65" t="str">
        <f>'II_Inkunabeln+'!H103</f>
        <v>bis 35 cm</v>
      </c>
      <c r="G103" s="93" t="str">
        <f>'II_Inkunabeln+'!X103</f>
        <v>L</v>
      </c>
      <c r="H103" s="93" t="str">
        <f>'II_Inkunabeln+'!AA103</f>
        <v>h/E</v>
      </c>
      <c r="I103" s="93">
        <f>'II_Inkunabeln+'!AC103</f>
        <v>0</v>
      </c>
      <c r="J103" s="94"/>
      <c r="K103" s="93">
        <f>'II_Inkunabeln+'!AD103</f>
        <v>0</v>
      </c>
      <c r="L103" s="94"/>
      <c r="M103" s="94" t="s">
        <v>1633</v>
      </c>
      <c r="N103" s="94"/>
      <c r="O103" s="94"/>
      <c r="P103" s="94"/>
      <c r="Q103" s="94"/>
      <c r="R103" s="94"/>
      <c r="S103" s="94"/>
      <c r="T103" s="94"/>
      <c r="U103" s="94"/>
      <c r="V103" s="94"/>
      <c r="W103" s="94" t="str">
        <f>'II_Inkunabeln+'!BA103</f>
        <v>ja vor</v>
      </c>
      <c r="X103" s="108">
        <v>0.5</v>
      </c>
      <c r="Y103" s="93">
        <f>'II_Inkunabeln+'!BI103</f>
        <v>0</v>
      </c>
      <c r="Z103" s="81">
        <f>'II_Inkunabeln+'!BJ103</f>
        <v>0</v>
      </c>
    </row>
    <row r="104" spans="1:26" x14ac:dyDescent="0.25">
      <c r="A104" s="63">
        <f>'II_Inkunabeln+'!A104</f>
        <v>99</v>
      </c>
      <c r="B104" s="63" t="str">
        <f>'II_Inkunabeln+'!B104</f>
        <v>L-1478-31550353X</v>
      </c>
      <c r="C104" s="63">
        <f>'II_Inkunabeln+'!C104</f>
        <v>1066973148</v>
      </c>
      <c r="D104" s="84" t="str">
        <f>'II_Inkunabeln+'!D104</f>
        <v>https://portal.dnb.de/opac.htm?method=simpleSearch&amp;cqlMode=true&amp;query=idn%3D1066973148</v>
      </c>
      <c r="E104" s="65" t="str">
        <f>'II_Inkunabeln+'!E104</f>
        <v>II 2,9a</v>
      </c>
      <c r="F104" s="65" t="str">
        <f>'II_Inkunabeln+'!H104</f>
        <v>bis 35 cm</v>
      </c>
      <c r="G104" s="93" t="str">
        <f>'II_Inkunabeln+'!X104</f>
        <v>Pg</v>
      </c>
      <c r="H104" s="93" t="str">
        <f>'II_Inkunabeln+'!AA104</f>
        <v>h</v>
      </c>
      <c r="I104" s="93">
        <f>'II_Inkunabeln+'!AC104</f>
        <v>0</v>
      </c>
      <c r="J104" s="94"/>
      <c r="K104" s="93">
        <f>'II_Inkunabeln+'!AD104</f>
        <v>0</v>
      </c>
      <c r="L104" s="94"/>
      <c r="M104" s="94"/>
      <c r="N104" s="94"/>
      <c r="O104" s="94"/>
      <c r="P104" s="94"/>
      <c r="Q104" s="94"/>
      <c r="R104" s="94"/>
      <c r="S104" s="94"/>
      <c r="T104" s="94"/>
      <c r="U104" s="94"/>
      <c r="V104" s="94"/>
      <c r="W104" s="94" t="str">
        <f>'II_Inkunabeln+'!BA104</f>
        <v>n</v>
      </c>
      <c r="X104" s="108"/>
      <c r="Y104" s="93">
        <f>'II_Inkunabeln+'!BI104</f>
        <v>0</v>
      </c>
      <c r="Z104" s="81">
        <f>'II_Inkunabeln+'!BJ104</f>
        <v>0</v>
      </c>
    </row>
    <row r="105" spans="1:26" x14ac:dyDescent="0.25">
      <c r="A105" s="63">
        <f>'II_Inkunabeln+'!A105</f>
        <v>100</v>
      </c>
      <c r="B105" s="63" t="str">
        <f>'II_Inkunabeln+'!B105</f>
        <v>L-1484-315500123</v>
      </c>
      <c r="C105" s="63">
        <f>'II_Inkunabeln+'!C105</f>
        <v>1066969787</v>
      </c>
      <c r="D105" s="84" t="str">
        <f>'II_Inkunabeln+'!D105</f>
        <v>https://portal.dnb.de/opac.htm?method=simpleSearch&amp;cqlMode=true&amp;query=idn%3D1066969787</v>
      </c>
      <c r="E105" s="65" t="str">
        <f>'II_Inkunabeln+'!E105</f>
        <v>II 2,10a</v>
      </c>
      <c r="F105" s="65" t="str">
        <f>'II_Inkunabeln+'!H105</f>
        <v>bis 35 cm</v>
      </c>
      <c r="G105" s="93" t="str">
        <f>'II_Inkunabeln+'!X105</f>
        <v>HD</v>
      </c>
      <c r="H105" s="93" t="str">
        <f>'II_Inkunabeln+'!AA105</f>
        <v>f</v>
      </c>
      <c r="I105" s="93">
        <f>'II_Inkunabeln+'!AC105</f>
        <v>0</v>
      </c>
      <c r="J105" s="94"/>
      <c r="K105" s="93">
        <f>'II_Inkunabeln+'!AD105</f>
        <v>0</v>
      </c>
      <c r="L105" s="94"/>
      <c r="M105" s="94"/>
      <c r="N105" s="94"/>
      <c r="O105" s="94"/>
      <c r="P105" s="94"/>
      <c r="Q105" s="94"/>
      <c r="R105" s="94"/>
      <c r="S105" s="94"/>
      <c r="T105" s="94"/>
      <c r="U105" s="94"/>
      <c r="V105" s="94"/>
      <c r="W105" s="94" t="str">
        <f>'II_Inkunabeln+'!BA105</f>
        <v>n</v>
      </c>
      <c r="X105" s="108"/>
      <c r="Y105" s="93">
        <f>'II_Inkunabeln+'!BI105</f>
        <v>0</v>
      </c>
      <c r="Z105" s="81">
        <f>'II_Inkunabeln+'!BJ105</f>
        <v>0</v>
      </c>
    </row>
    <row r="106" spans="1:26" x14ac:dyDescent="0.25">
      <c r="A106" s="63">
        <f>'II_Inkunabeln+'!A106</f>
        <v>101</v>
      </c>
      <c r="B106" s="63" t="str">
        <f>'II_Inkunabeln+'!B106</f>
        <v>L-1495-315497416</v>
      </c>
      <c r="C106" s="63">
        <f>'II_Inkunabeln+'!C106</f>
        <v>1066967156</v>
      </c>
      <c r="D106" s="84" t="str">
        <f>'II_Inkunabeln+'!D106</f>
        <v>https://portal.dnb.de/opac.htm?method=simpleSearch&amp;cqlMode=true&amp;query=idn%3D1066967156</v>
      </c>
      <c r="E106" s="65" t="str">
        <f>'II_Inkunabeln+'!E106</f>
        <v>II 2,11a</v>
      </c>
      <c r="F106" s="65" t="str">
        <f>'II_Inkunabeln+'!H106</f>
        <v>bis 25 cm</v>
      </c>
      <c r="G106" s="93" t="str">
        <f>'II_Inkunabeln+'!X106</f>
        <v>L</v>
      </c>
      <c r="H106" s="93" t="str">
        <f>'II_Inkunabeln+'!AA106</f>
        <v>h</v>
      </c>
      <c r="I106" s="93">
        <f>'II_Inkunabeln+'!AC106</f>
        <v>0</v>
      </c>
      <c r="J106" s="94"/>
      <c r="K106" s="93">
        <f>'II_Inkunabeln+'!AD106</f>
        <v>0</v>
      </c>
      <c r="L106" s="94"/>
      <c r="M106" s="94"/>
      <c r="N106" s="94"/>
      <c r="O106" s="94"/>
      <c r="P106" s="94"/>
      <c r="Q106" s="94"/>
      <c r="R106" s="94"/>
      <c r="S106" s="94"/>
      <c r="T106" s="94"/>
      <c r="U106" s="94"/>
      <c r="V106" s="94"/>
      <c r="W106" s="94" t="str">
        <f>'II_Inkunabeln+'!BA106</f>
        <v>n</v>
      </c>
      <c r="X106" s="108"/>
      <c r="Y106" s="93">
        <f>'II_Inkunabeln+'!BI106</f>
        <v>0</v>
      </c>
      <c r="Z106" s="81">
        <f>'II_Inkunabeln+'!BJ106</f>
        <v>0</v>
      </c>
    </row>
    <row r="107" spans="1:26" x14ac:dyDescent="0.25">
      <c r="A107" s="63">
        <f>'II_Inkunabeln+'!A107</f>
        <v>102</v>
      </c>
      <c r="B107" s="63" t="str">
        <f>'II_Inkunabeln+'!B107</f>
        <v>L-1497-315502525</v>
      </c>
      <c r="C107" s="63">
        <f>'II_Inkunabeln+'!C107</f>
        <v>1066972109</v>
      </c>
      <c r="D107" s="84" t="str">
        <f>'II_Inkunabeln+'!D107</f>
        <v>https://portal.dnb.de/opac.htm?method=simpleSearch&amp;cqlMode=true&amp;query=idn%3D1066972109</v>
      </c>
      <c r="E107" s="65" t="str">
        <f>'II_Inkunabeln+'!E107</f>
        <v>II 2,11d</v>
      </c>
      <c r="F107" s="65" t="str">
        <f>'II_Inkunabeln+'!H107</f>
        <v>bis 35 cm</v>
      </c>
      <c r="G107" s="93" t="str">
        <f>'II_Inkunabeln+'!X107</f>
        <v>HL</v>
      </c>
      <c r="H107" s="93" t="str">
        <f>'II_Inkunabeln+'!AA107</f>
        <v>h/E</v>
      </c>
      <c r="I107" s="93">
        <f>'II_Inkunabeln+'!AC107</f>
        <v>0</v>
      </c>
      <c r="J107" s="94"/>
      <c r="K107" s="93">
        <f>'II_Inkunabeln+'!AD107</f>
        <v>0</v>
      </c>
      <c r="L107" s="94"/>
      <c r="M107" s="94"/>
      <c r="N107" s="94"/>
      <c r="O107" s="94"/>
      <c r="P107" s="94"/>
      <c r="Q107" s="94"/>
      <c r="R107" s="94"/>
      <c r="S107" s="94"/>
      <c r="T107" s="94"/>
      <c r="U107" s="94"/>
      <c r="V107" s="94"/>
      <c r="W107" s="94" t="str">
        <f>'II_Inkunabeln+'!BA107</f>
        <v>n</v>
      </c>
      <c r="X107" s="108"/>
      <c r="Y107" s="93">
        <f>'II_Inkunabeln+'!BI107</f>
        <v>0</v>
      </c>
      <c r="Z107" s="81">
        <f>'II_Inkunabeln+'!BJ107</f>
        <v>0</v>
      </c>
    </row>
    <row r="108" spans="1:26" x14ac:dyDescent="0.25">
      <c r="A108" s="63">
        <f>'II_Inkunabeln+'!A108</f>
        <v>103</v>
      </c>
      <c r="B108" s="63" t="str">
        <f>'II_Inkunabeln+'!B108</f>
        <v>L-1491-326852190</v>
      </c>
      <c r="C108" s="63" t="str">
        <f>'II_Inkunabeln+'!C108</f>
        <v>107205194X</v>
      </c>
      <c r="D108" s="84" t="str">
        <f>'II_Inkunabeln+'!D108</f>
        <v>https://portal.dnb.de/opac.htm?method=simpleSearch&amp;cqlMode=true&amp;query=idn%3D107205194X</v>
      </c>
      <c r="E108" s="65" t="str">
        <f>'II_Inkunabeln+'!E108</f>
        <v>II 2,15c</v>
      </c>
      <c r="F108" s="65">
        <f>'II_Inkunabeln+'!H108</f>
        <v>0</v>
      </c>
      <c r="G108" s="93">
        <f>'II_Inkunabeln+'!X108</f>
        <v>0</v>
      </c>
      <c r="H108" s="93">
        <f>'II_Inkunabeln+'!AA108</f>
        <v>0</v>
      </c>
      <c r="I108" s="93">
        <f>'II_Inkunabeln+'!AC108</f>
        <v>0</v>
      </c>
      <c r="J108" s="94"/>
      <c r="K108" s="93">
        <f>'II_Inkunabeln+'!AD108</f>
        <v>0</v>
      </c>
      <c r="L108" s="94"/>
      <c r="M108" s="94"/>
      <c r="N108" s="94"/>
      <c r="O108" s="94"/>
      <c r="P108" s="94"/>
      <c r="Q108" s="94"/>
      <c r="R108" s="94"/>
      <c r="S108" s="94"/>
      <c r="T108" s="94"/>
      <c r="U108" s="94"/>
      <c r="V108" s="94"/>
      <c r="W108" s="94">
        <f>'II_Inkunabeln+'!BA108</f>
        <v>0</v>
      </c>
      <c r="X108" s="108"/>
      <c r="Y108" s="93">
        <f>'II_Inkunabeln+'!BI108</f>
        <v>0</v>
      </c>
      <c r="Z108" s="81">
        <f>'II_Inkunabeln+'!BJ108</f>
        <v>0</v>
      </c>
    </row>
    <row r="109" spans="1:26" x14ac:dyDescent="0.25">
      <c r="A109" s="63">
        <f>'II_Inkunabeln+'!A109</f>
        <v>104</v>
      </c>
      <c r="B109" s="63" t="str">
        <f>'II_Inkunabeln+'!B109</f>
        <v>L-1499-315502207</v>
      </c>
      <c r="C109" s="63">
        <f>'II_Inkunabeln+'!C109</f>
        <v>1066971803</v>
      </c>
      <c r="D109" s="84" t="str">
        <f>'II_Inkunabeln+'!D109</f>
        <v>https://portal.dnb.de/opac.htm?method=simpleSearch&amp;cqlMode=true&amp;query=idn%3D1066971803</v>
      </c>
      <c r="E109" s="65" t="str">
        <f>'II_Inkunabeln+'!E109</f>
        <v>II 2,15d</v>
      </c>
      <c r="F109" s="65" t="str">
        <f>'II_Inkunabeln+'!H109</f>
        <v>bis 25 cm</v>
      </c>
      <c r="G109" s="93" t="str">
        <f>'II_Inkunabeln+'!X109</f>
        <v>HD</v>
      </c>
      <c r="H109" s="93" t="str">
        <f>'II_Inkunabeln+'!AA109</f>
        <v>f</v>
      </c>
      <c r="I109" s="93">
        <f>'II_Inkunabeln+'!AC109</f>
        <v>0</v>
      </c>
      <c r="J109" s="94"/>
      <c r="K109" s="93">
        <f>'II_Inkunabeln+'!AD109</f>
        <v>0</v>
      </c>
      <c r="L109" s="94"/>
      <c r="M109" s="94"/>
      <c r="N109" s="94"/>
      <c r="O109" s="94"/>
      <c r="P109" s="94"/>
      <c r="Q109" s="94"/>
      <c r="R109" s="94"/>
      <c r="S109" s="94"/>
      <c r="T109" s="94"/>
      <c r="U109" s="94"/>
      <c r="V109" s="94"/>
      <c r="W109" s="94" t="str">
        <f>'II_Inkunabeln+'!BA109</f>
        <v>n</v>
      </c>
      <c r="X109" s="108"/>
      <c r="Y109" s="93">
        <f>'II_Inkunabeln+'!BI109</f>
        <v>0</v>
      </c>
      <c r="Z109" s="81">
        <f>'II_Inkunabeln+'!BJ109</f>
        <v>0</v>
      </c>
    </row>
    <row r="110" spans="1:26" x14ac:dyDescent="0.25">
      <c r="A110" s="63">
        <f>'II_Inkunabeln+'!A110</f>
        <v>105</v>
      </c>
      <c r="B110" s="63" t="str">
        <f>'II_Inkunabeln+'!B110</f>
        <v>L-1488-315500735</v>
      </c>
      <c r="C110" s="63">
        <f>'II_Inkunabeln+'!C110</f>
        <v>1066970394</v>
      </c>
      <c r="D110" s="84" t="str">
        <f>'II_Inkunabeln+'!D110</f>
        <v>https://portal.dnb.de/opac.htm?method=simpleSearch&amp;cqlMode=true&amp;query=idn%3D1066970394</v>
      </c>
      <c r="E110" s="65" t="str">
        <f>'II_Inkunabeln+'!E110</f>
        <v>II 2,16b</v>
      </c>
      <c r="F110" s="65" t="str">
        <f>'II_Inkunabeln+'!H110</f>
        <v>bis 25 cm</v>
      </c>
      <c r="G110" s="93" t="str">
        <f>'II_Inkunabeln+'!X110</f>
        <v>L</v>
      </c>
      <c r="H110" s="93" t="str">
        <f>'II_Inkunabeln+'!AA110</f>
        <v>h/E</v>
      </c>
      <c r="I110" s="93">
        <f>'II_Inkunabeln+'!AC110</f>
        <v>0</v>
      </c>
      <c r="J110" s="94"/>
      <c r="K110" s="93">
        <f>'II_Inkunabeln+'!AD110</f>
        <v>0</v>
      </c>
      <c r="L110" s="94"/>
      <c r="M110" s="94"/>
      <c r="N110" s="94"/>
      <c r="O110" s="94"/>
      <c r="P110" s="94"/>
      <c r="Q110" s="94"/>
      <c r="R110" s="94"/>
      <c r="S110" s="94"/>
      <c r="T110" s="94"/>
      <c r="U110" s="94"/>
      <c r="V110" s="94"/>
      <c r="W110" s="94" t="str">
        <f>'II_Inkunabeln+'!BA110</f>
        <v>n</v>
      </c>
      <c r="X110" s="108"/>
      <c r="Y110" s="93">
        <f>'II_Inkunabeln+'!BI110</f>
        <v>0</v>
      </c>
      <c r="Z110" s="81">
        <f>'II_Inkunabeln+'!BJ110</f>
        <v>0</v>
      </c>
    </row>
    <row r="111" spans="1:26" x14ac:dyDescent="0.25">
      <c r="A111" s="63">
        <f>'II_Inkunabeln+'!A111</f>
        <v>106</v>
      </c>
      <c r="B111" s="63" t="str">
        <f>'II_Inkunabeln+'!B111</f>
        <v>L-1488-315500743</v>
      </c>
      <c r="C111" s="63">
        <f>'II_Inkunabeln+'!C111</f>
        <v>1066970394</v>
      </c>
      <c r="D111" s="84" t="str">
        <f>'II_Inkunabeln+'!D111</f>
        <v>https://portal.dnb.de/opac.htm?method=simpleSearch&amp;cqlMode=true&amp;query=idn%3D1066970394</v>
      </c>
      <c r="E111" s="65" t="str">
        <f>'II_Inkunabeln+'!E111</f>
        <v>II 2,16ba</v>
      </c>
      <c r="F111" s="65" t="str">
        <f>'II_Inkunabeln+'!H111</f>
        <v>bis 35 cm</v>
      </c>
      <c r="G111" s="93" t="str">
        <f>'II_Inkunabeln+'!X111</f>
        <v>HD</v>
      </c>
      <c r="H111" s="93" t="str">
        <f>'II_Inkunabeln+'!AA111</f>
        <v>f</v>
      </c>
      <c r="I111" s="93">
        <f>'II_Inkunabeln+'!AC111</f>
        <v>0</v>
      </c>
      <c r="J111" s="94"/>
      <c r="K111" s="93">
        <f>'II_Inkunabeln+'!AD111</f>
        <v>0</v>
      </c>
      <c r="L111" s="94"/>
      <c r="M111" s="94"/>
      <c r="N111" s="94"/>
      <c r="O111" s="94"/>
      <c r="P111" s="94"/>
      <c r="Q111" s="94"/>
      <c r="R111" s="94"/>
      <c r="S111" s="94"/>
      <c r="T111" s="94"/>
      <c r="U111" s="94"/>
      <c r="V111" s="94"/>
      <c r="W111" s="94" t="str">
        <f>'II_Inkunabeln+'!BA111</f>
        <v>n</v>
      </c>
      <c r="X111" s="108"/>
      <c r="Y111" s="93">
        <f>'II_Inkunabeln+'!BI111</f>
        <v>0</v>
      </c>
      <c r="Z111" s="81" t="str">
        <f>'II_Inkunabeln+'!BJ111</f>
        <v>Buch riecht extrem nach Chemie</v>
      </c>
    </row>
    <row r="112" spans="1:26" x14ac:dyDescent="0.25">
      <c r="A112" s="63">
        <f>'II_Inkunabeln+'!A112</f>
        <v>107</v>
      </c>
      <c r="B112" s="63" t="str">
        <f>'II_Inkunabeln+'!B112</f>
        <v>L-1495-326852484</v>
      </c>
      <c r="C112" s="63">
        <f>'II_Inkunabeln+'!C112</f>
        <v>1072052393</v>
      </c>
      <c r="D112" s="84" t="str">
        <f>'II_Inkunabeln+'!D112</f>
        <v>https://portal.dnb.de/opac.htm?method=simpleSearch&amp;cqlMode=true&amp;query=idn%3D1072052393</v>
      </c>
      <c r="E112" s="65" t="str">
        <f>'II_Inkunabeln+'!E112</f>
        <v>II 2,17a</v>
      </c>
      <c r="F112" s="65" t="str">
        <f>'II_Inkunabeln+'!H112</f>
        <v>bis 25 cm</v>
      </c>
      <c r="G112" s="93" t="str">
        <f>'II_Inkunabeln+'!X112</f>
        <v>HD</v>
      </c>
      <c r="H112" s="93" t="str">
        <f>'II_Inkunabeln+'!AA112</f>
        <v>f</v>
      </c>
      <c r="I112" s="93">
        <f>'II_Inkunabeln+'!AC112</f>
        <v>0</v>
      </c>
      <c r="J112" s="94"/>
      <c r="K112" s="93">
        <f>'II_Inkunabeln+'!AD112</f>
        <v>0</v>
      </c>
      <c r="L112" s="94"/>
      <c r="M112" s="94"/>
      <c r="N112" s="94"/>
      <c r="O112" s="94"/>
      <c r="P112" s="94"/>
      <c r="Q112" s="94"/>
      <c r="R112" s="94"/>
      <c r="S112" s="94"/>
      <c r="T112" s="94"/>
      <c r="U112" s="94"/>
      <c r="V112" s="94"/>
      <c r="W112" s="94" t="str">
        <f>'II_Inkunabeln+'!BA112</f>
        <v>n</v>
      </c>
      <c r="X112" s="108"/>
      <c r="Y112" s="93">
        <f>'II_Inkunabeln+'!BI112</f>
        <v>0</v>
      </c>
      <c r="Z112" s="81">
        <f>'II_Inkunabeln+'!BJ112</f>
        <v>0</v>
      </c>
    </row>
    <row r="113" spans="1:26" x14ac:dyDescent="0.25">
      <c r="A113" s="63">
        <f>'II_Inkunabeln+'!A113</f>
        <v>108</v>
      </c>
      <c r="B113" s="63" t="str">
        <f>'II_Inkunabeln+'!B113</f>
        <v>L-1496-315501251</v>
      </c>
      <c r="C113" s="63">
        <f>'II_Inkunabeln+'!C113</f>
        <v>1066970890</v>
      </c>
      <c r="D113" s="84" t="str">
        <f>'II_Inkunabeln+'!D113</f>
        <v>https://portal.dnb.de/opac.htm?method=simpleSearch&amp;cqlMode=true&amp;query=idn%3D1066970890</v>
      </c>
      <c r="E113" s="65" t="str">
        <f>'II_Inkunabeln+'!E113</f>
        <v>II 2,18a</v>
      </c>
      <c r="F113" s="65" t="str">
        <f>'II_Inkunabeln+'!H113</f>
        <v>bis 25 cm</v>
      </c>
      <c r="G113" s="93" t="str">
        <f>'II_Inkunabeln+'!X113</f>
        <v>G</v>
      </c>
      <c r="H113" s="93" t="str">
        <f>'II_Inkunabeln+'!AA113</f>
        <v>h</v>
      </c>
      <c r="I113" s="93">
        <f>'II_Inkunabeln+'!AC113</f>
        <v>0</v>
      </c>
      <c r="J113" s="94"/>
      <c r="K113" s="93">
        <f>'II_Inkunabeln+'!AD113</f>
        <v>0</v>
      </c>
      <c r="L113" s="94"/>
      <c r="M113" s="94"/>
      <c r="N113" s="94"/>
      <c r="O113" s="94"/>
      <c r="P113" s="94"/>
      <c r="Q113" s="94"/>
      <c r="R113" s="94"/>
      <c r="S113" s="94"/>
      <c r="T113" s="94"/>
      <c r="U113" s="94"/>
      <c r="V113" s="94"/>
      <c r="W113" s="94" t="str">
        <f>'II_Inkunabeln+'!BA113</f>
        <v>n</v>
      </c>
      <c r="X113" s="108"/>
      <c r="Y113" s="93">
        <f>'II_Inkunabeln+'!BI113</f>
        <v>0</v>
      </c>
      <c r="Z113" s="81">
        <f>'II_Inkunabeln+'!BJ113</f>
        <v>0</v>
      </c>
    </row>
    <row r="114" spans="1:26" x14ac:dyDescent="0.25">
      <c r="A114" s="63">
        <f>'II_Inkunabeln+'!A114</f>
        <v>109</v>
      </c>
      <c r="B114" s="63" t="str">
        <f>'II_Inkunabeln+'!B114</f>
        <v>L-1461-315496819</v>
      </c>
      <c r="C114" s="63">
        <f>'II_Inkunabeln+'!C114</f>
        <v>1066966524</v>
      </c>
      <c r="D114" s="84" t="str">
        <f>'II_Inkunabeln+'!D114</f>
        <v>https://portal.dnb.de/opac.htm?method=simpleSearch&amp;cqlMode=true&amp;query=idn%3D1066966524</v>
      </c>
      <c r="E114" s="65" t="str">
        <f>'II_Inkunabeln+'!E114</f>
        <v>II 3,1a - Fragm.</v>
      </c>
      <c r="F114" s="65">
        <f>'II_Inkunabeln+'!H114</f>
        <v>0</v>
      </c>
      <c r="G114" s="93">
        <f>'II_Inkunabeln+'!X114</f>
        <v>0</v>
      </c>
      <c r="H114" s="93">
        <f>'II_Inkunabeln+'!AA114</f>
        <v>0</v>
      </c>
      <c r="I114" s="93">
        <f>'II_Inkunabeln+'!AC114</f>
        <v>0</v>
      </c>
      <c r="J114" s="94"/>
      <c r="K114" s="93">
        <f>'II_Inkunabeln+'!AD114</f>
        <v>0</v>
      </c>
      <c r="L114" s="94"/>
      <c r="M114" s="94"/>
      <c r="N114" s="94"/>
      <c r="O114" s="94"/>
      <c r="P114" s="94"/>
      <c r="Q114" s="94"/>
      <c r="R114" s="94"/>
      <c r="S114" s="94"/>
      <c r="T114" s="94"/>
      <c r="U114" s="94"/>
      <c r="V114" s="94"/>
      <c r="W114" s="94">
        <f>'II_Inkunabeln+'!BA114</f>
        <v>0</v>
      </c>
      <c r="X114" s="108"/>
      <c r="Y114" s="93">
        <f>'II_Inkunabeln+'!BI114</f>
        <v>0</v>
      </c>
      <c r="Z114" s="81">
        <f>'II_Inkunabeln+'!BJ114</f>
        <v>0</v>
      </c>
    </row>
    <row r="115" spans="1:26" x14ac:dyDescent="0.25">
      <c r="A115" s="63">
        <f>'II_Inkunabeln+'!A115</f>
        <v>110</v>
      </c>
      <c r="B115" s="63" t="str">
        <f>'II_Inkunabeln+'!B115</f>
        <v>L-1488-315501332</v>
      </c>
      <c r="C115" s="63">
        <f>'II_Inkunabeln+'!C115</f>
        <v>1066970971</v>
      </c>
      <c r="D115" s="84" t="str">
        <f>'II_Inkunabeln+'!D115</f>
        <v>https://portal.dnb.de/opac.htm?method=simpleSearch&amp;cqlMode=true&amp;query=idn%3D1066970971</v>
      </c>
      <c r="E115" s="65" t="str">
        <f>'II_Inkunabeln+'!E115</f>
        <v>II 3,2b</v>
      </c>
      <c r="F115" s="65" t="str">
        <f>'II_Inkunabeln+'!H115</f>
        <v>bis 42 cm</v>
      </c>
      <c r="G115" s="93" t="str">
        <f>'II_Inkunabeln+'!X115</f>
        <v>L</v>
      </c>
      <c r="H115" s="93" t="str">
        <f>'II_Inkunabeln+'!AA115</f>
        <v>h/E</v>
      </c>
      <c r="I115" s="93">
        <f>'II_Inkunabeln+'!AC115</f>
        <v>0</v>
      </c>
      <c r="J115" s="94"/>
      <c r="K115" s="93">
        <f>'II_Inkunabeln+'!AD115</f>
        <v>0</v>
      </c>
      <c r="L115" s="94"/>
      <c r="M115" s="94"/>
      <c r="N115" s="94"/>
      <c r="O115" s="94"/>
      <c r="P115" s="94"/>
      <c r="Q115" s="94"/>
      <c r="R115" s="94"/>
      <c r="S115" s="94"/>
      <c r="T115" s="94"/>
      <c r="U115" s="94"/>
      <c r="V115" s="94"/>
      <c r="W115" s="94" t="str">
        <f>'II_Inkunabeln+'!BA115</f>
        <v>ja vor</v>
      </c>
      <c r="X115" s="108"/>
      <c r="Y115" s="93">
        <f>'II_Inkunabeln+'!BI115</f>
        <v>0</v>
      </c>
      <c r="Z115" s="81">
        <f>'II_Inkunabeln+'!BJ115</f>
        <v>0</v>
      </c>
    </row>
    <row r="116" spans="1:26" x14ac:dyDescent="0.25">
      <c r="A116" s="63">
        <f>'II_Inkunabeln+'!A116</f>
        <v>111</v>
      </c>
      <c r="B116" s="63" t="str">
        <f>'II_Inkunabeln+'!B116</f>
        <v>L-1483-343703483</v>
      </c>
      <c r="C116" s="63">
        <f>'II_Inkunabeln+'!C116</f>
        <v>1079552596</v>
      </c>
      <c r="D116" s="84" t="str">
        <f>'II_Inkunabeln+'!D116</f>
        <v>https://portal.dnb.de/opac.htm?method=simpleSearch&amp;cqlMode=true&amp;query=idn%3D1079552596</v>
      </c>
      <c r="E116" s="65" t="str">
        <f>'II_Inkunabeln+'!E116</f>
        <v>II 3,2d</v>
      </c>
      <c r="F116" s="65" t="str">
        <f>'II_Inkunabeln+'!H116</f>
        <v>bis 35 cm</v>
      </c>
      <c r="G116" s="93" t="str">
        <f>'II_Inkunabeln+'!X116</f>
        <v>HD</v>
      </c>
      <c r="H116" s="93" t="str">
        <f>'II_Inkunabeln+'!AA116</f>
        <v>f</v>
      </c>
      <c r="I116" s="93">
        <f>'II_Inkunabeln+'!AC116</f>
        <v>0</v>
      </c>
      <c r="J116" s="94"/>
      <c r="K116" s="93">
        <f>'II_Inkunabeln+'!AD116</f>
        <v>0</v>
      </c>
      <c r="L116" s="94" t="s">
        <v>1633</v>
      </c>
      <c r="M116" s="94"/>
      <c r="N116" s="94"/>
      <c r="O116" s="94"/>
      <c r="P116" s="94"/>
      <c r="Q116" s="94"/>
      <c r="R116" s="94"/>
      <c r="S116" s="94"/>
      <c r="T116" s="94"/>
      <c r="U116" s="94"/>
      <c r="V116" s="94"/>
      <c r="W116" s="94" t="str">
        <f>'II_Inkunabeln+'!BA116</f>
        <v>ja vor</v>
      </c>
      <c r="X116" s="108">
        <v>0.5</v>
      </c>
      <c r="Y116" s="93">
        <f>'II_Inkunabeln+'!BI116</f>
        <v>0</v>
      </c>
      <c r="Z116" s="81">
        <f>'II_Inkunabeln+'!BJ116</f>
        <v>0</v>
      </c>
    </row>
    <row r="117" spans="1:26" x14ac:dyDescent="0.25">
      <c r="A117" s="63">
        <f>'II_Inkunabeln+'!A117</f>
        <v>112</v>
      </c>
      <c r="B117" s="63" t="str">
        <f>'II_Inkunabeln+'!B117</f>
        <v>L-1474-31549672X</v>
      </c>
      <c r="C117" s="63">
        <f>'II_Inkunabeln+'!C117</f>
        <v>1077047398</v>
      </c>
      <c r="D117" s="84" t="str">
        <f>'II_Inkunabeln+'!D117</f>
        <v>https://portal.dnb.de/opac.htm?method=simpleSearch&amp;cqlMode=true&amp;query=idn%3D1077047398</v>
      </c>
      <c r="E117" s="65" t="str">
        <f>'II_Inkunabeln+'!E117</f>
        <v>II 4,1a</v>
      </c>
      <c r="F117" s="65" t="str">
        <f>'II_Inkunabeln+'!H117</f>
        <v>bis 42 cm</v>
      </c>
      <c r="G117" s="93" t="str">
        <f>'II_Inkunabeln+'!X117</f>
        <v>HD</v>
      </c>
      <c r="H117" s="93" t="str">
        <f>'II_Inkunabeln+'!AA117</f>
        <v>f</v>
      </c>
      <c r="I117" s="93">
        <f>'II_Inkunabeln+'!AC117</f>
        <v>0</v>
      </c>
      <c r="J117" s="94"/>
      <c r="K117" s="93">
        <f>'II_Inkunabeln+'!AD117</f>
        <v>0</v>
      </c>
      <c r="L117" s="94"/>
      <c r="M117" s="94"/>
      <c r="N117" s="94"/>
      <c r="O117" s="94"/>
      <c r="P117" s="94"/>
      <c r="Q117" s="94"/>
      <c r="R117" s="94"/>
      <c r="S117" s="94"/>
      <c r="T117" s="94"/>
      <c r="U117" s="94"/>
      <c r="V117" s="94"/>
      <c r="W117" s="94" t="str">
        <f>'II_Inkunabeln+'!BA117</f>
        <v>n</v>
      </c>
      <c r="X117" s="108"/>
      <c r="Y117" s="93">
        <f>'II_Inkunabeln+'!BI117</f>
        <v>0</v>
      </c>
      <c r="Z117" s="81">
        <f>'II_Inkunabeln+'!BJ117</f>
        <v>0</v>
      </c>
    </row>
    <row r="118" spans="1:26" x14ac:dyDescent="0.25">
      <c r="A118" s="63">
        <f>'II_Inkunabeln+'!A118</f>
        <v>113</v>
      </c>
      <c r="B118" s="63" t="str">
        <f>'II_Inkunabeln+'!B118</f>
        <v>L-1472-315498900</v>
      </c>
      <c r="C118" s="63">
        <f>'II_Inkunabeln+'!C118</f>
        <v>1066968667</v>
      </c>
      <c r="D118" s="84" t="str">
        <f>'II_Inkunabeln+'!D118</f>
        <v>https://portal.dnb.de/opac.htm?method=simpleSearch&amp;cqlMode=true&amp;query=idn%3D1066968667</v>
      </c>
      <c r="E118" s="65" t="str">
        <f>'II_Inkunabeln+'!E118</f>
        <v>II 4,1b</v>
      </c>
      <c r="F118" s="65" t="str">
        <f>'II_Inkunabeln+'!H118</f>
        <v>bis 42 cm</v>
      </c>
      <c r="G118" s="93" t="str">
        <f>'II_Inkunabeln+'!X118</f>
        <v>HL</v>
      </c>
      <c r="H118" s="93" t="str">
        <f>'II_Inkunabeln+'!AA118</f>
        <v>h/E</v>
      </c>
      <c r="I118" s="93">
        <f>'II_Inkunabeln+'!AC118</f>
        <v>0</v>
      </c>
      <c r="J118" s="94"/>
      <c r="K118" s="93">
        <f>'II_Inkunabeln+'!AD118</f>
        <v>0</v>
      </c>
      <c r="L118" s="94"/>
      <c r="M118" s="94"/>
      <c r="N118" s="94"/>
      <c r="O118" s="94"/>
      <c r="P118" s="94"/>
      <c r="Q118" s="94"/>
      <c r="R118" s="94"/>
      <c r="S118" s="94"/>
      <c r="T118" s="94"/>
      <c r="U118" s="94"/>
      <c r="V118" s="94"/>
      <c r="W118" s="94" t="str">
        <f>'II_Inkunabeln+'!BA118</f>
        <v>n</v>
      </c>
      <c r="X118" s="108"/>
      <c r="Y118" s="93">
        <f>'II_Inkunabeln+'!BI118</f>
        <v>0</v>
      </c>
      <c r="Z118" s="81">
        <f>'II_Inkunabeln+'!BJ118</f>
        <v>0</v>
      </c>
    </row>
    <row r="119" spans="1:26" x14ac:dyDescent="0.25">
      <c r="A119" s="63">
        <f>'II_Inkunabeln+'!A119</f>
        <v>114</v>
      </c>
      <c r="B119" s="63" t="str">
        <f>'II_Inkunabeln+'!B119</f>
        <v>L-1475-31549784X</v>
      </c>
      <c r="C119" s="63">
        <f>'II_Inkunabeln+'!C119</f>
        <v>1066967598</v>
      </c>
      <c r="D119" s="84" t="str">
        <f>'II_Inkunabeln+'!D119</f>
        <v>https://portal.dnb.de/opac.htm?method=simpleSearch&amp;cqlMode=true&amp;query=idn%3D1066967598</v>
      </c>
      <c r="E119" s="65" t="str">
        <f>'II_Inkunabeln+'!E119</f>
        <v>II 4,1c</v>
      </c>
      <c r="F119" s="65" t="str">
        <f>'II_Inkunabeln+'!H119</f>
        <v>bis 35 cm</v>
      </c>
      <c r="G119" s="93" t="str">
        <f>'II_Inkunabeln+'!X119</f>
        <v>HL</v>
      </c>
      <c r="H119" s="93" t="str">
        <f>'II_Inkunabeln+'!AA119</f>
        <v>h/E</v>
      </c>
      <c r="I119" s="93">
        <f>'II_Inkunabeln+'!AC119</f>
        <v>0</v>
      </c>
      <c r="J119" s="94"/>
      <c r="K119" s="93">
        <f>'II_Inkunabeln+'!AD119</f>
        <v>0</v>
      </c>
      <c r="L119" s="94"/>
      <c r="M119" s="94"/>
      <c r="N119" s="94"/>
      <c r="O119" s="94"/>
      <c r="P119" s="94"/>
      <c r="Q119" s="94"/>
      <c r="R119" s="94"/>
      <c r="S119" s="94"/>
      <c r="T119" s="94"/>
      <c r="U119" s="94"/>
      <c r="V119" s="94"/>
      <c r="W119" s="94" t="str">
        <f>'II_Inkunabeln+'!BA119</f>
        <v>n</v>
      </c>
      <c r="X119" s="108"/>
      <c r="Y119" s="93">
        <f>'II_Inkunabeln+'!BI119</f>
        <v>0</v>
      </c>
      <c r="Z119" s="81">
        <f>'II_Inkunabeln+'!BJ119</f>
        <v>0</v>
      </c>
    </row>
    <row r="120" spans="1:26" x14ac:dyDescent="0.25">
      <c r="A120" s="63">
        <f>'II_Inkunabeln+'!A120</f>
        <v>115</v>
      </c>
      <c r="B120" s="63" t="str">
        <f>'II_Inkunabeln+'!B120</f>
        <v>L-1489-315500468</v>
      </c>
      <c r="C120" s="63">
        <f>'II_Inkunabeln+'!C120</f>
        <v>1066970114</v>
      </c>
      <c r="D120" s="84" t="str">
        <f>'II_Inkunabeln+'!D120</f>
        <v>https://portal.dnb.de/opac.htm?method=simpleSearch&amp;cqlMode=true&amp;query=idn%3D1066970114</v>
      </c>
      <c r="E120" s="65" t="str">
        <f>'II_Inkunabeln+'!E120</f>
        <v>II 4,1d - 2</v>
      </c>
      <c r="F120" s="65" t="str">
        <f>'II_Inkunabeln+'!H120</f>
        <v>bis 25 cm</v>
      </c>
      <c r="G120" s="93" t="str">
        <f>'II_Inkunabeln+'!X120</f>
        <v>HD</v>
      </c>
      <c r="H120" s="93" t="str">
        <f>'II_Inkunabeln+'!AA120</f>
        <v>f</v>
      </c>
      <c r="I120" s="93">
        <f>'II_Inkunabeln+'!AC120</f>
        <v>0</v>
      </c>
      <c r="J120" s="94"/>
      <c r="K120" s="93">
        <f>'II_Inkunabeln+'!AD120</f>
        <v>0</v>
      </c>
      <c r="L120" s="94" t="s">
        <v>1633</v>
      </c>
      <c r="M120" s="94"/>
      <c r="N120" s="94"/>
      <c r="O120" s="94"/>
      <c r="P120" s="94"/>
      <c r="Q120" s="94"/>
      <c r="R120" s="94"/>
      <c r="S120" s="94"/>
      <c r="T120" s="94"/>
      <c r="U120" s="94"/>
      <c r="V120" s="94"/>
      <c r="W120" s="94" t="str">
        <f>'II_Inkunabeln+'!BA120</f>
        <v>ja vor</v>
      </c>
      <c r="X120" s="108">
        <v>0.5</v>
      </c>
      <c r="Y120" s="93">
        <f>'II_Inkunabeln+'!BI120</f>
        <v>0</v>
      </c>
      <c r="Z120" s="81">
        <f>'II_Inkunabeln+'!BJ120</f>
        <v>0</v>
      </c>
    </row>
    <row r="121" spans="1:26" x14ac:dyDescent="0.25">
      <c r="A121" s="63">
        <f>'II_Inkunabeln+'!A121</f>
        <v>116</v>
      </c>
      <c r="B121" s="63" t="str">
        <f>'II_Inkunabeln+'!B121</f>
        <v>L-1479-315495901</v>
      </c>
      <c r="C121" s="63">
        <f>'II_Inkunabeln+'!C121</f>
        <v>1066965684</v>
      </c>
      <c r="D121" s="84" t="str">
        <f>'II_Inkunabeln+'!D121</f>
        <v>https://portal.dnb.de/opac.htm?method=simpleSearch&amp;cqlMode=true&amp;query=idn%3D1066965684</v>
      </c>
      <c r="E121" s="65" t="str">
        <f>'II_Inkunabeln+'!E121</f>
        <v>II 4,2b</v>
      </c>
      <c r="F121" s="65" t="str">
        <f>'II_Inkunabeln+'!H121</f>
        <v>&gt; 42 cm</v>
      </c>
      <c r="G121" s="93" t="str">
        <f>'II_Inkunabeln+'!X121</f>
        <v>HL</v>
      </c>
      <c r="H121" s="93" t="str">
        <f>'II_Inkunabeln+'!AA121</f>
        <v>h/E</v>
      </c>
      <c r="I121" s="93">
        <f>'II_Inkunabeln+'!AC121</f>
        <v>0</v>
      </c>
      <c r="J121" s="94"/>
      <c r="K121" s="93">
        <f>'II_Inkunabeln+'!AD121</f>
        <v>0</v>
      </c>
      <c r="L121" s="94"/>
      <c r="M121" s="94"/>
      <c r="N121" s="94"/>
      <c r="O121" s="94"/>
      <c r="P121" s="94"/>
      <c r="Q121" s="94"/>
      <c r="R121" s="94"/>
      <c r="S121" s="94"/>
      <c r="T121" s="94"/>
      <c r="U121" s="94"/>
      <c r="V121" s="94"/>
      <c r="W121" s="94" t="str">
        <f>'II_Inkunabeln+'!BA121</f>
        <v>n</v>
      </c>
      <c r="X121" s="108"/>
      <c r="Y121" s="93">
        <f>'II_Inkunabeln+'!BI121</f>
        <v>0</v>
      </c>
      <c r="Z121" s="81">
        <f>'II_Inkunabeln+'!BJ121</f>
        <v>0</v>
      </c>
    </row>
    <row r="122" spans="1:26" x14ac:dyDescent="0.25">
      <c r="A122" s="63">
        <f>'II_Inkunabeln+'!A122</f>
        <v>117</v>
      </c>
      <c r="B122" s="63" t="str">
        <f>'II_Inkunabeln+'!B122</f>
        <v>L-1479-315501286</v>
      </c>
      <c r="C122" s="63">
        <f>'II_Inkunabeln+'!C122</f>
        <v>1066970920</v>
      </c>
      <c r="D122" s="84" t="str">
        <f>'II_Inkunabeln+'!D122</f>
        <v>https://portal.dnb.de/opac.htm?method=simpleSearch&amp;cqlMode=true&amp;query=idn%3D1066970920</v>
      </c>
      <c r="E122" s="65" t="str">
        <f>'II_Inkunabeln+'!E122</f>
        <v>II 4,2c</v>
      </c>
      <c r="F122" s="65" t="str">
        <f>'II_Inkunabeln+'!H122</f>
        <v>&gt; 42 cm</v>
      </c>
      <c r="G122" s="93" t="str">
        <f>'II_Inkunabeln+'!X122</f>
        <v>HD</v>
      </c>
      <c r="H122" s="93" t="str">
        <f>'II_Inkunabeln+'!AA122</f>
        <v>f/V</v>
      </c>
      <c r="I122" s="93">
        <f>'II_Inkunabeln+'!AC122</f>
        <v>0</v>
      </c>
      <c r="J122" s="94"/>
      <c r="K122" s="93">
        <f>'II_Inkunabeln+'!AD122</f>
        <v>0</v>
      </c>
      <c r="L122" s="94" t="s">
        <v>1633</v>
      </c>
      <c r="M122" s="94"/>
      <c r="N122" s="94"/>
      <c r="O122" s="94"/>
      <c r="P122" s="94"/>
      <c r="Q122" s="94"/>
      <c r="R122" s="94"/>
      <c r="S122" s="94"/>
      <c r="T122" s="94"/>
      <c r="U122" s="94"/>
      <c r="V122" s="94"/>
      <c r="W122" s="94" t="str">
        <f>'II_Inkunabeln+'!BA122</f>
        <v>ja vor</v>
      </c>
      <c r="X122" s="108">
        <v>0.5</v>
      </c>
      <c r="Y122" s="93">
        <f>'II_Inkunabeln+'!BI122</f>
        <v>0</v>
      </c>
      <c r="Z122" s="81">
        <f>'II_Inkunabeln+'!BJ122</f>
        <v>0</v>
      </c>
    </row>
    <row r="123" spans="1:26" x14ac:dyDescent="0.25">
      <c r="A123" s="63">
        <f>'II_Inkunabeln+'!A123</f>
        <v>118</v>
      </c>
      <c r="B123" s="63" t="str">
        <f>'II_Inkunabeln+'!B123</f>
        <v>L-1481-315498811</v>
      </c>
      <c r="C123" s="63" t="str">
        <f>'II_Inkunabeln+'!C123</f>
        <v>106696856X</v>
      </c>
      <c r="D123" s="84" t="str">
        <f>'II_Inkunabeln+'!D123</f>
        <v>https://portal.dnb.de/opac.htm?method=simpleSearch&amp;cqlMode=true&amp;query=idn%3D106696856X</v>
      </c>
      <c r="E123" s="65" t="str">
        <f>'II_Inkunabeln+'!E123</f>
        <v>II 4,2d</v>
      </c>
      <c r="F123" s="65" t="str">
        <f>'II_Inkunabeln+'!H123</f>
        <v>&gt; 42 cm</v>
      </c>
      <c r="G123" s="93" t="str">
        <f>'II_Inkunabeln+'!X123</f>
        <v>HD</v>
      </c>
      <c r="H123" s="93" t="str">
        <f>'II_Inkunabeln+'!AA123</f>
        <v>f/V</v>
      </c>
      <c r="I123" s="93">
        <f>'II_Inkunabeln+'!AC123</f>
        <v>0</v>
      </c>
      <c r="J123" s="94" t="s">
        <v>1633</v>
      </c>
      <c r="K123" s="93">
        <f>'II_Inkunabeln+'!AD123</f>
        <v>0</v>
      </c>
      <c r="L123" s="94" t="s">
        <v>1633</v>
      </c>
      <c r="M123" s="94"/>
      <c r="N123" s="94"/>
      <c r="O123" s="94"/>
      <c r="P123" s="94"/>
      <c r="Q123" s="94"/>
      <c r="R123" s="94"/>
      <c r="S123" s="94"/>
      <c r="T123" s="94"/>
      <c r="U123" s="94"/>
      <c r="V123" s="94"/>
      <c r="W123" s="94" t="str">
        <f>'II_Inkunabeln+'!BA123</f>
        <v>ja vor</v>
      </c>
      <c r="X123" s="108">
        <v>1</v>
      </c>
      <c r="Y123" s="93">
        <f>'II_Inkunabeln+'!BI123</f>
        <v>0</v>
      </c>
      <c r="Z123" s="81">
        <f>'II_Inkunabeln+'!BJ123</f>
        <v>0</v>
      </c>
    </row>
    <row r="124" spans="1:26" x14ac:dyDescent="0.25">
      <c r="A124" s="63">
        <f>'II_Inkunabeln+'!A124</f>
        <v>119</v>
      </c>
      <c r="B124" s="63" t="str">
        <f>'II_Inkunabeln+'!B124</f>
        <v>L-1472-315498579</v>
      </c>
      <c r="C124" s="63">
        <f>'II_Inkunabeln+'!C124</f>
        <v>1066968322</v>
      </c>
      <c r="D124" s="84" t="str">
        <f>'II_Inkunabeln+'!D124</f>
        <v>https://portal.dnb.de/opac.htm?method=simpleSearch&amp;cqlMode=true&amp;query=idn%3D1066968322</v>
      </c>
      <c r="E124" s="65" t="str">
        <f>'II_Inkunabeln+'!E124</f>
        <v>II 4,2e</v>
      </c>
      <c r="F124" s="65" t="str">
        <f>'II_Inkunabeln+'!H124</f>
        <v>bis 35 cm</v>
      </c>
      <c r="G124" s="93" t="str">
        <f>'II_Inkunabeln+'!X124</f>
        <v>L</v>
      </c>
      <c r="H124" s="93" t="str">
        <f>'II_Inkunabeln+'!AA124</f>
        <v>h/E</v>
      </c>
      <c r="I124" s="93" t="str">
        <f>'II_Inkunabeln+'!AC124</f>
        <v>x</v>
      </c>
      <c r="J124" s="94" t="s">
        <v>1633</v>
      </c>
      <c r="K124" s="93">
        <f>'II_Inkunabeln+'!AD124</f>
        <v>0</v>
      </c>
      <c r="L124" s="94"/>
      <c r="M124" s="94"/>
      <c r="N124" s="94" t="s">
        <v>1767</v>
      </c>
      <c r="O124" s="94"/>
      <c r="P124" s="94"/>
      <c r="Q124" s="94"/>
      <c r="R124" s="94"/>
      <c r="S124" s="94"/>
      <c r="T124" s="94"/>
      <c r="U124" s="94"/>
      <c r="V124" s="94"/>
      <c r="W124" s="94" t="str">
        <f>'II_Inkunabeln+'!BA124</f>
        <v>ja vor</v>
      </c>
      <c r="X124" s="108">
        <v>3</v>
      </c>
      <c r="Y124" s="93">
        <f>'II_Inkunabeln+'!BI124</f>
        <v>0</v>
      </c>
      <c r="Z124" s="81">
        <f>'II_Inkunabeln+'!BJ124</f>
        <v>0</v>
      </c>
    </row>
    <row r="125" spans="1:26" x14ac:dyDescent="0.25">
      <c r="A125" s="63">
        <f>'II_Inkunabeln+'!A125</f>
        <v>120</v>
      </c>
      <c r="B125" s="63" t="str">
        <f>'II_Inkunabeln+'!B125</f>
        <v>L-1475-315497378</v>
      </c>
      <c r="C125" s="63">
        <f>'II_Inkunabeln+'!C125</f>
        <v>1066967113</v>
      </c>
      <c r="D125" s="84" t="str">
        <f>'II_Inkunabeln+'!D125</f>
        <v>https://portal.dnb.de/opac.htm?method=simpleSearch&amp;cqlMode=true&amp;query=idn%3D1066967113</v>
      </c>
      <c r="E125" s="65" t="str">
        <f>'II_Inkunabeln+'!E125</f>
        <v>II 4,2f</v>
      </c>
      <c r="F125" s="65" t="str">
        <f>'II_Inkunabeln+'!H125</f>
        <v>bis 35 cm</v>
      </c>
      <c r="G125" s="93" t="str">
        <f>'II_Inkunabeln+'!X125</f>
        <v>L</v>
      </c>
      <c r="H125" s="93" t="str">
        <f>'II_Inkunabeln+'!AA125</f>
        <v>f</v>
      </c>
      <c r="I125" s="93">
        <f>'II_Inkunabeln+'!AC125</f>
        <v>0</v>
      </c>
      <c r="J125" s="94"/>
      <c r="K125" s="93">
        <f>'II_Inkunabeln+'!AD125</f>
        <v>0</v>
      </c>
      <c r="L125" s="94"/>
      <c r="M125" s="94"/>
      <c r="N125" s="94"/>
      <c r="O125" s="94"/>
      <c r="P125" s="94"/>
      <c r="Q125" s="94"/>
      <c r="R125" s="94"/>
      <c r="S125" s="94"/>
      <c r="T125" s="94"/>
      <c r="U125" s="94"/>
      <c r="V125" s="94"/>
      <c r="W125" s="94" t="str">
        <f>'II_Inkunabeln+'!BA125</f>
        <v>n</v>
      </c>
      <c r="X125" s="108"/>
      <c r="Y125" s="93">
        <f>'II_Inkunabeln+'!BI125</f>
        <v>0</v>
      </c>
      <c r="Z125" s="81">
        <f>'II_Inkunabeln+'!BJ125</f>
        <v>0</v>
      </c>
    </row>
    <row r="126" spans="1:26" x14ac:dyDescent="0.25">
      <c r="A126" s="63">
        <f>'II_Inkunabeln+'!A126</f>
        <v>121</v>
      </c>
      <c r="B126" s="63" t="str">
        <f>'II_Inkunabeln+'!B126</f>
        <v>L-1474-315503076</v>
      </c>
      <c r="C126" s="63">
        <f>'II_Inkunabeln+'!C126</f>
        <v>1066972656</v>
      </c>
      <c r="D126" s="84" t="str">
        <f>'II_Inkunabeln+'!D126</f>
        <v>https://portal.dnb.de/opac.htm?method=simpleSearch&amp;cqlMode=true&amp;query=idn%3D1066972656</v>
      </c>
      <c r="E126" s="65" t="str">
        <f>'II_Inkunabeln+'!E126</f>
        <v>II 4,2g</v>
      </c>
      <c r="F126" s="65" t="str">
        <f>'II_Inkunabeln+'!H126</f>
        <v>bis 42 cm</v>
      </c>
      <c r="G126" s="93" t="str">
        <f>'II_Inkunabeln+'!X126</f>
        <v>HD</v>
      </c>
      <c r="H126" s="93" t="str">
        <f>'II_Inkunabeln+'!AA126</f>
        <v>f/V</v>
      </c>
      <c r="I126" s="93">
        <f>'II_Inkunabeln+'!AC126</f>
        <v>0</v>
      </c>
      <c r="J126" s="94"/>
      <c r="K126" s="93">
        <f>'II_Inkunabeln+'!AD126</f>
        <v>0</v>
      </c>
      <c r="L126" s="94"/>
      <c r="M126" s="94"/>
      <c r="N126" s="94"/>
      <c r="O126" s="94"/>
      <c r="P126" s="94"/>
      <c r="Q126" s="94"/>
      <c r="R126" s="94"/>
      <c r="S126" s="94"/>
      <c r="T126" s="94"/>
      <c r="U126" s="94"/>
      <c r="V126" s="94"/>
      <c r="W126" s="94" t="str">
        <f>'II_Inkunabeln+'!BA126</f>
        <v>n</v>
      </c>
      <c r="X126" s="108"/>
      <c r="Y126" s="93" t="str">
        <f>'II_Inkunabeln+'!BI126</f>
        <v>x</v>
      </c>
      <c r="Z126" s="81" t="str">
        <f>'II_Inkunabeln+'!BJ126</f>
        <v>Schuber viel zu eng --&gt; auf keinen Fall wieder einschubern!!</v>
      </c>
    </row>
    <row r="127" spans="1:26" x14ac:dyDescent="0.25">
      <c r="A127" s="63">
        <f>'II_Inkunabeln+'!A127</f>
        <v>122</v>
      </c>
      <c r="B127" s="63" t="str">
        <f>'II_Inkunabeln+'!B127</f>
        <v>L-1474-315500131</v>
      </c>
      <c r="C127" s="63">
        <f>'II_Inkunabeln+'!C127</f>
        <v>1066969795</v>
      </c>
      <c r="D127" s="84" t="str">
        <f>'II_Inkunabeln+'!D127</f>
        <v>https://portal.dnb.de/opac.htm?method=simpleSearch&amp;cqlMode=true&amp;query=idn%3D1066969795</v>
      </c>
      <c r="E127" s="65" t="str">
        <f>'II_Inkunabeln+'!E127</f>
        <v>II 4,2h</v>
      </c>
      <c r="F127" s="65" t="str">
        <f>'II_Inkunabeln+'!H127</f>
        <v>bis 35 cm</v>
      </c>
      <c r="G127" s="93" t="str">
        <f>'II_Inkunabeln+'!X127</f>
        <v>HL</v>
      </c>
      <c r="H127" s="93" t="str">
        <f>'II_Inkunabeln+'!AA127</f>
        <v>h/E</v>
      </c>
      <c r="I127" s="93">
        <f>'II_Inkunabeln+'!AC127</f>
        <v>0</v>
      </c>
      <c r="J127" s="94"/>
      <c r="K127" s="93">
        <f>'II_Inkunabeln+'!AD127</f>
        <v>0</v>
      </c>
      <c r="L127" s="94"/>
      <c r="M127" s="94"/>
      <c r="N127" s="94"/>
      <c r="O127" s="94"/>
      <c r="P127" s="94"/>
      <c r="Q127" s="94"/>
      <c r="R127" s="94"/>
      <c r="S127" s="94"/>
      <c r="T127" s="94"/>
      <c r="U127" s="94"/>
      <c r="V127" s="94"/>
      <c r="W127" s="94" t="str">
        <f>'II_Inkunabeln+'!BA127</f>
        <v>n</v>
      </c>
      <c r="X127" s="108"/>
      <c r="Y127" s="93">
        <f>'II_Inkunabeln+'!BI127</f>
        <v>0</v>
      </c>
      <c r="Z127" s="81">
        <f>'II_Inkunabeln+'!BJ127</f>
        <v>0</v>
      </c>
    </row>
    <row r="128" spans="1:26" x14ac:dyDescent="0.25">
      <c r="A128" s="63">
        <f>'II_Inkunabeln+'!A128</f>
        <v>123</v>
      </c>
      <c r="B128" s="63" t="str">
        <f>'II_Inkunabeln+'!B128</f>
        <v>L-1476-315498803</v>
      </c>
      <c r="C128" s="63">
        <f>'II_Inkunabeln+'!C128</f>
        <v>1066968551</v>
      </c>
      <c r="D128" s="84" t="str">
        <f>'II_Inkunabeln+'!D128</f>
        <v>https://portal.dnb.de/opac.htm?method=simpleSearch&amp;cqlMode=true&amp;query=idn%3D1066968551</v>
      </c>
      <c r="E128" s="65" t="str">
        <f>'II_Inkunabeln+'!E128</f>
        <v>II 4,3a</v>
      </c>
      <c r="F128" s="65" t="str">
        <f>'II_Inkunabeln+'!H128</f>
        <v>&gt; 42 cm</v>
      </c>
      <c r="G128" s="93" t="str">
        <f>'II_Inkunabeln+'!X128</f>
        <v>HL</v>
      </c>
      <c r="H128" s="93" t="str">
        <f>'II_Inkunabeln+'!AA128</f>
        <v>f/V</v>
      </c>
      <c r="I128" s="93">
        <f>'II_Inkunabeln+'!AC128</f>
        <v>0</v>
      </c>
      <c r="J128" s="94"/>
      <c r="K128" s="93">
        <f>'II_Inkunabeln+'!AD128</f>
        <v>0</v>
      </c>
      <c r="L128" s="94"/>
      <c r="M128" s="94"/>
      <c r="N128" s="94"/>
      <c r="O128" s="94"/>
      <c r="P128" s="94"/>
      <c r="Q128" s="94"/>
      <c r="R128" s="94"/>
      <c r="S128" s="94"/>
      <c r="T128" s="94"/>
      <c r="U128" s="94"/>
      <c r="V128" s="94"/>
      <c r="W128" s="94" t="str">
        <f>'II_Inkunabeln+'!BA128</f>
        <v>n</v>
      </c>
      <c r="X128" s="108"/>
      <c r="Y128" s="93">
        <f>'II_Inkunabeln+'!BI128</f>
        <v>0</v>
      </c>
      <c r="Z128" s="81">
        <f>'II_Inkunabeln+'!BJ128</f>
        <v>0</v>
      </c>
    </row>
    <row r="129" spans="1:26" x14ac:dyDescent="0.25">
      <c r="A129" s="63">
        <f>'II_Inkunabeln+'!A129</f>
        <v>124</v>
      </c>
      <c r="B129" s="63" t="str">
        <f>'II_Inkunabeln+'!B129</f>
        <v>L-1482-315499648</v>
      </c>
      <c r="C129" s="63">
        <f>'II_Inkunabeln+'!C129</f>
        <v>1066969310</v>
      </c>
      <c r="D129" s="84" t="str">
        <f>'II_Inkunabeln+'!D129</f>
        <v>https://portal.dnb.de/opac.htm?method=simpleSearch&amp;cqlMode=true&amp;query=idn%3D1066969310</v>
      </c>
      <c r="E129" s="65" t="str">
        <f>'II_Inkunabeln+'!E129</f>
        <v>II 4,3c</v>
      </c>
      <c r="F129" s="65" t="str">
        <f>'II_Inkunabeln+'!H129</f>
        <v>&gt; 42 cm</v>
      </c>
      <c r="G129" s="93" t="str">
        <f>'II_Inkunabeln+'!X129</f>
        <v>HD</v>
      </c>
      <c r="H129" s="93" t="str">
        <f>'II_Inkunabeln+'!AA129</f>
        <v>f/V</v>
      </c>
      <c r="I129" s="93">
        <f>'II_Inkunabeln+'!AC129</f>
        <v>0</v>
      </c>
      <c r="J129" s="94"/>
      <c r="K129" s="93">
        <f>'II_Inkunabeln+'!AD129</f>
        <v>0</v>
      </c>
      <c r="L129" s="94"/>
      <c r="M129" s="94"/>
      <c r="N129" s="94"/>
      <c r="O129" s="94"/>
      <c r="P129" s="94"/>
      <c r="Q129" s="94"/>
      <c r="R129" s="94"/>
      <c r="S129" s="94"/>
      <c r="T129" s="94"/>
      <c r="U129" s="94"/>
      <c r="V129" s="94"/>
      <c r="W129" s="94" t="str">
        <f>'II_Inkunabeln+'!BA129</f>
        <v>n</v>
      </c>
      <c r="X129" s="108"/>
      <c r="Y129" s="93">
        <f>'II_Inkunabeln+'!BI129</f>
        <v>0</v>
      </c>
      <c r="Z129" s="81">
        <f>'II_Inkunabeln+'!BJ129</f>
        <v>0</v>
      </c>
    </row>
    <row r="130" spans="1:26" x14ac:dyDescent="0.25">
      <c r="A130" s="63">
        <f>'II_Inkunabeln+'!A130</f>
        <v>125</v>
      </c>
      <c r="B130" s="63" t="str">
        <f>'II_Inkunabeln+'!B130</f>
        <v>L-1482-315502479</v>
      </c>
      <c r="C130" s="63">
        <f>'II_Inkunabeln+'!C130</f>
        <v>1066972052</v>
      </c>
      <c r="D130" s="84" t="str">
        <f>'II_Inkunabeln+'!D130</f>
        <v>https://portal.dnb.de/opac.htm?method=simpleSearch&amp;cqlMode=true&amp;query=idn%3D1066972052</v>
      </c>
      <c r="E130" s="65" t="str">
        <f>'II_Inkunabeln+'!E130</f>
        <v>II 4,3d</v>
      </c>
      <c r="F130" s="65" t="str">
        <f>'II_Inkunabeln+'!H130</f>
        <v>bis 35 cm</v>
      </c>
      <c r="G130" s="93" t="str">
        <f>'II_Inkunabeln+'!X130</f>
        <v>L</v>
      </c>
      <c r="H130" s="93" t="str">
        <f>'II_Inkunabeln+'!AA130</f>
        <v>f</v>
      </c>
      <c r="I130" s="93" t="str">
        <f>'II_Inkunabeln+'!AC130</f>
        <v>x</v>
      </c>
      <c r="J130" s="94"/>
      <c r="K130" s="93">
        <f>'II_Inkunabeln+'!AD130</f>
        <v>0</v>
      </c>
      <c r="L130" s="94"/>
      <c r="M130" s="94"/>
      <c r="N130" s="94"/>
      <c r="O130" s="94"/>
      <c r="P130" s="94"/>
      <c r="Q130" s="94"/>
      <c r="R130" s="94"/>
      <c r="S130" s="94"/>
      <c r="T130" s="94"/>
      <c r="U130" s="94"/>
      <c r="V130" s="94"/>
      <c r="W130" s="94" t="str">
        <f>'II_Inkunabeln+'!BA130</f>
        <v>n</v>
      </c>
      <c r="X130" s="108"/>
      <c r="Y130" s="93">
        <f>'II_Inkunabeln+'!BI130</f>
        <v>0</v>
      </c>
      <c r="Z130" s="81">
        <f>'II_Inkunabeln+'!BJ130</f>
        <v>0</v>
      </c>
    </row>
    <row r="131" spans="1:26" x14ac:dyDescent="0.25">
      <c r="A131" s="63">
        <f>'II_Inkunabeln+'!A131</f>
        <v>126</v>
      </c>
      <c r="B131" s="63" t="str">
        <f>'II_Inkunabeln+'!B131</f>
        <v>L-1474-315496940</v>
      </c>
      <c r="C131" s="63">
        <f>'II_Inkunabeln+'!C131</f>
        <v>1066966656</v>
      </c>
      <c r="D131" s="84" t="str">
        <f>'II_Inkunabeln+'!D131</f>
        <v>https://portal.dnb.de/opac.htm?method=simpleSearch&amp;cqlMode=true&amp;query=idn%3D1066966656</v>
      </c>
      <c r="E131" s="65" t="str">
        <f>'II_Inkunabeln+'!E131</f>
        <v>II 4,3e -1</v>
      </c>
      <c r="F131" s="65" t="str">
        <f>'II_Inkunabeln+'!H131</f>
        <v>bis 42 cm</v>
      </c>
      <c r="G131" s="93" t="str">
        <f>'II_Inkunabeln+'!X131</f>
        <v>HD</v>
      </c>
      <c r="H131" s="93" t="str">
        <f>'II_Inkunabeln+'!AA131</f>
        <v>f/V</v>
      </c>
      <c r="I131" s="93">
        <f>'II_Inkunabeln+'!AC131</f>
        <v>0</v>
      </c>
      <c r="J131" s="94"/>
      <c r="K131" s="93">
        <f>'II_Inkunabeln+'!AD131</f>
        <v>0</v>
      </c>
      <c r="L131" s="94"/>
      <c r="M131" s="94"/>
      <c r="N131" s="94"/>
      <c r="O131" s="94"/>
      <c r="P131" s="94"/>
      <c r="Q131" s="94"/>
      <c r="R131" s="94"/>
      <c r="S131" s="94"/>
      <c r="T131" s="94"/>
      <c r="U131" s="94"/>
      <c r="V131" s="94"/>
      <c r="W131" s="94" t="str">
        <f>'II_Inkunabeln+'!BA131</f>
        <v>n</v>
      </c>
      <c r="X131" s="108"/>
      <c r="Y131" s="93">
        <f>'II_Inkunabeln+'!BI131</f>
        <v>0</v>
      </c>
      <c r="Z131" s="81">
        <f>'II_Inkunabeln+'!BJ131</f>
        <v>0</v>
      </c>
    </row>
    <row r="132" spans="1:26" x14ac:dyDescent="0.25">
      <c r="A132" s="63">
        <f>'II_Inkunabeln+'!A132</f>
        <v>0</v>
      </c>
      <c r="B132" s="63">
        <f>'II_Inkunabeln+'!B132</f>
        <v>0</v>
      </c>
      <c r="C132" s="63">
        <f>'II_Inkunabeln+'!C132</f>
        <v>0</v>
      </c>
      <c r="D132" s="84">
        <f>'II_Inkunabeln+'!D132</f>
        <v>0</v>
      </c>
      <c r="E132" s="65" t="str">
        <f>'II_Inkunabeln+'!E132</f>
        <v>II 4,3e -2</v>
      </c>
      <c r="F132" s="65" t="str">
        <f>'II_Inkunabeln+'!H132</f>
        <v>bis 42 cm</v>
      </c>
      <c r="G132" s="93" t="str">
        <f>'II_Inkunabeln+'!X132</f>
        <v>HD</v>
      </c>
      <c r="H132" s="93" t="str">
        <f>'II_Inkunabeln+'!AA132</f>
        <v>f/V</v>
      </c>
      <c r="I132" s="93">
        <f>'II_Inkunabeln+'!AC132</f>
        <v>0</v>
      </c>
      <c r="J132" s="94"/>
      <c r="K132" s="93">
        <f>'II_Inkunabeln+'!AD132</f>
        <v>0</v>
      </c>
      <c r="L132" s="94"/>
      <c r="M132" s="94"/>
      <c r="N132" s="94"/>
      <c r="O132" s="94"/>
      <c r="P132" s="94"/>
      <c r="Q132" s="94"/>
      <c r="R132" s="94"/>
      <c r="S132" s="94"/>
      <c r="T132" s="94"/>
      <c r="U132" s="94"/>
      <c r="V132" s="94"/>
      <c r="W132" s="94" t="str">
        <f>'II_Inkunabeln+'!BA132</f>
        <v>n</v>
      </c>
      <c r="X132" s="108"/>
      <c r="Y132" s="93">
        <f>'II_Inkunabeln+'!BI132</f>
        <v>0</v>
      </c>
      <c r="Z132" s="81">
        <f>'II_Inkunabeln+'!BJ132</f>
        <v>0</v>
      </c>
    </row>
    <row r="133" spans="1:26" x14ac:dyDescent="0.25">
      <c r="A133" s="63">
        <f>'II_Inkunabeln+'!A133</f>
        <v>127</v>
      </c>
      <c r="B133" s="63" t="str">
        <f>'II_Inkunabeln+'!B133</f>
        <v>L-1474-336752105</v>
      </c>
      <c r="C133" s="63">
        <f>'II_Inkunabeln+'!C133</f>
        <v>1077047428</v>
      </c>
      <c r="D133" s="84" t="str">
        <f>'II_Inkunabeln+'!D133</f>
        <v>https://portal.dnb.de/opac.htm?method=simpleSearch&amp;cqlMode=true&amp;query=idn%3D1077047428</v>
      </c>
      <c r="E133" s="65" t="str">
        <f>'II_Inkunabeln+'!E133</f>
        <v>II 4,3f</v>
      </c>
      <c r="F133" s="65">
        <f>'II_Inkunabeln+'!H133</f>
        <v>0</v>
      </c>
      <c r="G133" s="93">
        <f>'II_Inkunabeln+'!X133</f>
        <v>0</v>
      </c>
      <c r="H133" s="93">
        <f>'II_Inkunabeln+'!AA133</f>
        <v>0</v>
      </c>
      <c r="I133" s="93">
        <f>'II_Inkunabeln+'!AC133</f>
        <v>0</v>
      </c>
      <c r="J133" s="94"/>
      <c r="K133" s="93">
        <f>'II_Inkunabeln+'!AD133</f>
        <v>0</v>
      </c>
      <c r="L133" s="94"/>
      <c r="M133" s="94"/>
      <c r="N133" s="94"/>
      <c r="O133" s="94"/>
      <c r="P133" s="94"/>
      <c r="Q133" s="94"/>
      <c r="R133" s="94"/>
      <c r="S133" s="94"/>
      <c r="T133" s="94"/>
      <c r="U133" s="94"/>
      <c r="V133" s="94"/>
      <c r="W133" s="94">
        <f>'II_Inkunabeln+'!BA133</f>
        <v>0</v>
      </c>
      <c r="X133" s="108"/>
      <c r="Y133" s="93">
        <f>'II_Inkunabeln+'!BI133</f>
        <v>0</v>
      </c>
      <c r="Z133" s="81">
        <f>'II_Inkunabeln+'!BJ133</f>
        <v>0</v>
      </c>
    </row>
    <row r="134" spans="1:26" x14ac:dyDescent="0.25">
      <c r="A134" s="63">
        <f>'II_Inkunabeln+'!A134</f>
        <v>128</v>
      </c>
      <c r="B134" s="63" t="str">
        <f>'II_Inkunabeln+'!B134</f>
        <v>L-1475-315502444</v>
      </c>
      <c r="C134" s="63">
        <f>'II_Inkunabeln+'!C134</f>
        <v>1066972028</v>
      </c>
      <c r="D134" s="84" t="str">
        <f>'II_Inkunabeln+'!D134</f>
        <v>https://portal.dnb.de/opac.htm?method=simpleSearch&amp;cqlMode=true&amp;query=idn%3D1066972028</v>
      </c>
      <c r="E134" s="65" t="str">
        <f>'II_Inkunabeln+'!E134</f>
        <v>II 4,4a</v>
      </c>
      <c r="F134" s="65" t="str">
        <f>'II_Inkunabeln+'!H134</f>
        <v>bis 35 cm</v>
      </c>
      <c r="G134" s="93" t="str">
        <f>'II_Inkunabeln+'!X134</f>
        <v>L</v>
      </c>
      <c r="H134" s="93" t="str">
        <f>'II_Inkunabeln+'!AA134</f>
        <v>f</v>
      </c>
      <c r="I134" s="93">
        <f>'II_Inkunabeln+'!AC134</f>
        <v>0</v>
      </c>
      <c r="J134" s="94"/>
      <c r="K134" s="93">
        <f>'II_Inkunabeln+'!AD134</f>
        <v>0</v>
      </c>
      <c r="L134" s="94"/>
      <c r="M134" s="94"/>
      <c r="N134" s="94"/>
      <c r="O134" s="94"/>
      <c r="P134" s="94"/>
      <c r="Q134" s="94"/>
      <c r="R134" s="94"/>
      <c r="S134" s="94"/>
      <c r="T134" s="94"/>
      <c r="U134" s="94"/>
      <c r="V134" s="94"/>
      <c r="W134" s="94" t="str">
        <f>'II_Inkunabeln+'!BA134</f>
        <v>n</v>
      </c>
      <c r="X134" s="108"/>
      <c r="Y134" s="93">
        <f>'II_Inkunabeln+'!BI134</f>
        <v>0</v>
      </c>
      <c r="Z134" s="81">
        <f>'II_Inkunabeln+'!BJ134</f>
        <v>0</v>
      </c>
    </row>
    <row r="135" spans="1:26" x14ac:dyDescent="0.25">
      <c r="A135" s="63">
        <f>'II_Inkunabeln+'!A135</f>
        <v>129</v>
      </c>
      <c r="B135" s="63" t="str">
        <f>'II_Inkunabeln+'!B135</f>
        <v>L-1472-315494921</v>
      </c>
      <c r="C135" s="63" t="str">
        <f>'II_Inkunabeln+'!C135</f>
        <v>106696470X</v>
      </c>
      <c r="D135" s="84" t="str">
        <f>'II_Inkunabeln+'!D135</f>
        <v>https://portal.dnb.de/opac.htm?method=simpleSearch&amp;cqlMode=true&amp;query=idn%3D106696470X</v>
      </c>
      <c r="E135" s="65" t="str">
        <f>'II_Inkunabeln+'!E135</f>
        <v>II 4,4b</v>
      </c>
      <c r="F135" s="65" t="str">
        <f>'II_Inkunabeln+'!H135</f>
        <v>bis 35 cm</v>
      </c>
      <c r="G135" s="93" t="str">
        <f>'II_Inkunabeln+'!X135</f>
        <v>HL</v>
      </c>
      <c r="H135" s="93" t="str">
        <f>'II_Inkunabeln+'!AA135</f>
        <v>h/E</v>
      </c>
      <c r="I135" s="93">
        <f>'II_Inkunabeln+'!AC135</f>
        <v>0</v>
      </c>
      <c r="J135" s="94"/>
      <c r="K135" s="93">
        <f>'II_Inkunabeln+'!AD135</f>
        <v>0</v>
      </c>
      <c r="L135" s="94"/>
      <c r="M135" s="94"/>
      <c r="N135" s="94"/>
      <c r="O135" s="94"/>
      <c r="P135" s="94"/>
      <c r="Q135" s="94"/>
      <c r="R135" s="94"/>
      <c r="S135" s="94"/>
      <c r="T135" s="94"/>
      <c r="U135" s="94"/>
      <c r="V135" s="94"/>
      <c r="W135" s="94" t="str">
        <f>'II_Inkunabeln+'!BA135</f>
        <v>n</v>
      </c>
      <c r="X135" s="108"/>
      <c r="Y135" s="93">
        <f>'II_Inkunabeln+'!BI135</f>
        <v>0</v>
      </c>
      <c r="Z135" s="81">
        <f>'II_Inkunabeln+'!BJ135</f>
        <v>0</v>
      </c>
    </row>
    <row r="136" spans="1:26" x14ac:dyDescent="0.25">
      <c r="A136" s="63">
        <f>'II_Inkunabeln+'!A136</f>
        <v>130</v>
      </c>
      <c r="B136" s="63" t="str">
        <f>'II_Inkunabeln+'!B136</f>
        <v>L-1473-315500190</v>
      </c>
      <c r="C136" s="63">
        <f>'II_Inkunabeln+'!C136</f>
        <v>1066969868</v>
      </c>
      <c r="D136" s="84" t="str">
        <f>'II_Inkunabeln+'!D136</f>
        <v>https://portal.dnb.de/opac.htm?method=simpleSearch&amp;cqlMode=true&amp;query=idn%3D1066969868</v>
      </c>
      <c r="E136" s="65" t="str">
        <f>'II_Inkunabeln+'!E136</f>
        <v>II 4,4c</v>
      </c>
      <c r="F136" s="65" t="str">
        <f>'II_Inkunabeln+'!H136</f>
        <v>bis 35 cm</v>
      </c>
      <c r="G136" s="93" t="str">
        <f>'II_Inkunabeln+'!X136</f>
        <v>HL</v>
      </c>
      <c r="H136" s="93" t="str">
        <f>'II_Inkunabeln+'!AA136</f>
        <v>h/E</v>
      </c>
      <c r="I136" s="93" t="str">
        <f>'II_Inkunabeln+'!AC136</f>
        <v>x</v>
      </c>
      <c r="J136" s="94" t="s">
        <v>1633</v>
      </c>
      <c r="K136" s="93">
        <f>'II_Inkunabeln+'!AD136</f>
        <v>0</v>
      </c>
      <c r="L136" s="94"/>
      <c r="M136" s="94"/>
      <c r="N136" s="94" t="s">
        <v>1767</v>
      </c>
      <c r="O136" s="94"/>
      <c r="P136" s="94"/>
      <c r="Q136" s="94"/>
      <c r="R136" s="94"/>
      <c r="S136" s="94"/>
      <c r="T136" s="94"/>
      <c r="U136" s="94"/>
      <c r="V136" s="94"/>
      <c r="W136" s="94" t="str">
        <f>'II_Inkunabeln+'!BA136</f>
        <v>ja vor</v>
      </c>
      <c r="X136" s="108">
        <v>1</v>
      </c>
      <c r="Y136" s="93">
        <f>'II_Inkunabeln+'!BI136</f>
        <v>0</v>
      </c>
      <c r="Z136" s="81">
        <f>'II_Inkunabeln+'!BJ136</f>
        <v>0</v>
      </c>
    </row>
    <row r="137" spans="1:26" x14ac:dyDescent="0.25">
      <c r="A137" s="63">
        <f>'II_Inkunabeln+'!A137</f>
        <v>131</v>
      </c>
      <c r="B137" s="63" t="str">
        <f>'II_Inkunabeln+'!B137</f>
        <v>L-1474-315498587</v>
      </c>
      <c r="C137" s="63">
        <f>'II_Inkunabeln+'!C137</f>
        <v>1066968330</v>
      </c>
      <c r="D137" s="84" t="str">
        <f>'II_Inkunabeln+'!D137</f>
        <v>https://portal.dnb.de/opac.htm?method=simpleSearch&amp;cqlMode=true&amp;query=idn%3D1066968330</v>
      </c>
      <c r="E137" s="65" t="str">
        <f>'II_Inkunabeln+'!E137</f>
        <v>II 4,4d</v>
      </c>
      <c r="F137" s="65" t="str">
        <f>'II_Inkunabeln+'!H137</f>
        <v>bis 35 cm</v>
      </c>
      <c r="G137" s="93" t="str">
        <f>'II_Inkunabeln+'!X137</f>
        <v>HL</v>
      </c>
      <c r="H137" s="93" t="str">
        <f>'II_Inkunabeln+'!AA137</f>
        <v>h/E</v>
      </c>
      <c r="I137" s="93" t="str">
        <f>'II_Inkunabeln+'!AC137</f>
        <v>x</v>
      </c>
      <c r="J137" s="94" t="s">
        <v>1633</v>
      </c>
      <c r="K137" s="93">
        <f>'II_Inkunabeln+'!AD137</f>
        <v>0</v>
      </c>
      <c r="L137" s="94"/>
      <c r="M137" s="94"/>
      <c r="N137" s="94" t="s">
        <v>1767</v>
      </c>
      <c r="O137" s="94"/>
      <c r="P137" s="94"/>
      <c r="Q137" s="94"/>
      <c r="R137" s="94"/>
      <c r="S137" s="94"/>
      <c r="T137" s="94"/>
      <c r="U137" s="94"/>
      <c r="V137" s="94"/>
      <c r="W137" s="94" t="str">
        <f>'II_Inkunabeln+'!BA137</f>
        <v>ja vor</v>
      </c>
      <c r="X137" s="108">
        <v>1</v>
      </c>
      <c r="Y137" s="93">
        <f>'II_Inkunabeln+'!BI137</f>
        <v>0</v>
      </c>
      <c r="Z137" s="81">
        <f>'II_Inkunabeln+'!BJ137</f>
        <v>0</v>
      </c>
    </row>
    <row r="138" spans="1:26" x14ac:dyDescent="0.25">
      <c r="A138" s="63">
        <f>'II_Inkunabeln+'!A138</f>
        <v>132</v>
      </c>
      <c r="B138" s="63" t="str">
        <f>'II_Inkunabeln+'!B138</f>
        <v>L-1472-315496614</v>
      </c>
      <c r="C138" s="63">
        <f>'II_Inkunabeln+'!C138</f>
        <v>1066966338</v>
      </c>
      <c r="D138" s="84" t="str">
        <f>'II_Inkunabeln+'!D138</f>
        <v>https://portal.dnb.de/opac.htm?method=simpleSearch&amp;cqlMode=true&amp;query=idn%3D1066966338</v>
      </c>
      <c r="E138" s="65" t="str">
        <f>'II_Inkunabeln+'!E138</f>
        <v>II 4,4e</v>
      </c>
      <c r="F138" s="65" t="str">
        <f>'II_Inkunabeln+'!H138</f>
        <v>bis 25 cm</v>
      </c>
      <c r="G138" s="93" t="str">
        <f>'II_Inkunabeln+'!X138</f>
        <v>G</v>
      </c>
      <c r="H138" s="93" t="str">
        <f>'II_Inkunabeln+'!AA138</f>
        <v>h/E</v>
      </c>
      <c r="I138" s="93">
        <f>'II_Inkunabeln+'!AC138</f>
        <v>0</v>
      </c>
      <c r="J138" s="94"/>
      <c r="K138" s="93">
        <f>'II_Inkunabeln+'!AD138</f>
        <v>0</v>
      </c>
      <c r="L138" s="94"/>
      <c r="M138" s="94"/>
      <c r="N138" s="94"/>
      <c r="O138" s="94"/>
      <c r="P138" s="94"/>
      <c r="Q138" s="94"/>
      <c r="R138" s="94"/>
      <c r="S138" s="94"/>
      <c r="T138" s="94"/>
      <c r="U138" s="94"/>
      <c r="V138" s="94"/>
      <c r="W138" s="94" t="str">
        <f>'II_Inkunabeln+'!BA138</f>
        <v>n</v>
      </c>
      <c r="X138" s="108"/>
      <c r="Y138" s="93">
        <f>'II_Inkunabeln+'!BI138</f>
        <v>0</v>
      </c>
      <c r="Z138" s="81">
        <f>'II_Inkunabeln+'!BJ138</f>
        <v>0</v>
      </c>
    </row>
    <row r="139" spans="1:26" x14ac:dyDescent="0.25">
      <c r="A139" s="63">
        <f>'II_Inkunabeln+'!A139</f>
        <v>133</v>
      </c>
      <c r="B139" s="63" t="str">
        <f>'II_Inkunabeln+'!B139</f>
        <v>L-1475-326852794</v>
      </c>
      <c r="C139" s="63">
        <f>'II_Inkunabeln+'!C139</f>
        <v>1072053101</v>
      </c>
      <c r="D139" s="84" t="str">
        <f>'II_Inkunabeln+'!D139</f>
        <v>https://portal.dnb.de/opac.htm?method=simpleSearch&amp;cqlMode=true&amp;query=idn%3D1072053101</v>
      </c>
      <c r="E139" s="65" t="str">
        <f>'II_Inkunabeln+'!E139</f>
        <v>II 4,4f</v>
      </c>
      <c r="F139" s="65" t="str">
        <f>'II_Inkunabeln+'!H139</f>
        <v>bis 25 cm</v>
      </c>
      <c r="G139" s="93" t="str">
        <f>'II_Inkunabeln+'!X139</f>
        <v>Pg</v>
      </c>
      <c r="H139" s="93" t="str">
        <f>'II_Inkunabeln+'!AA139</f>
        <v>h</v>
      </c>
      <c r="I139" s="93">
        <f>'II_Inkunabeln+'!AC139</f>
        <v>0</v>
      </c>
      <c r="J139" s="94"/>
      <c r="K139" s="93">
        <f>'II_Inkunabeln+'!AD139</f>
        <v>0</v>
      </c>
      <c r="L139" s="94"/>
      <c r="M139" s="94"/>
      <c r="N139" s="94"/>
      <c r="O139" s="94"/>
      <c r="P139" s="94"/>
      <c r="Q139" s="94"/>
      <c r="R139" s="94"/>
      <c r="S139" s="94"/>
      <c r="T139" s="94"/>
      <c r="U139" s="94"/>
      <c r="V139" s="94"/>
      <c r="W139" s="94" t="str">
        <f>'II_Inkunabeln+'!BA139</f>
        <v>n</v>
      </c>
      <c r="X139" s="108"/>
      <c r="Y139" s="93">
        <f>'II_Inkunabeln+'!BI139</f>
        <v>0</v>
      </c>
      <c r="Z139" s="81">
        <f>'II_Inkunabeln+'!BJ139</f>
        <v>0</v>
      </c>
    </row>
    <row r="140" spans="1:26" x14ac:dyDescent="0.25">
      <c r="A140" s="63">
        <f>'II_Inkunabeln+'!A140</f>
        <v>134</v>
      </c>
      <c r="B140" s="63" t="str">
        <f>'II_Inkunabeln+'!B140</f>
        <v>L-1472-315498978</v>
      </c>
      <c r="C140" s="63">
        <f>'II_Inkunabeln+'!C140</f>
        <v>1066968721</v>
      </c>
      <c r="D140" s="84" t="str">
        <f>'II_Inkunabeln+'!D140</f>
        <v>https://portal.dnb.de/opac.htm?method=simpleSearch&amp;cqlMode=true&amp;query=idn%3D1066968721</v>
      </c>
      <c r="E140" s="65" t="str">
        <f>'II_Inkunabeln+'!E140</f>
        <v>II 4,4g</v>
      </c>
      <c r="F140" s="65" t="str">
        <f>'II_Inkunabeln+'!H140</f>
        <v>bis 25 cm</v>
      </c>
      <c r="G140" s="93" t="str">
        <f>'II_Inkunabeln+'!X140</f>
        <v>HD</v>
      </c>
      <c r="H140" s="93" t="str">
        <f>'II_Inkunabeln+'!AA140</f>
        <v>f</v>
      </c>
      <c r="I140" s="93">
        <f>'II_Inkunabeln+'!AC140</f>
        <v>0</v>
      </c>
      <c r="J140" s="94"/>
      <c r="K140" s="93">
        <f>'II_Inkunabeln+'!AD140</f>
        <v>0</v>
      </c>
      <c r="L140" s="94"/>
      <c r="M140" s="94"/>
      <c r="N140" s="94"/>
      <c r="O140" s="94"/>
      <c r="P140" s="94"/>
      <c r="Q140" s="94"/>
      <c r="R140" s="94"/>
      <c r="S140" s="94"/>
      <c r="T140" s="94"/>
      <c r="U140" s="94"/>
      <c r="V140" s="94"/>
      <c r="W140" s="94" t="str">
        <f>'II_Inkunabeln+'!BA140</f>
        <v>n</v>
      </c>
      <c r="X140" s="108"/>
      <c r="Y140" s="93">
        <f>'II_Inkunabeln+'!BI140</f>
        <v>0</v>
      </c>
      <c r="Z140" s="81">
        <f>'II_Inkunabeln+'!BJ140</f>
        <v>0</v>
      </c>
    </row>
    <row r="141" spans="1:26" x14ac:dyDescent="0.25">
      <c r="A141" s="63">
        <f>'II_Inkunabeln+'!A141</f>
        <v>135</v>
      </c>
      <c r="B141" s="63" t="str">
        <f>'II_Inkunabeln+'!B141</f>
        <v>L-1474-315500018</v>
      </c>
      <c r="C141" s="63">
        <f>'II_Inkunabeln+'!C141</f>
        <v>1066969671</v>
      </c>
      <c r="D141" s="84" t="str">
        <f>'II_Inkunabeln+'!D141</f>
        <v>https://portal.dnb.de/opac.htm?method=simpleSearch&amp;cqlMode=true&amp;query=idn%3D1066969671</v>
      </c>
      <c r="E141" s="65" t="str">
        <f>'II_Inkunabeln+'!E141</f>
        <v>II 4,4h</v>
      </c>
      <c r="F141" s="65" t="str">
        <f>'II_Inkunabeln+'!H141</f>
        <v>bis 35 cm</v>
      </c>
      <c r="G141" s="93" t="str">
        <f>'II_Inkunabeln+'!X141</f>
        <v>HL</v>
      </c>
      <c r="H141" s="93" t="str">
        <f>'II_Inkunabeln+'!AA141</f>
        <v>f/E</v>
      </c>
      <c r="I141" s="93">
        <f>'II_Inkunabeln+'!AC141</f>
        <v>0</v>
      </c>
      <c r="J141" s="94" t="s">
        <v>1633</v>
      </c>
      <c r="K141" s="93">
        <f>'II_Inkunabeln+'!AD141</f>
        <v>0</v>
      </c>
      <c r="L141" s="94"/>
      <c r="M141" s="94" t="s">
        <v>1633</v>
      </c>
      <c r="N141" s="94"/>
      <c r="O141" s="94"/>
      <c r="P141" s="94"/>
      <c r="Q141" s="94"/>
      <c r="R141" s="94"/>
      <c r="S141" s="94"/>
      <c r="T141" s="94"/>
      <c r="U141" s="94"/>
      <c r="V141" s="94"/>
      <c r="W141" s="94" t="str">
        <f>'II_Inkunabeln+'!BA141</f>
        <v>ja vor</v>
      </c>
      <c r="X141" s="108">
        <v>0.5</v>
      </c>
      <c r="Y141" s="93">
        <f>'II_Inkunabeln+'!BI141</f>
        <v>0</v>
      </c>
      <c r="Z141" s="81">
        <f>'II_Inkunabeln+'!BJ141</f>
        <v>0</v>
      </c>
    </row>
    <row r="142" spans="1:26" x14ac:dyDescent="0.25">
      <c r="A142" s="63">
        <f>'II_Inkunabeln+'!A142</f>
        <v>136</v>
      </c>
      <c r="B142" s="63" t="str">
        <f>'II_Inkunabeln+'!B142</f>
        <v>L-1489-31549610X</v>
      </c>
      <c r="C142" s="63">
        <f>'II_Inkunabeln+'!C142</f>
        <v>1066965838</v>
      </c>
      <c r="D142" s="84" t="str">
        <f>'II_Inkunabeln+'!D142</f>
        <v>https://portal.dnb.de/opac.htm?method=simpleSearch&amp;cqlMode=true&amp;query=idn%3D1066965838</v>
      </c>
      <c r="E142" s="65" t="str">
        <f>'II_Inkunabeln+'!E142</f>
        <v>II 4,5a</v>
      </c>
      <c r="F142" s="65" t="str">
        <f>'II_Inkunabeln+'!H142</f>
        <v>bis 35 cm</v>
      </c>
      <c r="G142" s="93" t="str">
        <f>'II_Inkunabeln+'!X142</f>
        <v>HD</v>
      </c>
      <c r="H142" s="93" t="str">
        <f>'II_Inkunabeln+'!AA142</f>
        <v>f</v>
      </c>
      <c r="I142" s="93">
        <f>'II_Inkunabeln+'!AC142</f>
        <v>0</v>
      </c>
      <c r="J142" s="94"/>
      <c r="K142" s="93">
        <f>'II_Inkunabeln+'!AD142</f>
        <v>0</v>
      </c>
      <c r="L142" s="94"/>
      <c r="M142" s="94"/>
      <c r="N142" s="94"/>
      <c r="O142" s="94"/>
      <c r="P142" s="94"/>
      <c r="Q142" s="94"/>
      <c r="R142" s="94"/>
      <c r="S142" s="94"/>
      <c r="T142" s="94"/>
      <c r="U142" s="94"/>
      <c r="V142" s="94"/>
      <c r="W142" s="94" t="str">
        <f>'II_Inkunabeln+'!BA142</f>
        <v>n</v>
      </c>
      <c r="X142" s="108"/>
      <c r="Y142" s="93">
        <f>'II_Inkunabeln+'!BI142</f>
        <v>0</v>
      </c>
      <c r="Z142" s="81">
        <f>'II_Inkunabeln+'!BJ142</f>
        <v>0</v>
      </c>
    </row>
    <row r="143" spans="1:26" x14ac:dyDescent="0.25">
      <c r="A143" s="63">
        <f>'II_Inkunabeln+'!A143</f>
        <v>137</v>
      </c>
      <c r="B143" s="63" t="str">
        <f>'II_Inkunabeln+'!B143</f>
        <v>L-1490-31549591X</v>
      </c>
      <c r="C143" s="63">
        <f>'II_Inkunabeln+'!C143</f>
        <v>1066965692</v>
      </c>
      <c r="D143" s="84" t="str">
        <f>'II_Inkunabeln+'!D143</f>
        <v>https://portal.dnb.de/opac.htm?method=simpleSearch&amp;cqlMode=true&amp;query=idn%3D1066965692</v>
      </c>
      <c r="E143" s="65" t="str">
        <f>'II_Inkunabeln+'!E143</f>
        <v>II 4,5b</v>
      </c>
      <c r="F143" s="65" t="str">
        <f>'II_Inkunabeln+'!H143</f>
        <v>bis 35 cm</v>
      </c>
      <c r="G143" s="93" t="str">
        <f>'II_Inkunabeln+'!X143</f>
        <v>HD</v>
      </c>
      <c r="H143" s="93" t="str">
        <f>'II_Inkunabeln+'!AA143</f>
        <v>f</v>
      </c>
      <c r="I143" s="93">
        <f>'II_Inkunabeln+'!AC143</f>
        <v>0</v>
      </c>
      <c r="J143" s="94" t="s">
        <v>1633</v>
      </c>
      <c r="K143" s="93">
        <f>'II_Inkunabeln+'!AD143</f>
        <v>0</v>
      </c>
      <c r="L143" s="94" t="s">
        <v>1633</v>
      </c>
      <c r="M143" s="94"/>
      <c r="N143" s="94" t="s">
        <v>1744</v>
      </c>
      <c r="O143" s="94">
        <v>4</v>
      </c>
      <c r="P143" s="94"/>
      <c r="Q143" s="94"/>
      <c r="R143" s="94"/>
      <c r="S143" s="94"/>
      <c r="T143" s="94"/>
      <c r="U143" s="94"/>
      <c r="V143" s="94"/>
      <c r="W143" s="94" t="str">
        <f>'II_Inkunabeln+'!BA143</f>
        <v>ja vor</v>
      </c>
      <c r="X143" s="108">
        <v>6</v>
      </c>
      <c r="Y143" s="93">
        <f>'II_Inkunabeln+'!BI143</f>
        <v>0</v>
      </c>
      <c r="Z143" s="81">
        <f>'II_Inkunabeln+'!BJ143</f>
        <v>0</v>
      </c>
    </row>
    <row r="144" spans="1:26" x14ac:dyDescent="0.25">
      <c r="A144" s="63">
        <f>'II_Inkunabeln+'!A144</f>
        <v>138</v>
      </c>
      <c r="B144" s="63" t="str">
        <f>'II_Inkunabeln+'!B144</f>
        <v>L-1490-315496010</v>
      </c>
      <c r="C144" s="63">
        <f>'II_Inkunabeln+'!C144</f>
        <v>1066965773</v>
      </c>
      <c r="D144" s="84" t="str">
        <f>'II_Inkunabeln+'!D144</f>
        <v>https://portal.dnb.de/opac.htm?method=simpleSearch&amp;cqlMode=true&amp;query=idn%3D1066965773</v>
      </c>
      <c r="E144" s="65" t="str">
        <f>'II_Inkunabeln+'!E144</f>
        <v>II 4,5c (angebunden an II 4,5b)</v>
      </c>
      <c r="F144" s="65" t="str">
        <f>'II_Inkunabeln+'!H144</f>
        <v>bis 35 cm</v>
      </c>
      <c r="G144" s="93" t="str">
        <f>'II_Inkunabeln+'!X144</f>
        <v>HD</v>
      </c>
      <c r="H144" s="93" t="str">
        <f>'II_Inkunabeln+'!AA144</f>
        <v>f</v>
      </c>
      <c r="I144" s="93">
        <f>'II_Inkunabeln+'!AC144</f>
        <v>0</v>
      </c>
      <c r="J144" s="94"/>
      <c r="K144" s="93">
        <f>'II_Inkunabeln+'!AD144</f>
        <v>0</v>
      </c>
      <c r="L144" s="94" t="s">
        <v>1633</v>
      </c>
      <c r="M144" s="94"/>
      <c r="N144" s="94"/>
      <c r="O144" s="94"/>
      <c r="P144" s="94"/>
      <c r="Q144" s="94"/>
      <c r="R144" s="94"/>
      <c r="S144" s="94"/>
      <c r="T144" s="94"/>
      <c r="U144" s="94"/>
      <c r="V144" s="94"/>
      <c r="W144" s="94" t="str">
        <f>'II_Inkunabeln+'!BA144</f>
        <v>ja vor</v>
      </c>
      <c r="X144" s="108">
        <v>0.5</v>
      </c>
      <c r="Y144" s="93">
        <f>'II_Inkunabeln+'!BI144</f>
        <v>0</v>
      </c>
      <c r="Z144" s="81">
        <f>'II_Inkunabeln+'!BJ144</f>
        <v>0</v>
      </c>
    </row>
    <row r="145" spans="1:26" x14ac:dyDescent="0.25">
      <c r="A145" s="63">
        <f>'II_Inkunabeln+'!A145</f>
        <v>139</v>
      </c>
      <c r="B145" s="63" t="str">
        <f>'II_Inkunabeln+'!B145</f>
        <v>L-1491-315497661</v>
      </c>
      <c r="C145" s="63">
        <f>'II_Inkunabeln+'!C145</f>
        <v>1066967407</v>
      </c>
      <c r="D145" s="84" t="str">
        <f>'II_Inkunabeln+'!D145</f>
        <v>https://portal.dnb.de/opac.htm?method=simpleSearch&amp;cqlMode=true&amp;query=idn%3D1066967407</v>
      </c>
      <c r="E145" s="65" t="str">
        <f>'II_Inkunabeln+'!E145</f>
        <v>II 4,5d</v>
      </c>
      <c r="F145" s="65" t="str">
        <f>'II_Inkunabeln+'!H145</f>
        <v>bis 35 cm</v>
      </c>
      <c r="G145" s="93" t="str">
        <f>'II_Inkunabeln+'!X145</f>
        <v>HD</v>
      </c>
      <c r="H145" s="93" t="str">
        <f>'II_Inkunabeln+'!AA145</f>
        <v>f</v>
      </c>
      <c r="I145" s="93">
        <f>'II_Inkunabeln+'!AC145</f>
        <v>0</v>
      </c>
      <c r="J145" s="94"/>
      <c r="K145" s="93">
        <f>'II_Inkunabeln+'!AD145</f>
        <v>0</v>
      </c>
      <c r="L145" s="94"/>
      <c r="M145" s="94"/>
      <c r="N145" s="94"/>
      <c r="O145" s="94"/>
      <c r="P145" s="94"/>
      <c r="Q145" s="94"/>
      <c r="R145" s="94"/>
      <c r="S145" s="94"/>
      <c r="T145" s="94"/>
      <c r="U145" s="94"/>
      <c r="V145" s="94"/>
      <c r="W145" s="94" t="str">
        <f>'II_Inkunabeln+'!BA145</f>
        <v>n</v>
      </c>
      <c r="X145" s="108"/>
      <c r="Y145" s="93">
        <f>'II_Inkunabeln+'!BI145</f>
        <v>0</v>
      </c>
      <c r="Z145" s="81">
        <f>'II_Inkunabeln+'!BJ145</f>
        <v>0</v>
      </c>
    </row>
    <row r="146" spans="1:26" ht="23" x14ac:dyDescent="0.25">
      <c r="A146" s="63">
        <f>'II_Inkunabeln+'!A146</f>
        <v>140</v>
      </c>
      <c r="B146" s="63" t="str">
        <f>'II_Inkunabeln+'!B146</f>
        <v>L-1492-329246070</v>
      </c>
      <c r="C146" s="63">
        <f>'II_Inkunabeln+'!C146</f>
        <v>1085177637</v>
      </c>
      <c r="D146" s="84" t="str">
        <f>'II_Inkunabeln+'!D146</f>
        <v>https://portal.dnb.de/opac.htm?method=simpleSearch&amp;cqlMode=true&amp;query=idn%3D1085177637</v>
      </c>
      <c r="E146" s="65" t="str">
        <f>'II_Inkunabeln+'!E146</f>
        <v>II 4,5e - 2</v>
      </c>
      <c r="F146" s="65" t="str">
        <f>'II_Inkunabeln+'!H146</f>
        <v>bis 35 cm</v>
      </c>
      <c r="G146" s="93" t="str">
        <f>'II_Inkunabeln+'!X146</f>
        <v>HL</v>
      </c>
      <c r="H146" s="93" t="str">
        <f>'II_Inkunabeln+'!AA146</f>
        <v>f</v>
      </c>
      <c r="I146" s="93">
        <f>'II_Inkunabeln+'!AC146</f>
        <v>0</v>
      </c>
      <c r="J146" s="94"/>
      <c r="K146" s="93">
        <f>'II_Inkunabeln+'!AD146</f>
        <v>0</v>
      </c>
      <c r="L146" s="94"/>
      <c r="M146" s="94"/>
      <c r="N146" s="94"/>
      <c r="O146" s="94"/>
      <c r="P146" s="94"/>
      <c r="Q146" s="94"/>
      <c r="R146" s="94"/>
      <c r="S146" s="94"/>
      <c r="T146" s="94"/>
      <c r="U146" s="94"/>
      <c r="V146" s="94"/>
      <c r="W146" s="94" t="str">
        <f>'II_Inkunabeln+'!BA146</f>
        <v>n</v>
      </c>
      <c r="X146" s="108"/>
      <c r="Y146" s="93">
        <f>'II_Inkunabeln+'!BI146</f>
        <v>0</v>
      </c>
      <c r="Z146" s="81" t="str">
        <f>'II_Inkunabeln+'!BJ146</f>
        <v>trotzt 180° Öffnungswinkel Textverlust (Marginalien)</v>
      </c>
    </row>
    <row r="147" spans="1:26" ht="23" x14ac:dyDescent="0.25">
      <c r="A147" s="63">
        <f>'II_Inkunabeln+'!A147</f>
        <v>141</v>
      </c>
      <c r="B147" s="63" t="str">
        <f>'II_Inkunabeln+'!B147</f>
        <v>L-1492-352777192</v>
      </c>
      <c r="C147" s="63">
        <f>'II_Inkunabeln+'!C147</f>
        <v>1085177750</v>
      </c>
      <c r="D147" s="84" t="str">
        <f>'II_Inkunabeln+'!D147</f>
        <v>https://portal.dnb.de/opac.htm?method=simpleSearch&amp;cqlMode=true&amp;query=idn%3D1085177750</v>
      </c>
      <c r="E147" s="65" t="str">
        <f>'II_Inkunabeln+'!E147</f>
        <v>II 4,5e - 3</v>
      </c>
      <c r="F147" s="65" t="str">
        <f>'II_Inkunabeln+'!H147</f>
        <v>bis 35 cm</v>
      </c>
      <c r="G147" s="93" t="str">
        <f>'II_Inkunabeln+'!X147</f>
        <v>HL</v>
      </c>
      <c r="H147" s="93" t="str">
        <f>'II_Inkunabeln+'!AA147</f>
        <v>f</v>
      </c>
      <c r="I147" s="93">
        <f>'II_Inkunabeln+'!AC147</f>
        <v>0</v>
      </c>
      <c r="J147" s="94"/>
      <c r="K147" s="93">
        <f>'II_Inkunabeln+'!AD147</f>
        <v>0</v>
      </c>
      <c r="L147" s="94"/>
      <c r="M147" s="94"/>
      <c r="N147" s="94"/>
      <c r="O147" s="94"/>
      <c r="P147" s="94"/>
      <c r="Q147" s="94"/>
      <c r="R147" s="94"/>
      <c r="S147" s="94"/>
      <c r="T147" s="94"/>
      <c r="U147" s="94"/>
      <c r="V147" s="94"/>
      <c r="W147" s="94" t="str">
        <f>'II_Inkunabeln+'!BA147</f>
        <v>n</v>
      </c>
      <c r="X147" s="108"/>
      <c r="Y147" s="93">
        <f>'II_Inkunabeln+'!BI147</f>
        <v>0</v>
      </c>
      <c r="Z147" s="81" t="str">
        <f>'II_Inkunabeln+'!BJ147</f>
        <v>trotzt 180° Öffnungswinkel Textverlust (Marginalien)</v>
      </c>
    </row>
    <row r="148" spans="1:26" x14ac:dyDescent="0.25">
      <c r="A148" s="63">
        <f>'II_Inkunabeln+'!A148</f>
        <v>142</v>
      </c>
      <c r="B148" s="63" t="str">
        <f>'II_Inkunabeln+'!B148</f>
        <v>L-1492-315495448</v>
      </c>
      <c r="C148" s="63">
        <f>'II_Inkunabeln+'!C148</f>
        <v>1085177238</v>
      </c>
      <c r="D148" s="84" t="str">
        <f>'II_Inkunabeln+'!D148</f>
        <v>https://portal.dnb.de/opac.htm?method=simpleSearch&amp;cqlMode=true&amp;query=idn%3D1085177238</v>
      </c>
      <c r="E148" s="65" t="str">
        <f>'II_Inkunabeln+'!E148</f>
        <v>II 4,5ea - Fragm.</v>
      </c>
      <c r="F148" s="65">
        <f>'II_Inkunabeln+'!H148</f>
        <v>0</v>
      </c>
      <c r="G148" s="93">
        <f>'II_Inkunabeln+'!X148</f>
        <v>0</v>
      </c>
      <c r="H148" s="93">
        <f>'II_Inkunabeln+'!AA148</f>
        <v>0</v>
      </c>
      <c r="I148" s="93">
        <f>'II_Inkunabeln+'!AC148</f>
        <v>0</v>
      </c>
      <c r="J148" s="94"/>
      <c r="K148" s="93">
        <f>'II_Inkunabeln+'!AD148</f>
        <v>0</v>
      </c>
      <c r="L148" s="94"/>
      <c r="M148" s="94"/>
      <c r="N148" s="94"/>
      <c r="O148" s="94"/>
      <c r="P148" s="94"/>
      <c r="Q148" s="94"/>
      <c r="R148" s="94"/>
      <c r="S148" s="94"/>
      <c r="T148" s="94"/>
      <c r="U148" s="94"/>
      <c r="V148" s="94"/>
      <c r="W148" s="94">
        <f>'II_Inkunabeln+'!BA148</f>
        <v>0</v>
      </c>
      <c r="X148" s="108"/>
      <c r="Y148" s="93">
        <f>'II_Inkunabeln+'!BI148</f>
        <v>0</v>
      </c>
      <c r="Z148" s="81">
        <f>'II_Inkunabeln+'!BJ148</f>
        <v>0</v>
      </c>
    </row>
    <row r="149" spans="1:26" ht="23" x14ac:dyDescent="0.25">
      <c r="A149" s="63">
        <f>'II_Inkunabeln+'!A149</f>
        <v>143</v>
      </c>
      <c r="B149" s="63" t="str">
        <f>'II_Inkunabeln+'!B149</f>
        <v>L-1493-31549493X</v>
      </c>
      <c r="C149" s="63">
        <f>'II_Inkunabeln+'!C149</f>
        <v>1066964734</v>
      </c>
      <c r="D149" s="84" t="str">
        <f>'II_Inkunabeln+'!D149</f>
        <v>https://portal.dnb.de/opac.htm?method=simpleSearch&amp;cqlMode=true&amp;query=idn%3D1066964734</v>
      </c>
      <c r="E149" s="65" t="str">
        <f>'II_Inkunabeln+'!E149</f>
        <v>II 4,5f</v>
      </c>
      <c r="F149" s="65" t="str">
        <f>'II_Inkunabeln+'!H149</f>
        <v>bis 35 cm</v>
      </c>
      <c r="G149" s="93" t="str">
        <f>'II_Inkunabeln+'!X149</f>
        <v>HD</v>
      </c>
      <c r="H149" s="93" t="str">
        <f>'II_Inkunabeln+'!AA149</f>
        <v>f</v>
      </c>
      <c r="I149" s="93">
        <f>'II_Inkunabeln+'!AC149</f>
        <v>0</v>
      </c>
      <c r="J149" s="94"/>
      <c r="K149" s="93">
        <f>'II_Inkunabeln+'!AD149</f>
        <v>0</v>
      </c>
      <c r="L149" s="94"/>
      <c r="M149" s="94"/>
      <c r="N149" s="94"/>
      <c r="O149" s="94"/>
      <c r="P149" s="94"/>
      <c r="Q149" s="94"/>
      <c r="R149" s="94"/>
      <c r="S149" s="94"/>
      <c r="T149" s="94"/>
      <c r="U149" s="94"/>
      <c r="V149" s="94"/>
      <c r="W149" s="94" t="str">
        <f>'II_Inkunabeln+'!BA149</f>
        <v>n</v>
      </c>
      <c r="X149" s="108"/>
      <c r="Y149" s="93">
        <f>'II_Inkunabeln+'!BI149</f>
        <v>0</v>
      </c>
      <c r="Z149" s="81" t="str">
        <f>'II_Inkunabeln+'!BJ149</f>
        <v>Klemmeinband in separater Box erhalten</v>
      </c>
    </row>
    <row r="150" spans="1:26" x14ac:dyDescent="0.25">
      <c r="A150" s="63">
        <f>'II_Inkunabeln+'!A150</f>
        <v>144</v>
      </c>
      <c r="B150" s="63" t="str">
        <f>'II_Inkunabeln+'!B150</f>
        <v>L-1496-315501774</v>
      </c>
      <c r="C150" s="63">
        <f>'II_Inkunabeln+'!C150</f>
        <v>1066971404</v>
      </c>
      <c r="D150" s="84" t="str">
        <f>'II_Inkunabeln+'!D150</f>
        <v>https://portal.dnb.de/opac.htm?method=simpleSearch&amp;cqlMode=true&amp;query=idn%3D1066971404</v>
      </c>
      <c r="E150" s="65" t="str">
        <f>'II_Inkunabeln+'!E150</f>
        <v>II 4,5g</v>
      </c>
      <c r="F150" s="65" t="str">
        <f>'II_Inkunabeln+'!H150</f>
        <v>bis 35 cm</v>
      </c>
      <c r="G150" s="93" t="str">
        <f>'II_Inkunabeln+'!X150</f>
        <v>HD</v>
      </c>
      <c r="H150" s="93" t="str">
        <f>'II_Inkunabeln+'!AA150</f>
        <v>f</v>
      </c>
      <c r="I150" s="93">
        <f>'II_Inkunabeln+'!AC150</f>
        <v>0</v>
      </c>
      <c r="J150" s="94" t="s">
        <v>1633</v>
      </c>
      <c r="K150" s="93">
        <f>'II_Inkunabeln+'!AD150</f>
        <v>0</v>
      </c>
      <c r="L150" s="94"/>
      <c r="M150" s="94"/>
      <c r="N150" s="94"/>
      <c r="O150" s="94"/>
      <c r="P150" s="94"/>
      <c r="Q150" s="94"/>
      <c r="R150" s="94" t="s">
        <v>1769</v>
      </c>
      <c r="S150" s="94"/>
      <c r="T150" s="94"/>
      <c r="U150" s="94"/>
      <c r="V150" s="94"/>
      <c r="W150" s="94" t="str">
        <f>'II_Inkunabeln+'!BA150</f>
        <v>ja vor</v>
      </c>
      <c r="X150" s="108">
        <v>1</v>
      </c>
      <c r="Y150" s="93">
        <f>'II_Inkunabeln+'!BI150</f>
        <v>0</v>
      </c>
      <c r="Z150" s="81">
        <f>'II_Inkunabeln+'!BJ150</f>
        <v>0</v>
      </c>
    </row>
    <row r="151" spans="1:26" x14ac:dyDescent="0.25">
      <c r="A151" s="63">
        <f>'II_Inkunabeln+'!A151</f>
        <v>145</v>
      </c>
      <c r="B151" s="63" t="str">
        <f>'II_Inkunabeln+'!B151</f>
        <v>L-1483-315501367</v>
      </c>
      <c r="C151" s="63">
        <f>'II_Inkunabeln+'!C151</f>
        <v>1066971005</v>
      </c>
      <c r="D151" s="84" t="str">
        <f>'II_Inkunabeln+'!D151</f>
        <v>https://portal.dnb.de/opac.htm?method=simpleSearch&amp;cqlMode=true&amp;query=idn%3D1066971005</v>
      </c>
      <c r="E151" s="65" t="str">
        <f>'II_Inkunabeln+'!E151</f>
        <v>II 4,6a</v>
      </c>
      <c r="F151" s="65" t="str">
        <f>'II_Inkunabeln+'!H151</f>
        <v>bis 25 cm</v>
      </c>
      <c r="G151" s="93" t="str">
        <f>'II_Inkunabeln+'!X151</f>
        <v>HL</v>
      </c>
      <c r="H151" s="93" t="str">
        <f>'II_Inkunabeln+'!AA151</f>
        <v>h/E</v>
      </c>
      <c r="I151" s="93">
        <f>'II_Inkunabeln+'!AC151</f>
        <v>0</v>
      </c>
      <c r="J151" s="94"/>
      <c r="K151" s="93">
        <f>'II_Inkunabeln+'!AD151</f>
        <v>0</v>
      </c>
      <c r="L151" s="94"/>
      <c r="M151" s="94"/>
      <c r="N151" s="94"/>
      <c r="O151" s="94"/>
      <c r="P151" s="94"/>
      <c r="Q151" s="94"/>
      <c r="R151" s="94"/>
      <c r="S151" s="94"/>
      <c r="T151" s="94"/>
      <c r="U151" s="94"/>
      <c r="V151" s="94"/>
      <c r="W151" s="94" t="str">
        <f>'II_Inkunabeln+'!BA151</f>
        <v>n</v>
      </c>
      <c r="X151" s="108"/>
      <c r="Y151" s="93">
        <f>'II_Inkunabeln+'!BI151</f>
        <v>0</v>
      </c>
      <c r="Z151" s="81">
        <f>'II_Inkunabeln+'!BJ151</f>
        <v>0</v>
      </c>
    </row>
    <row r="152" spans="1:26" x14ac:dyDescent="0.25">
      <c r="A152" s="63">
        <f>'II_Inkunabeln+'!A152</f>
        <v>146</v>
      </c>
      <c r="B152" s="63" t="str">
        <f>'II_Inkunabeln+'!B152</f>
        <v>L-1486-315501936</v>
      </c>
      <c r="C152" s="63">
        <f>'II_Inkunabeln+'!C152</f>
        <v>1066971552</v>
      </c>
      <c r="D152" s="84" t="str">
        <f>'II_Inkunabeln+'!D152</f>
        <v>https://portal.dnb.de/opac.htm?method=simpleSearch&amp;cqlMode=true&amp;query=idn%3D1066971552</v>
      </c>
      <c r="E152" s="65" t="str">
        <f>'II_Inkunabeln+'!E152</f>
        <v>II 4,7a</v>
      </c>
      <c r="F152" s="65" t="str">
        <f>'II_Inkunabeln+'!H152</f>
        <v>bis 35 cm</v>
      </c>
      <c r="G152" s="93" t="str">
        <f>'II_Inkunabeln+'!X152</f>
        <v>HL</v>
      </c>
      <c r="H152" s="93" t="str">
        <f>'II_Inkunabeln+'!AA152</f>
        <v>f/V</v>
      </c>
      <c r="I152" s="93" t="str">
        <f>'II_Inkunabeln+'!AC152</f>
        <v>x</v>
      </c>
      <c r="J152" s="94" t="s">
        <v>1633</v>
      </c>
      <c r="K152" s="93">
        <f>'II_Inkunabeln+'!AD152</f>
        <v>0</v>
      </c>
      <c r="L152" s="94" t="s">
        <v>1633</v>
      </c>
      <c r="M152" s="94"/>
      <c r="N152" s="94" t="s">
        <v>1744</v>
      </c>
      <c r="O152" s="94"/>
      <c r="P152" s="94"/>
      <c r="Q152" s="94"/>
      <c r="R152" s="94"/>
      <c r="S152" s="94"/>
      <c r="T152" s="94"/>
      <c r="U152" s="94"/>
      <c r="V152" s="94"/>
      <c r="W152" s="94" t="str">
        <f>'II_Inkunabeln+'!BA152</f>
        <v>ja vor</v>
      </c>
      <c r="X152" s="108">
        <v>1</v>
      </c>
      <c r="Y152" s="93">
        <f>'II_Inkunabeln+'!BI152</f>
        <v>0</v>
      </c>
      <c r="Z152" s="81">
        <f>'II_Inkunabeln+'!BJ152</f>
        <v>0</v>
      </c>
    </row>
    <row r="153" spans="1:26" x14ac:dyDescent="0.25">
      <c r="A153" s="63">
        <f>'II_Inkunabeln+'!A153</f>
        <v>147</v>
      </c>
      <c r="B153" s="63" t="str">
        <f>'II_Inkunabeln+'!B153</f>
        <v>L-1487-315500654</v>
      </c>
      <c r="C153" s="63">
        <f>'II_Inkunabeln+'!C153</f>
        <v>1066970319</v>
      </c>
      <c r="D153" s="84" t="str">
        <f>'II_Inkunabeln+'!D153</f>
        <v>https://portal.dnb.de/opac.htm?method=simpleSearch&amp;cqlMode=true&amp;query=idn%3D1066970319</v>
      </c>
      <c r="E153" s="65" t="str">
        <f>'II_Inkunabeln+'!E153</f>
        <v>II 4,7b</v>
      </c>
      <c r="F153" s="65" t="str">
        <f>'II_Inkunabeln+'!H153</f>
        <v>bis 35 cm</v>
      </c>
      <c r="G153" s="93" t="str">
        <f>'II_Inkunabeln+'!X153</f>
        <v>HD</v>
      </c>
      <c r="H153" s="93" t="str">
        <f>'II_Inkunabeln+'!AA153</f>
        <v>f/V</v>
      </c>
      <c r="I153" s="93">
        <f>'II_Inkunabeln+'!AC153</f>
        <v>0</v>
      </c>
      <c r="J153" s="94"/>
      <c r="K153" s="93">
        <f>'II_Inkunabeln+'!AD153</f>
        <v>0</v>
      </c>
      <c r="L153" s="94" t="s">
        <v>1633</v>
      </c>
      <c r="M153" s="94"/>
      <c r="N153" s="94"/>
      <c r="O153" s="94"/>
      <c r="P153" s="94"/>
      <c r="Q153" s="94"/>
      <c r="R153" s="94"/>
      <c r="S153" s="94"/>
      <c r="T153" s="94"/>
      <c r="U153" s="94"/>
      <c r="V153" s="94"/>
      <c r="W153" s="94" t="str">
        <f>'II_Inkunabeln+'!BA153</f>
        <v>ja vor</v>
      </c>
      <c r="X153" s="108">
        <v>0.5</v>
      </c>
      <c r="Y153" s="93">
        <f>'II_Inkunabeln+'!BI153</f>
        <v>0</v>
      </c>
      <c r="Z153" s="81">
        <f>'II_Inkunabeln+'!BJ153</f>
        <v>0</v>
      </c>
    </row>
    <row r="154" spans="1:26" x14ac:dyDescent="0.25">
      <c r="A154" s="63">
        <f>'II_Inkunabeln+'!A154</f>
        <v>148</v>
      </c>
      <c r="B154" s="63" t="str">
        <f>'II_Inkunabeln+'!B154</f>
        <v>L-1486-465330959</v>
      </c>
      <c r="C154" s="63">
        <f>'II_Inkunabeln+'!C154</f>
        <v>1168282241</v>
      </c>
      <c r="D154" s="84" t="str">
        <f>'II_Inkunabeln+'!D154</f>
        <v>https://portal.dnb.de/opac.htm?method=simpleSearch&amp;cqlMode=true&amp;query=idn%3D1168282241</v>
      </c>
      <c r="E154" s="65" t="str">
        <f>'II_Inkunabeln+'!E154</f>
        <v>II 4,7b (angebunden)</v>
      </c>
      <c r="F154" s="65">
        <f>'II_Inkunabeln+'!H154</f>
        <v>0</v>
      </c>
      <c r="G154" s="93">
        <f>'II_Inkunabeln+'!X154</f>
        <v>0</v>
      </c>
      <c r="H154" s="93">
        <f>'II_Inkunabeln+'!AA154</f>
        <v>0</v>
      </c>
      <c r="I154" s="93">
        <f>'II_Inkunabeln+'!AC154</f>
        <v>0</v>
      </c>
      <c r="J154" s="94"/>
      <c r="K154" s="93">
        <f>'II_Inkunabeln+'!AD154</f>
        <v>0</v>
      </c>
      <c r="L154" s="94"/>
      <c r="M154" s="94"/>
      <c r="N154" s="94"/>
      <c r="O154" s="94"/>
      <c r="P154" s="94"/>
      <c r="Q154" s="94"/>
      <c r="R154" s="94"/>
      <c r="S154" s="94"/>
      <c r="T154" s="94"/>
      <c r="U154" s="94"/>
      <c r="V154" s="94"/>
      <c r="W154" s="94">
        <f>'II_Inkunabeln+'!BA154</f>
        <v>0</v>
      </c>
      <c r="X154" s="108"/>
      <c r="Y154" s="93">
        <f>'II_Inkunabeln+'!BI154</f>
        <v>0</v>
      </c>
      <c r="Z154" s="81">
        <f>'II_Inkunabeln+'!BJ154</f>
        <v>0</v>
      </c>
    </row>
    <row r="155" spans="1:26" x14ac:dyDescent="0.25">
      <c r="A155" s="63">
        <f>'II_Inkunabeln+'!A155</f>
        <v>149</v>
      </c>
      <c r="B155" s="63" t="str">
        <f>'II_Inkunabeln+'!B155</f>
        <v>L-1487-315496770</v>
      </c>
      <c r="C155" s="63">
        <f>'II_Inkunabeln+'!C155</f>
        <v>1066966486</v>
      </c>
      <c r="D155" s="84" t="str">
        <f>'II_Inkunabeln+'!D155</f>
        <v>https://portal.dnb.de/opac.htm?method=simpleSearch&amp;cqlMode=true&amp;query=idn%3D1066966486</v>
      </c>
      <c r="E155" s="65" t="str">
        <f>'II_Inkunabeln+'!E155</f>
        <v>II 4,7c</v>
      </c>
      <c r="F155" s="65" t="str">
        <f>'II_Inkunabeln+'!H155</f>
        <v>bis 35 cm</v>
      </c>
      <c r="G155" s="93" t="str">
        <f>'II_Inkunabeln+'!X155</f>
        <v>HL</v>
      </c>
      <c r="H155" s="93" t="str">
        <f>'II_Inkunabeln+'!AA155</f>
        <v>f/V</v>
      </c>
      <c r="I155" s="93">
        <f>'II_Inkunabeln+'!AC155</f>
        <v>0</v>
      </c>
      <c r="J155" s="94"/>
      <c r="K155" s="93">
        <f>'II_Inkunabeln+'!AD155</f>
        <v>0</v>
      </c>
      <c r="L155" s="94"/>
      <c r="M155" s="94"/>
      <c r="N155" s="94"/>
      <c r="O155" s="94"/>
      <c r="P155" s="94"/>
      <c r="Q155" s="94"/>
      <c r="R155" s="94"/>
      <c r="S155" s="94"/>
      <c r="T155" s="94"/>
      <c r="U155" s="94"/>
      <c r="V155" s="94"/>
      <c r="W155" s="94" t="str">
        <f>'II_Inkunabeln+'!BA155</f>
        <v>n</v>
      </c>
      <c r="X155" s="108"/>
      <c r="Y155" s="93">
        <f>'II_Inkunabeln+'!BI155</f>
        <v>0</v>
      </c>
      <c r="Z155" s="81">
        <f>'II_Inkunabeln+'!BJ155</f>
        <v>0</v>
      </c>
    </row>
    <row r="156" spans="1:26" x14ac:dyDescent="0.25">
      <c r="A156" s="63">
        <f>'II_Inkunabeln+'!A156</f>
        <v>150</v>
      </c>
      <c r="B156" s="63" t="str">
        <f>'II_Inkunabeln+'!B156</f>
        <v>L-1489-315496363</v>
      </c>
      <c r="C156" s="63">
        <f>'II_Inkunabeln+'!C156</f>
        <v>1066966060</v>
      </c>
      <c r="D156" s="84" t="str">
        <f>'II_Inkunabeln+'!D156</f>
        <v>https://portal.dnb.de/opac.htm?method=simpleSearch&amp;cqlMode=true&amp;query=idn%3D1066966060</v>
      </c>
      <c r="E156" s="65" t="str">
        <f>'II_Inkunabeln+'!E156</f>
        <v>II 4,7d</v>
      </c>
      <c r="F156" s="65" t="str">
        <f>'II_Inkunabeln+'!H156</f>
        <v>bis 35 cm</v>
      </c>
      <c r="G156" s="93" t="str">
        <f>'II_Inkunabeln+'!X156</f>
        <v>HD</v>
      </c>
      <c r="H156" s="93" t="str">
        <f>'II_Inkunabeln+'!AA156</f>
        <v>f/V</v>
      </c>
      <c r="I156" s="93" t="str">
        <f>'II_Inkunabeln+'!AC156</f>
        <v>x</v>
      </c>
      <c r="J156" s="94" t="s">
        <v>1633</v>
      </c>
      <c r="K156" s="93">
        <f>'II_Inkunabeln+'!AD156</f>
        <v>0</v>
      </c>
      <c r="L156" s="94" t="s">
        <v>1633</v>
      </c>
      <c r="M156" s="94"/>
      <c r="N156" s="94" t="s">
        <v>1744</v>
      </c>
      <c r="O156" s="94"/>
      <c r="P156" s="94"/>
      <c r="Q156" s="94"/>
      <c r="R156" s="94"/>
      <c r="S156" s="94"/>
      <c r="T156" s="94"/>
      <c r="U156" s="94"/>
      <c r="V156" s="94"/>
      <c r="W156" s="94" t="str">
        <f>'II_Inkunabeln+'!BA156</f>
        <v>ja vor</v>
      </c>
      <c r="X156" s="108">
        <v>1</v>
      </c>
      <c r="Y156" s="93">
        <f>'II_Inkunabeln+'!BI156</f>
        <v>0</v>
      </c>
      <c r="Z156" s="81">
        <f>'II_Inkunabeln+'!BJ156</f>
        <v>0</v>
      </c>
    </row>
    <row r="157" spans="1:26" x14ac:dyDescent="0.25">
      <c r="A157" s="63">
        <f>'II_Inkunabeln+'!A157</f>
        <v>151</v>
      </c>
      <c r="B157" s="63" t="str">
        <f>'II_Inkunabeln+'!B157</f>
        <v>L-1489-315501944</v>
      </c>
      <c r="C157" s="63">
        <f>'II_Inkunabeln+'!C157</f>
        <v>1066971560</v>
      </c>
      <c r="D157" s="84" t="str">
        <f>'II_Inkunabeln+'!D157</f>
        <v>https://portal.dnb.de/opac.htm?method=simpleSearch&amp;cqlMode=true&amp;query=idn%3D1066971560</v>
      </c>
      <c r="E157" s="65" t="str">
        <f>'II_Inkunabeln+'!E157</f>
        <v>II 4,7e</v>
      </c>
      <c r="F157" s="65" t="str">
        <f>'II_Inkunabeln+'!H157</f>
        <v>bis 35 cm</v>
      </c>
      <c r="G157" s="93" t="str">
        <f>'II_Inkunabeln+'!X157</f>
        <v>HD</v>
      </c>
      <c r="H157" s="93" t="str">
        <f>'II_Inkunabeln+'!AA157</f>
        <v>f/V</v>
      </c>
      <c r="I157" s="93">
        <f>'II_Inkunabeln+'!AC157</f>
        <v>0</v>
      </c>
      <c r="J157" s="94"/>
      <c r="K157" s="93">
        <f>'II_Inkunabeln+'!AD157</f>
        <v>0</v>
      </c>
      <c r="L157" s="94"/>
      <c r="M157" s="94"/>
      <c r="N157" s="94"/>
      <c r="O157" s="94"/>
      <c r="P157" s="94"/>
      <c r="Q157" s="94"/>
      <c r="R157" s="94"/>
      <c r="S157" s="94"/>
      <c r="T157" s="94"/>
      <c r="U157" s="94"/>
      <c r="V157" s="94"/>
      <c r="W157" s="94" t="str">
        <f>'II_Inkunabeln+'!BA157</f>
        <v>n</v>
      </c>
      <c r="X157" s="108"/>
      <c r="Y157" s="93">
        <f>'II_Inkunabeln+'!BI157</f>
        <v>0</v>
      </c>
      <c r="Z157" s="81">
        <f>'II_Inkunabeln+'!BJ157</f>
        <v>0</v>
      </c>
    </row>
    <row r="158" spans="1:26" x14ac:dyDescent="0.25">
      <c r="A158" s="63">
        <f>'II_Inkunabeln+'!A158</f>
        <v>152</v>
      </c>
      <c r="B158" s="63" t="str">
        <f>'II_Inkunabeln+'!B158</f>
        <v>L-1492-315502975</v>
      </c>
      <c r="C158" s="63">
        <f>'II_Inkunabeln+'!C158</f>
        <v>1066972559</v>
      </c>
      <c r="D158" s="84" t="str">
        <f>'II_Inkunabeln+'!D158</f>
        <v>https://portal.dnb.de/opac.htm?method=simpleSearch&amp;cqlMode=true&amp;query=idn%3D1066972559</v>
      </c>
      <c r="E158" s="65" t="str">
        <f>'II_Inkunabeln+'!E158</f>
        <v>II 4,7f</v>
      </c>
      <c r="F158" s="65" t="str">
        <f>'II_Inkunabeln+'!H158</f>
        <v>bis 35 cm</v>
      </c>
      <c r="G158" s="93" t="str">
        <f>'II_Inkunabeln+'!X158</f>
        <v>HL</v>
      </c>
      <c r="H158" s="93" t="str">
        <f>'II_Inkunabeln+'!AA158</f>
        <v>h/E</v>
      </c>
      <c r="I158" s="93" t="str">
        <f>'II_Inkunabeln+'!AC158</f>
        <v>x</v>
      </c>
      <c r="J158" s="94" t="s">
        <v>1633</v>
      </c>
      <c r="K158" s="93">
        <f>'II_Inkunabeln+'!AD158</f>
        <v>0</v>
      </c>
      <c r="L158" s="94"/>
      <c r="M158" s="94"/>
      <c r="N158" s="94" t="s">
        <v>1767</v>
      </c>
      <c r="O158" s="94"/>
      <c r="P158" s="94"/>
      <c r="Q158" s="94"/>
      <c r="R158" s="94"/>
      <c r="S158" s="94"/>
      <c r="T158" s="94"/>
      <c r="U158" s="94"/>
      <c r="V158" s="94"/>
      <c r="W158" s="94" t="str">
        <f>'II_Inkunabeln+'!BA158</f>
        <v>ja vor</v>
      </c>
      <c r="X158" s="108">
        <v>0.5</v>
      </c>
      <c r="Y158" s="93">
        <f>'II_Inkunabeln+'!BI158</f>
        <v>0</v>
      </c>
      <c r="Z158" s="81">
        <f>'II_Inkunabeln+'!BJ158</f>
        <v>0</v>
      </c>
    </row>
    <row r="159" spans="1:26" x14ac:dyDescent="0.25">
      <c r="A159" s="63">
        <f>'II_Inkunabeln+'!A159</f>
        <v>153</v>
      </c>
      <c r="B159" s="63" t="str">
        <f>'II_Inkunabeln+'!B159</f>
        <v>L-1495-315496568</v>
      </c>
      <c r="C159" s="63">
        <f>'II_Inkunabeln+'!C159</f>
        <v>1066966273</v>
      </c>
      <c r="D159" s="84" t="str">
        <f>'II_Inkunabeln+'!D159</f>
        <v>https://portal.dnb.de/opac.htm?method=simpleSearch&amp;cqlMode=true&amp;query=idn%3D1066966273</v>
      </c>
      <c r="E159" s="65" t="str">
        <f>'II_Inkunabeln+'!E159</f>
        <v>II 4,7g</v>
      </c>
      <c r="F159" s="65" t="str">
        <f>'II_Inkunabeln+'!H159</f>
        <v>bis 35 cm</v>
      </c>
      <c r="G159" s="93" t="str">
        <f>'II_Inkunabeln+'!X159</f>
        <v>HD</v>
      </c>
      <c r="H159" s="93" t="str">
        <f>'II_Inkunabeln+'!AA159</f>
        <v>f/V</v>
      </c>
      <c r="I159" s="93">
        <f>'II_Inkunabeln+'!AC159</f>
        <v>0</v>
      </c>
      <c r="J159" s="94"/>
      <c r="K159" s="93">
        <f>'II_Inkunabeln+'!AD159</f>
        <v>0</v>
      </c>
      <c r="L159" s="94" t="s">
        <v>1633</v>
      </c>
      <c r="M159" s="94"/>
      <c r="N159" s="94" t="s">
        <v>1744</v>
      </c>
      <c r="O159" s="94"/>
      <c r="P159" s="94"/>
      <c r="Q159" s="94"/>
      <c r="R159" s="94"/>
      <c r="S159" s="94"/>
      <c r="T159" s="94"/>
      <c r="U159" s="94"/>
      <c r="V159" s="94"/>
      <c r="W159" s="94" t="str">
        <f>'II_Inkunabeln+'!BA159</f>
        <v>ja vor</v>
      </c>
      <c r="X159" s="108">
        <v>2</v>
      </c>
      <c r="Y159" s="93">
        <f>'II_Inkunabeln+'!BI159</f>
        <v>0</v>
      </c>
      <c r="Z159" s="81">
        <f>'II_Inkunabeln+'!BJ159</f>
        <v>0</v>
      </c>
    </row>
    <row r="160" spans="1:26" x14ac:dyDescent="0.25">
      <c r="A160" s="63">
        <f>'II_Inkunabeln+'!A160</f>
        <v>154</v>
      </c>
      <c r="B160" s="63" t="str">
        <f>'II_Inkunabeln+'!B160</f>
        <v>L-1496-315498986</v>
      </c>
      <c r="C160" s="63" t="str">
        <f>'II_Inkunabeln+'!C160</f>
        <v>106696873X</v>
      </c>
      <c r="D160" s="84" t="str">
        <f>'II_Inkunabeln+'!D160</f>
        <v>https://portal.dnb.de/opac.htm?method=simpleSearch&amp;cqlMode=true&amp;query=idn%3D106696873X</v>
      </c>
      <c r="E160" s="65" t="str">
        <f>'II_Inkunabeln+'!E160</f>
        <v>II 4,8a</v>
      </c>
      <c r="F160" s="65" t="str">
        <f>'II_Inkunabeln+'!H160</f>
        <v>bis 25 cm</v>
      </c>
      <c r="G160" s="93" t="str">
        <f>'II_Inkunabeln+'!X160</f>
        <v>HL</v>
      </c>
      <c r="H160" s="93" t="str">
        <f>'II_Inkunabeln+'!AA160</f>
        <v>f/E</v>
      </c>
      <c r="I160" s="93" t="str">
        <f>'II_Inkunabeln+'!AC160</f>
        <v>x</v>
      </c>
      <c r="J160" s="94" t="s">
        <v>1633</v>
      </c>
      <c r="K160" s="93">
        <f>'II_Inkunabeln+'!AD160</f>
        <v>0</v>
      </c>
      <c r="L160" s="94"/>
      <c r="M160" s="94"/>
      <c r="N160" s="94"/>
      <c r="O160" s="94"/>
      <c r="P160" s="94"/>
      <c r="Q160" s="94"/>
      <c r="R160" s="94"/>
      <c r="S160" s="94"/>
      <c r="T160" s="94"/>
      <c r="U160" s="94"/>
      <c r="V160" s="94"/>
      <c r="W160" s="94" t="str">
        <f>'II_Inkunabeln+'!BA160</f>
        <v>ja vor</v>
      </c>
      <c r="X160" s="108">
        <v>0.5</v>
      </c>
      <c r="Y160" s="93">
        <f>'II_Inkunabeln+'!BI160</f>
        <v>0</v>
      </c>
      <c r="Z160" s="81">
        <f>'II_Inkunabeln+'!BJ160</f>
        <v>0</v>
      </c>
    </row>
    <row r="161" spans="1:26" x14ac:dyDescent="0.25">
      <c r="A161" s="63">
        <f>'II_Inkunabeln+'!A161</f>
        <v>155</v>
      </c>
      <c r="B161" s="63" t="str">
        <f>'II_Inkunabeln+'!B161</f>
        <v>L-1496-315498897</v>
      </c>
      <c r="C161" s="63">
        <f>'II_Inkunabeln+'!C161</f>
        <v>1066968632</v>
      </c>
      <c r="D161" s="84" t="str">
        <f>'II_Inkunabeln+'!D161</f>
        <v>https://portal.dnb.de/opac.htm?method=simpleSearch&amp;cqlMode=true&amp;query=idn%3D1066968632</v>
      </c>
      <c r="E161" s="65" t="str">
        <f>'II_Inkunabeln+'!E161</f>
        <v>II 4,8c</v>
      </c>
      <c r="F161" s="65" t="str">
        <f>'II_Inkunabeln+'!H161</f>
        <v>bis 25 cm</v>
      </c>
      <c r="G161" s="93" t="str">
        <f>'II_Inkunabeln+'!X161</f>
        <v>Pg</v>
      </c>
      <c r="H161" s="93" t="str">
        <f>'II_Inkunabeln+'!AA161</f>
        <v>h</v>
      </c>
      <c r="I161" s="93">
        <f>'II_Inkunabeln+'!AC161</f>
        <v>0</v>
      </c>
      <c r="J161" s="94"/>
      <c r="K161" s="93">
        <f>'II_Inkunabeln+'!AD161</f>
        <v>0</v>
      </c>
      <c r="L161" s="94"/>
      <c r="M161" s="94"/>
      <c r="N161" s="94"/>
      <c r="O161" s="94"/>
      <c r="P161" s="94"/>
      <c r="Q161" s="94"/>
      <c r="R161" s="94"/>
      <c r="S161" s="94"/>
      <c r="T161" s="94"/>
      <c r="U161" s="94"/>
      <c r="V161" s="94"/>
      <c r="W161" s="94" t="str">
        <f>'II_Inkunabeln+'!BA161</f>
        <v>n</v>
      </c>
      <c r="X161" s="108"/>
      <c r="Y161" s="93">
        <f>'II_Inkunabeln+'!BI161</f>
        <v>0</v>
      </c>
      <c r="Z161" s="81" t="str">
        <f>'II_Inkunabeln+'!BJ161</f>
        <v>Kleimmeinband liegt der Kassette bei</v>
      </c>
    </row>
    <row r="162" spans="1:26" x14ac:dyDescent="0.25">
      <c r="A162" s="63">
        <f>'II_Inkunabeln+'!A162</f>
        <v>156</v>
      </c>
      <c r="B162" s="63" t="str">
        <f>'II_Inkunabeln+'!B162</f>
        <v>L-1490-315502339</v>
      </c>
      <c r="C162" s="63">
        <f>'II_Inkunabeln+'!C162</f>
        <v>1066971935</v>
      </c>
      <c r="D162" s="84" t="str">
        <f>'II_Inkunabeln+'!D162</f>
        <v>https://portal.dnb.de/opac.htm?method=simpleSearch&amp;cqlMode=true&amp;query=idn%3D1066971935</v>
      </c>
      <c r="E162" s="65" t="str">
        <f>'II_Inkunabeln+'!E162</f>
        <v>II 4,8d</v>
      </c>
      <c r="F162" s="65" t="str">
        <f>'II_Inkunabeln+'!H162</f>
        <v>bis 25 cm</v>
      </c>
      <c r="G162" s="93" t="str">
        <f>'II_Inkunabeln+'!X162</f>
        <v>HL</v>
      </c>
      <c r="H162" s="93" t="str">
        <f>'II_Inkunabeln+'!AA162</f>
        <v>h/E</v>
      </c>
      <c r="I162" s="93">
        <f>'II_Inkunabeln+'!AC162</f>
        <v>0</v>
      </c>
      <c r="J162" s="94"/>
      <c r="K162" s="93">
        <f>'II_Inkunabeln+'!AD162</f>
        <v>0</v>
      </c>
      <c r="L162" s="94"/>
      <c r="M162" s="94"/>
      <c r="N162" s="94"/>
      <c r="O162" s="94"/>
      <c r="P162" s="94"/>
      <c r="Q162" s="94"/>
      <c r="R162" s="94"/>
      <c r="S162" s="94"/>
      <c r="T162" s="94"/>
      <c r="U162" s="94"/>
      <c r="V162" s="94"/>
      <c r="W162" s="94" t="str">
        <f>'II_Inkunabeln+'!BA162</f>
        <v>n</v>
      </c>
      <c r="X162" s="108"/>
      <c r="Y162" s="93">
        <f>'II_Inkunabeln+'!BI162</f>
        <v>0</v>
      </c>
      <c r="Z162" s="81">
        <f>'II_Inkunabeln+'!BJ162</f>
        <v>0</v>
      </c>
    </row>
    <row r="163" spans="1:26" x14ac:dyDescent="0.25">
      <c r="A163" s="63">
        <f>'II_Inkunabeln+'!A163</f>
        <v>157</v>
      </c>
      <c r="B163" s="63" t="str">
        <f>'II_Inkunabeln+'!B163</f>
        <v>L-1495-315496983</v>
      </c>
      <c r="C163" s="63">
        <f>'II_Inkunabeln+'!C163</f>
        <v>1066966680</v>
      </c>
      <c r="D163" s="84" t="str">
        <f>'II_Inkunabeln+'!D163</f>
        <v>https://portal.dnb.de/opac.htm?method=simpleSearch&amp;cqlMode=true&amp;query=idn%3D1066966680</v>
      </c>
      <c r="E163" s="65" t="str">
        <f>'II_Inkunabeln+'!E163</f>
        <v>II 4,9a</v>
      </c>
      <c r="F163" s="65" t="str">
        <f>'II_Inkunabeln+'!H163</f>
        <v>bis 25 cm</v>
      </c>
      <c r="G163" s="93" t="str">
        <f>'II_Inkunabeln+'!X163</f>
        <v>HD</v>
      </c>
      <c r="H163" s="93" t="str">
        <f>'II_Inkunabeln+'!AA163</f>
        <v>f/V</v>
      </c>
      <c r="I163" s="93">
        <f>'II_Inkunabeln+'!AC163</f>
        <v>0</v>
      </c>
      <c r="J163" s="94"/>
      <c r="K163" s="93">
        <f>'II_Inkunabeln+'!AD163</f>
        <v>0</v>
      </c>
      <c r="L163" s="94" t="s">
        <v>1633</v>
      </c>
      <c r="M163" s="94"/>
      <c r="N163" s="94"/>
      <c r="O163" s="94"/>
      <c r="P163" s="94"/>
      <c r="Q163" s="94"/>
      <c r="R163" s="94" t="s">
        <v>1769</v>
      </c>
      <c r="S163" s="94"/>
      <c r="T163" s="94"/>
      <c r="U163" s="94"/>
      <c r="V163" s="94" t="s">
        <v>1770</v>
      </c>
      <c r="W163" s="94" t="str">
        <f>'II_Inkunabeln+'!BA163</f>
        <v>ja vor</v>
      </c>
      <c r="X163" s="108">
        <v>4</v>
      </c>
      <c r="Y163" s="93">
        <f>'II_Inkunabeln+'!BI163</f>
        <v>0</v>
      </c>
      <c r="Z163" s="81">
        <f>'II_Inkunabeln+'!BJ163</f>
        <v>0</v>
      </c>
    </row>
    <row r="164" spans="1:26" x14ac:dyDescent="0.25">
      <c r="A164" s="63">
        <f>'II_Inkunabeln+'!A164</f>
        <v>158</v>
      </c>
      <c r="B164" s="63" t="str">
        <f>'II_Inkunabeln+'!B164</f>
        <v>L-1499-315500395</v>
      </c>
      <c r="C164" s="63">
        <f>'II_Inkunabeln+'!C164</f>
        <v>1066970041</v>
      </c>
      <c r="D164" s="84" t="str">
        <f>'II_Inkunabeln+'!D164</f>
        <v>https://portal.dnb.de/opac.htm?method=simpleSearch&amp;cqlMode=true&amp;query=idn%3D1066970041</v>
      </c>
      <c r="E164" s="65" t="str">
        <f>'II_Inkunabeln+'!E164</f>
        <v>II 4,9b</v>
      </c>
      <c r="F164" s="65" t="str">
        <f>'II_Inkunabeln+'!H164</f>
        <v>bis 25 cm</v>
      </c>
      <c r="G164" s="93" t="str">
        <f>'II_Inkunabeln+'!X164</f>
        <v>G</v>
      </c>
      <c r="H164" s="93" t="str">
        <f>'II_Inkunabeln+'!AA164</f>
        <v>h/E</v>
      </c>
      <c r="I164" s="93">
        <f>'II_Inkunabeln+'!AC164</f>
        <v>0</v>
      </c>
      <c r="J164" s="94"/>
      <c r="K164" s="93">
        <f>'II_Inkunabeln+'!AD164</f>
        <v>0</v>
      </c>
      <c r="L164" s="94"/>
      <c r="M164" s="94"/>
      <c r="N164" s="94" t="s">
        <v>1744</v>
      </c>
      <c r="O164" s="94"/>
      <c r="P164" s="94"/>
      <c r="Q164" s="94"/>
      <c r="R164" s="94"/>
      <c r="S164" s="94"/>
      <c r="T164" s="94"/>
      <c r="U164" s="94"/>
      <c r="V164" s="94"/>
      <c r="W164" s="94" t="str">
        <f>'II_Inkunabeln+'!BA164</f>
        <v>ja vor</v>
      </c>
      <c r="X164" s="108">
        <v>1</v>
      </c>
      <c r="Y164" s="93">
        <f>'II_Inkunabeln+'!BI164</f>
        <v>0</v>
      </c>
      <c r="Z164" s="81">
        <f>'II_Inkunabeln+'!BJ164</f>
        <v>0</v>
      </c>
    </row>
    <row r="165" spans="1:26" x14ac:dyDescent="0.25">
      <c r="A165" s="63">
        <f>'II_Inkunabeln+'!A165</f>
        <v>0</v>
      </c>
      <c r="B165" s="63">
        <f>'II_Inkunabeln+'!B165</f>
        <v>0</v>
      </c>
      <c r="C165" s="63">
        <f>'II_Inkunabeln+'!C165</f>
        <v>0</v>
      </c>
      <c r="D165" s="84">
        <f>'II_Inkunabeln+'!D165</f>
        <v>0</v>
      </c>
      <c r="E165" s="65" t="str">
        <f>'II_Inkunabeln+'!E165</f>
        <v>II 4,9c</v>
      </c>
      <c r="F165" s="65" t="str">
        <f>'II_Inkunabeln+'!H165</f>
        <v>bis 35 cm</v>
      </c>
      <c r="G165" s="93">
        <f>'II_Inkunabeln+'!X165</f>
        <v>0</v>
      </c>
      <c r="H165" s="93">
        <f>'II_Inkunabeln+'!AA165</f>
        <v>0</v>
      </c>
      <c r="I165" s="93">
        <f>'II_Inkunabeln+'!AC165</f>
        <v>0</v>
      </c>
      <c r="J165" s="94"/>
      <c r="K165" s="93">
        <f>'II_Inkunabeln+'!AD165</f>
        <v>0</v>
      </c>
      <c r="L165" s="94"/>
      <c r="M165" s="94"/>
      <c r="N165" s="94"/>
      <c r="O165" s="94"/>
      <c r="P165" s="94"/>
      <c r="Q165" s="94"/>
      <c r="R165" s="94"/>
      <c r="S165" s="94"/>
      <c r="T165" s="94"/>
      <c r="U165" s="94"/>
      <c r="V165" s="94"/>
      <c r="W165" s="94">
        <f>'II_Inkunabeln+'!BA165</f>
        <v>0</v>
      </c>
      <c r="X165" s="108"/>
      <c r="Y165" s="93">
        <f>'II_Inkunabeln+'!BI165</f>
        <v>0</v>
      </c>
      <c r="Z165" s="81">
        <f>'II_Inkunabeln+'!BJ165</f>
        <v>0</v>
      </c>
    </row>
    <row r="166" spans="1:26" x14ac:dyDescent="0.25">
      <c r="A166" s="63">
        <f>'II_Inkunabeln+'!A166</f>
        <v>159</v>
      </c>
      <c r="B166" s="63" t="str">
        <f>'II_Inkunabeln+'!B166</f>
        <v>L-1497-315501030</v>
      </c>
      <c r="C166" s="63">
        <f>'II_Inkunabeln+'!C166</f>
        <v>1066970688</v>
      </c>
      <c r="D166" s="84" t="str">
        <f>'II_Inkunabeln+'!D166</f>
        <v>https://portal.dnb.de/opac.htm?method=simpleSearch&amp;cqlMode=true&amp;query=idn%3D1066970688</v>
      </c>
      <c r="E166" s="65" t="str">
        <f>'II_Inkunabeln+'!E166</f>
        <v>II 4,10a</v>
      </c>
      <c r="F166" s="65" t="str">
        <f>'II_Inkunabeln+'!H166</f>
        <v>bis 35 cm</v>
      </c>
      <c r="G166" s="93">
        <f>'II_Inkunabeln+'!X166</f>
        <v>0</v>
      </c>
      <c r="H166" s="93">
        <f>'II_Inkunabeln+'!AA166</f>
        <v>0</v>
      </c>
      <c r="I166" s="93">
        <f>'II_Inkunabeln+'!AC166</f>
        <v>0</v>
      </c>
      <c r="J166" s="94"/>
      <c r="K166" s="93">
        <f>'II_Inkunabeln+'!AD166</f>
        <v>0</v>
      </c>
      <c r="L166" s="94"/>
      <c r="M166" s="94"/>
      <c r="N166" s="94"/>
      <c r="O166" s="94"/>
      <c r="P166" s="94"/>
      <c r="Q166" s="94"/>
      <c r="R166" s="94"/>
      <c r="S166" s="94"/>
      <c r="T166" s="94"/>
      <c r="U166" s="94"/>
      <c r="V166" s="94"/>
      <c r="W166" s="94">
        <f>'II_Inkunabeln+'!BA166</f>
        <v>0</v>
      </c>
      <c r="X166" s="108"/>
      <c r="Y166" s="93">
        <f>'II_Inkunabeln+'!BI166</f>
        <v>0</v>
      </c>
      <c r="Z166" s="81">
        <f>'II_Inkunabeln+'!BJ166</f>
        <v>0</v>
      </c>
    </row>
    <row r="167" spans="1:26" x14ac:dyDescent="0.25">
      <c r="A167" s="63">
        <f>'II_Inkunabeln+'!A167</f>
        <v>0</v>
      </c>
      <c r="B167" s="63">
        <f>'II_Inkunabeln+'!B167</f>
        <v>0</v>
      </c>
      <c r="C167" s="63">
        <f>'II_Inkunabeln+'!C167</f>
        <v>0</v>
      </c>
      <c r="D167" s="84">
        <f>'II_Inkunabeln+'!D167</f>
        <v>0</v>
      </c>
      <c r="E167" s="65" t="str">
        <f>'II_Inkunabeln+'!E167</f>
        <v>II 4,10b</v>
      </c>
      <c r="F167" s="65" t="str">
        <f>'II_Inkunabeln+'!H167</f>
        <v>bis 35 cm</v>
      </c>
      <c r="G167" s="93">
        <f>'II_Inkunabeln+'!X167</f>
        <v>0</v>
      </c>
      <c r="H167" s="93">
        <f>'II_Inkunabeln+'!AA167</f>
        <v>0</v>
      </c>
      <c r="I167" s="93">
        <f>'II_Inkunabeln+'!AC167</f>
        <v>0</v>
      </c>
      <c r="J167" s="94"/>
      <c r="K167" s="93">
        <f>'II_Inkunabeln+'!AD167</f>
        <v>0</v>
      </c>
      <c r="L167" s="94"/>
      <c r="M167" s="94"/>
      <c r="N167" s="94"/>
      <c r="O167" s="94"/>
      <c r="P167" s="94"/>
      <c r="Q167" s="94"/>
      <c r="R167" s="94"/>
      <c r="S167" s="94"/>
      <c r="T167" s="94"/>
      <c r="U167" s="94"/>
      <c r="V167" s="94"/>
      <c r="W167" s="94">
        <f>'II_Inkunabeln+'!BA167</f>
        <v>0</v>
      </c>
      <c r="X167" s="108"/>
      <c r="Y167" s="93">
        <f>'II_Inkunabeln+'!BI167</f>
        <v>0</v>
      </c>
      <c r="Z167" s="81">
        <f>'II_Inkunabeln+'!BJ167</f>
        <v>0</v>
      </c>
    </row>
    <row r="168" spans="1:26" x14ac:dyDescent="0.25">
      <c r="A168" s="63">
        <f>'II_Inkunabeln+'!A168</f>
        <v>160</v>
      </c>
      <c r="B168" s="63" t="str">
        <f>'II_Inkunabeln+'!B168</f>
        <v>L-1497-315497432</v>
      </c>
      <c r="C168" s="63">
        <f>'II_Inkunabeln+'!C168</f>
        <v>1066967172</v>
      </c>
      <c r="D168" s="84" t="str">
        <f>'II_Inkunabeln+'!D168</f>
        <v>https://portal.dnb.de/opac.htm?method=simpleSearch&amp;cqlMode=true&amp;query=idn%3D1066967172</v>
      </c>
      <c r="E168" s="65" t="str">
        <f>'II_Inkunabeln+'!E168</f>
        <v>II 4,10c</v>
      </c>
      <c r="F168" s="65" t="str">
        <f>'II_Inkunabeln+'!H168</f>
        <v>bis 25 cm</v>
      </c>
      <c r="G168" s="93">
        <f>'II_Inkunabeln+'!X168</f>
        <v>0</v>
      </c>
      <c r="H168" s="93">
        <f>'II_Inkunabeln+'!AA168</f>
        <v>0</v>
      </c>
      <c r="I168" s="93">
        <f>'II_Inkunabeln+'!AC168</f>
        <v>0</v>
      </c>
      <c r="J168" s="94"/>
      <c r="K168" s="93">
        <f>'II_Inkunabeln+'!AD168</f>
        <v>0</v>
      </c>
      <c r="L168" s="94"/>
      <c r="M168" s="94"/>
      <c r="N168" s="94"/>
      <c r="O168" s="94"/>
      <c r="P168" s="94"/>
      <c r="Q168" s="94"/>
      <c r="R168" s="94"/>
      <c r="S168" s="94"/>
      <c r="T168" s="94"/>
      <c r="U168" s="94"/>
      <c r="V168" s="94"/>
      <c r="W168" s="94">
        <f>'II_Inkunabeln+'!BA168</f>
        <v>0</v>
      </c>
      <c r="X168" s="108"/>
      <c r="Y168" s="93">
        <f>'II_Inkunabeln+'!BI168</f>
        <v>0</v>
      </c>
      <c r="Z168" s="81">
        <f>'II_Inkunabeln+'!BJ168</f>
        <v>0</v>
      </c>
    </row>
    <row r="169" spans="1:26" x14ac:dyDescent="0.25">
      <c r="A169" s="63">
        <f>'II_Inkunabeln+'!A169</f>
        <v>161</v>
      </c>
      <c r="B169" s="63" t="str">
        <f>'II_Inkunabeln+'!B169</f>
        <v>L-1475-315500026</v>
      </c>
      <c r="C169" s="63" t="str">
        <f>'II_Inkunabeln+'!C169</f>
        <v>106696968X</v>
      </c>
      <c r="D169" s="84" t="str">
        <f>'II_Inkunabeln+'!D169</f>
        <v>https://portal.dnb.de/opac.htm?method=simpleSearch&amp;cqlMode=true&amp;query=idn%3D106696968X</v>
      </c>
      <c r="E169" s="65" t="str">
        <f>'II_Inkunabeln+'!E169</f>
        <v>II 6,1a</v>
      </c>
      <c r="F169" s="65" t="str">
        <f>'II_Inkunabeln+'!H169</f>
        <v>bis 35 cm</v>
      </c>
      <c r="G169" s="93">
        <f>'II_Inkunabeln+'!X169</f>
        <v>0</v>
      </c>
      <c r="H169" s="93">
        <f>'II_Inkunabeln+'!AA169</f>
        <v>0</v>
      </c>
      <c r="I169" s="93">
        <f>'II_Inkunabeln+'!AC169</f>
        <v>0</v>
      </c>
      <c r="J169" s="94"/>
      <c r="K169" s="93">
        <f>'II_Inkunabeln+'!AD169</f>
        <v>0</v>
      </c>
      <c r="L169" s="94"/>
      <c r="M169" s="94"/>
      <c r="N169" s="94"/>
      <c r="O169" s="94"/>
      <c r="P169" s="94"/>
      <c r="Q169" s="94"/>
      <c r="R169" s="94"/>
      <c r="S169" s="94"/>
      <c r="T169" s="94"/>
      <c r="U169" s="94"/>
      <c r="V169" s="94"/>
      <c r="W169" s="94">
        <f>'II_Inkunabeln+'!BA169</f>
        <v>0</v>
      </c>
      <c r="X169" s="108"/>
      <c r="Y169" s="93">
        <f>'II_Inkunabeln+'!BI169</f>
        <v>0</v>
      </c>
      <c r="Z169" s="81">
        <f>'II_Inkunabeln+'!BJ169</f>
        <v>0</v>
      </c>
    </row>
    <row r="170" spans="1:26" x14ac:dyDescent="0.25">
      <c r="A170" s="63">
        <f>'II_Inkunabeln+'!A170</f>
        <v>162</v>
      </c>
      <c r="B170" s="63" t="str">
        <f>'II_Inkunabeln+'!B170</f>
        <v>L-1477-315503505</v>
      </c>
      <c r="C170" s="63">
        <f>'II_Inkunabeln+'!C170</f>
        <v>1066973121</v>
      </c>
      <c r="D170" s="84" t="str">
        <f>'II_Inkunabeln+'!D170</f>
        <v>https://portal.dnb.de/opac.htm?method=simpleSearch&amp;cqlMode=true&amp;query=idn%3D1066973121</v>
      </c>
      <c r="E170" s="65" t="str">
        <f>'II_Inkunabeln+'!E170</f>
        <v>II 6,1b</v>
      </c>
      <c r="F170" s="65" t="str">
        <f>'II_Inkunabeln+'!H170</f>
        <v>bis 35 cm</v>
      </c>
      <c r="G170" s="93">
        <f>'II_Inkunabeln+'!X170</f>
        <v>0</v>
      </c>
      <c r="H170" s="93">
        <f>'II_Inkunabeln+'!AA170</f>
        <v>0</v>
      </c>
      <c r="I170" s="93">
        <f>'II_Inkunabeln+'!AC170</f>
        <v>0</v>
      </c>
      <c r="J170" s="94"/>
      <c r="K170" s="93">
        <f>'II_Inkunabeln+'!AD170</f>
        <v>0</v>
      </c>
      <c r="L170" s="94"/>
      <c r="M170" s="94"/>
      <c r="N170" s="94"/>
      <c r="O170" s="94"/>
      <c r="P170" s="94"/>
      <c r="Q170" s="94"/>
      <c r="R170" s="94"/>
      <c r="S170" s="94"/>
      <c r="T170" s="94"/>
      <c r="U170" s="94"/>
      <c r="V170" s="94"/>
      <c r="W170" s="94">
        <f>'II_Inkunabeln+'!BA170</f>
        <v>0</v>
      </c>
      <c r="X170" s="108"/>
      <c r="Y170" s="93">
        <f>'II_Inkunabeln+'!BI170</f>
        <v>0</v>
      </c>
      <c r="Z170" s="81">
        <f>'II_Inkunabeln+'!BJ170</f>
        <v>0</v>
      </c>
    </row>
    <row r="171" spans="1:26" x14ac:dyDescent="0.25">
      <c r="A171" s="63">
        <f>'II_Inkunabeln+'!A171</f>
        <v>163</v>
      </c>
      <c r="B171" s="63" t="str">
        <f>'II_Inkunabeln+'!B171</f>
        <v>L-1477-315503513</v>
      </c>
      <c r="C171" s="63">
        <f>'II_Inkunabeln+'!C171</f>
        <v>1066973121</v>
      </c>
      <c r="D171" s="84" t="str">
        <f>'II_Inkunabeln+'!D171</f>
        <v>https://portal.dnb.de/opac.htm?method=simpleSearch&amp;cqlMode=true&amp;query=idn%3D1066973121</v>
      </c>
      <c r="E171" s="65" t="str">
        <f>'II_Inkunabeln+'!E171</f>
        <v>II 6,1ba - Fragm.</v>
      </c>
      <c r="F171" s="65">
        <f>'II_Inkunabeln+'!H171</f>
        <v>0</v>
      </c>
      <c r="G171" s="93">
        <f>'II_Inkunabeln+'!X171</f>
        <v>0</v>
      </c>
      <c r="H171" s="93">
        <f>'II_Inkunabeln+'!AA171</f>
        <v>0</v>
      </c>
      <c r="I171" s="93">
        <f>'II_Inkunabeln+'!AC171</f>
        <v>0</v>
      </c>
      <c r="J171" s="94"/>
      <c r="K171" s="93">
        <f>'II_Inkunabeln+'!AD171</f>
        <v>0</v>
      </c>
      <c r="L171" s="94"/>
      <c r="M171" s="94"/>
      <c r="N171" s="94"/>
      <c r="O171" s="94"/>
      <c r="P171" s="94"/>
      <c r="Q171" s="94"/>
      <c r="R171" s="94"/>
      <c r="S171" s="94"/>
      <c r="T171" s="94"/>
      <c r="U171" s="94"/>
      <c r="V171" s="94"/>
      <c r="W171" s="94">
        <f>'II_Inkunabeln+'!BA171</f>
        <v>0</v>
      </c>
      <c r="X171" s="108"/>
      <c r="Y171" s="93">
        <f>'II_Inkunabeln+'!BI171</f>
        <v>0</v>
      </c>
      <c r="Z171" s="81">
        <f>'II_Inkunabeln+'!BJ171</f>
        <v>0</v>
      </c>
    </row>
    <row r="172" spans="1:26" x14ac:dyDescent="0.25">
      <c r="A172" s="63">
        <f>'II_Inkunabeln+'!A172</f>
        <v>164</v>
      </c>
      <c r="B172" s="63" t="str">
        <f>'II_Inkunabeln+'!B172</f>
        <v>L-1474-326853480</v>
      </c>
      <c r="C172" s="63">
        <f>'II_Inkunabeln+'!C172</f>
        <v>1072054698</v>
      </c>
      <c r="D172" s="84" t="str">
        <f>'II_Inkunabeln+'!D172</f>
        <v>https://portal.dnb.de/opac.htm?method=simpleSearch&amp;cqlMode=true&amp;query=idn%3D1072054698</v>
      </c>
      <c r="E172" s="65" t="str">
        <f>'II_Inkunabeln+'!E172</f>
        <v>II 7,1a</v>
      </c>
      <c r="F172" s="65" t="str">
        <f>'II_Inkunabeln+'!H172</f>
        <v>bis 25 cm</v>
      </c>
      <c r="G172" s="93">
        <f>'II_Inkunabeln+'!X172</f>
        <v>0</v>
      </c>
      <c r="H172" s="93">
        <f>'II_Inkunabeln+'!AA172</f>
        <v>0</v>
      </c>
      <c r="I172" s="93">
        <f>'II_Inkunabeln+'!AC172</f>
        <v>0</v>
      </c>
      <c r="J172" s="94"/>
      <c r="K172" s="93">
        <f>'II_Inkunabeln+'!AD172</f>
        <v>0</v>
      </c>
      <c r="L172" s="94"/>
      <c r="M172" s="94"/>
      <c r="N172" s="94"/>
      <c r="O172" s="94"/>
      <c r="P172" s="94"/>
      <c r="Q172" s="94"/>
      <c r="R172" s="94"/>
      <c r="S172" s="94"/>
      <c r="T172" s="94"/>
      <c r="U172" s="94"/>
      <c r="V172" s="94"/>
      <c r="W172" s="94">
        <f>'II_Inkunabeln+'!BA172</f>
        <v>0</v>
      </c>
      <c r="X172" s="108"/>
      <c r="Y172" s="93">
        <f>'II_Inkunabeln+'!BI172</f>
        <v>0</v>
      </c>
      <c r="Z172" s="81">
        <f>'II_Inkunabeln+'!BJ172</f>
        <v>0</v>
      </c>
    </row>
    <row r="173" spans="1:26" x14ac:dyDescent="0.25">
      <c r="A173" s="63">
        <f>'II_Inkunabeln+'!A173</f>
        <v>165</v>
      </c>
      <c r="B173" s="63" t="str">
        <f>'II_Inkunabeln+'!B173</f>
        <v>L-1467-315496061</v>
      </c>
      <c r="C173" s="63">
        <f>'II_Inkunabeln+'!C173</f>
        <v>1066965811</v>
      </c>
      <c r="D173" s="84" t="str">
        <f>'II_Inkunabeln+'!D173</f>
        <v>https://portal.dnb.de/opac.htm?method=simpleSearch&amp;cqlMode=true&amp;query=idn%3D1066965811</v>
      </c>
      <c r="E173" s="65" t="str">
        <f>'II_Inkunabeln+'!E173</f>
        <v>II 8,1a</v>
      </c>
      <c r="F173" s="65" t="str">
        <f>'II_Inkunabeln+'!H173</f>
        <v>bis 25 cm</v>
      </c>
      <c r="G173" s="93">
        <f>'II_Inkunabeln+'!X173</f>
        <v>0</v>
      </c>
      <c r="H173" s="93">
        <f>'II_Inkunabeln+'!AA173</f>
        <v>0</v>
      </c>
      <c r="I173" s="93">
        <f>'II_Inkunabeln+'!AC173</f>
        <v>0</v>
      </c>
      <c r="J173" s="94"/>
      <c r="K173" s="93">
        <f>'II_Inkunabeln+'!AD173</f>
        <v>0</v>
      </c>
      <c r="L173" s="94"/>
      <c r="M173" s="94"/>
      <c r="N173" s="94"/>
      <c r="O173" s="94"/>
      <c r="P173" s="94"/>
      <c r="Q173" s="94"/>
      <c r="R173" s="94"/>
      <c r="S173" s="94"/>
      <c r="T173" s="94"/>
      <c r="U173" s="94"/>
      <c r="V173" s="94"/>
      <c r="W173" s="94">
        <f>'II_Inkunabeln+'!BA173</f>
        <v>0</v>
      </c>
      <c r="X173" s="108"/>
      <c r="Y173" s="93">
        <f>'II_Inkunabeln+'!BI173</f>
        <v>0</v>
      </c>
      <c r="Z173" s="81">
        <f>'II_Inkunabeln+'!BJ173</f>
        <v>0</v>
      </c>
    </row>
    <row r="174" spans="1:26" x14ac:dyDescent="0.25">
      <c r="A174" s="63">
        <f>'II_Inkunabeln+'!A174</f>
        <v>166</v>
      </c>
      <c r="B174" s="63" t="str">
        <f>'II_Inkunabeln+'!B174</f>
        <v>L-1477-31549509X</v>
      </c>
      <c r="C174" s="63">
        <f>'II_Inkunabeln+'!C174</f>
        <v>1066964939</v>
      </c>
      <c r="D174" s="84" t="str">
        <f>'II_Inkunabeln+'!D174</f>
        <v>https://portal.dnb.de/opac.htm?method=simpleSearch&amp;cqlMode=true&amp;query=idn%3D1066964939</v>
      </c>
      <c r="E174" s="65" t="str">
        <f>'II_Inkunabeln+'!E174</f>
        <v>II 8,1b</v>
      </c>
      <c r="F174" s="65" t="str">
        <f>'II_Inkunabeln+'!H174</f>
        <v>bis 35 cm</v>
      </c>
      <c r="G174" s="93">
        <f>'II_Inkunabeln+'!X174</f>
        <v>0</v>
      </c>
      <c r="H174" s="93">
        <f>'II_Inkunabeln+'!AA174</f>
        <v>0</v>
      </c>
      <c r="I174" s="93">
        <f>'II_Inkunabeln+'!AC174</f>
        <v>0</v>
      </c>
      <c r="J174" s="94"/>
      <c r="K174" s="93">
        <f>'II_Inkunabeln+'!AD174</f>
        <v>0</v>
      </c>
      <c r="L174" s="94"/>
      <c r="M174" s="94"/>
      <c r="N174" s="94"/>
      <c r="O174" s="94"/>
      <c r="P174" s="94"/>
      <c r="Q174" s="94"/>
      <c r="R174" s="94"/>
      <c r="S174" s="94"/>
      <c r="T174" s="94"/>
      <c r="U174" s="94"/>
      <c r="V174" s="94"/>
      <c r="W174" s="94">
        <f>'II_Inkunabeln+'!BA174</f>
        <v>0</v>
      </c>
      <c r="X174" s="108"/>
      <c r="Y174" s="93">
        <f>'II_Inkunabeln+'!BI174</f>
        <v>0</v>
      </c>
      <c r="Z174" s="81">
        <f>'II_Inkunabeln+'!BJ174</f>
        <v>0</v>
      </c>
    </row>
    <row r="175" spans="1:26" x14ac:dyDescent="0.25">
      <c r="A175" s="63">
        <f>'II_Inkunabeln+'!A175</f>
        <v>167</v>
      </c>
      <c r="B175" s="63" t="str">
        <f>'II_Inkunabeln+'!B175</f>
        <v>L-1482-315499265</v>
      </c>
      <c r="C175" s="63">
        <f>'II_Inkunabeln+'!C175</f>
        <v>1066968993</v>
      </c>
      <c r="D175" s="84" t="str">
        <f>'II_Inkunabeln+'!D175</f>
        <v>https://portal.dnb.de/opac.htm?method=simpleSearch&amp;cqlMode=true&amp;query=idn%3D1066968993</v>
      </c>
      <c r="E175" s="65" t="str">
        <f>'II_Inkunabeln+'!E175</f>
        <v>II 8,1c</v>
      </c>
      <c r="F175" s="65" t="str">
        <f>'II_Inkunabeln+'!H175</f>
        <v>bis 35 cm</v>
      </c>
      <c r="G175" s="93">
        <f>'II_Inkunabeln+'!X175</f>
        <v>0</v>
      </c>
      <c r="H175" s="93">
        <f>'II_Inkunabeln+'!AA175</f>
        <v>0</v>
      </c>
      <c r="I175" s="93">
        <f>'II_Inkunabeln+'!AC175</f>
        <v>0</v>
      </c>
      <c r="J175" s="94"/>
      <c r="K175" s="93">
        <f>'II_Inkunabeln+'!AD175</f>
        <v>0</v>
      </c>
      <c r="L175" s="94"/>
      <c r="M175" s="94"/>
      <c r="N175" s="94"/>
      <c r="O175" s="94"/>
      <c r="P175" s="94"/>
      <c r="Q175" s="94"/>
      <c r="R175" s="94"/>
      <c r="S175" s="94"/>
      <c r="T175" s="94"/>
      <c r="U175" s="94"/>
      <c r="V175" s="94"/>
      <c r="W175" s="94">
        <f>'II_Inkunabeln+'!BA175</f>
        <v>0</v>
      </c>
      <c r="X175" s="108"/>
      <c r="Y175" s="93">
        <f>'II_Inkunabeln+'!BI175</f>
        <v>0</v>
      </c>
      <c r="Z175" s="81">
        <f>'II_Inkunabeln+'!BJ175</f>
        <v>0</v>
      </c>
    </row>
    <row r="176" spans="1:26" x14ac:dyDescent="0.25">
      <c r="A176" s="63">
        <f>'II_Inkunabeln+'!A176</f>
        <v>168</v>
      </c>
      <c r="B176" s="63" t="str">
        <f>'II_Inkunabeln+'!B176</f>
        <v>L-1473-315495227</v>
      </c>
      <c r="C176" s="63">
        <f>'II_Inkunabeln+'!C176</f>
        <v>1066965080</v>
      </c>
      <c r="D176" s="84" t="str">
        <f>'II_Inkunabeln+'!D176</f>
        <v>https://portal.dnb.de/opac.htm?method=simpleSearch&amp;cqlMode=true&amp;query=idn%3D1066965080</v>
      </c>
      <c r="E176" s="65" t="str">
        <f>'II_Inkunabeln+'!E176</f>
        <v>II 8,1d</v>
      </c>
      <c r="F176" s="65" t="str">
        <f>'II_Inkunabeln+'!H176</f>
        <v>bis 25 cm</v>
      </c>
      <c r="G176" s="93">
        <f>'II_Inkunabeln+'!X176</f>
        <v>0</v>
      </c>
      <c r="H176" s="93">
        <f>'II_Inkunabeln+'!AA176</f>
        <v>0</v>
      </c>
      <c r="I176" s="93">
        <f>'II_Inkunabeln+'!AC176</f>
        <v>0</v>
      </c>
      <c r="J176" s="94"/>
      <c r="K176" s="93">
        <f>'II_Inkunabeln+'!AD176</f>
        <v>0</v>
      </c>
      <c r="L176" s="94"/>
      <c r="M176" s="94"/>
      <c r="N176" s="94"/>
      <c r="O176" s="94"/>
      <c r="P176" s="94"/>
      <c r="Q176" s="94"/>
      <c r="R176" s="94"/>
      <c r="S176" s="94"/>
      <c r="T176" s="94"/>
      <c r="U176" s="94"/>
      <c r="V176" s="94"/>
      <c r="W176" s="94">
        <f>'II_Inkunabeln+'!BA176</f>
        <v>0</v>
      </c>
      <c r="X176" s="108"/>
      <c r="Y176" s="93">
        <f>'II_Inkunabeln+'!BI176</f>
        <v>0</v>
      </c>
      <c r="Z176" s="81">
        <f>'II_Inkunabeln+'!BJ176</f>
        <v>0</v>
      </c>
    </row>
    <row r="177" spans="1:26" x14ac:dyDescent="0.25">
      <c r="A177" s="63">
        <f>'II_Inkunabeln+'!A177</f>
        <v>169</v>
      </c>
      <c r="B177" s="63" t="str">
        <f>'II_Inkunabeln+'!B177</f>
        <v>L-1470-315496525</v>
      </c>
      <c r="C177" s="63">
        <f>'II_Inkunabeln+'!C177</f>
        <v>1066966230</v>
      </c>
      <c r="D177" s="84" t="str">
        <f>'II_Inkunabeln+'!D177</f>
        <v>https://portal.dnb.de/opac.htm?method=simpleSearch&amp;cqlMode=true&amp;query=idn%3D1066966230</v>
      </c>
      <c r="E177" s="65" t="str">
        <f>'II_Inkunabeln+'!E177</f>
        <v>II 8,1e</v>
      </c>
      <c r="F177" s="65" t="str">
        <f>'II_Inkunabeln+'!H177</f>
        <v>bis 25 cm</v>
      </c>
      <c r="G177" s="93">
        <f>'II_Inkunabeln+'!X177</f>
        <v>0</v>
      </c>
      <c r="H177" s="93">
        <f>'II_Inkunabeln+'!AA177</f>
        <v>0</v>
      </c>
      <c r="I177" s="93">
        <f>'II_Inkunabeln+'!AC177</f>
        <v>0</v>
      </c>
      <c r="J177" s="94"/>
      <c r="K177" s="93">
        <f>'II_Inkunabeln+'!AD177</f>
        <v>0</v>
      </c>
      <c r="L177" s="94"/>
      <c r="M177" s="94"/>
      <c r="N177" s="94"/>
      <c r="O177" s="94"/>
      <c r="P177" s="94"/>
      <c r="Q177" s="94"/>
      <c r="R177" s="94"/>
      <c r="S177" s="94"/>
      <c r="T177" s="94"/>
      <c r="U177" s="94"/>
      <c r="V177" s="94"/>
      <c r="W177" s="94">
        <f>'II_Inkunabeln+'!BA177</f>
        <v>0</v>
      </c>
      <c r="X177" s="108"/>
      <c r="Y177" s="93">
        <f>'II_Inkunabeln+'!BI177</f>
        <v>0</v>
      </c>
      <c r="Z177" s="81">
        <f>'II_Inkunabeln+'!BJ177</f>
        <v>0</v>
      </c>
    </row>
    <row r="178" spans="1:26" x14ac:dyDescent="0.25">
      <c r="A178" s="63">
        <f>'II_Inkunabeln+'!A178</f>
        <v>170</v>
      </c>
      <c r="B178" s="63" t="str">
        <f>'II_Inkunabeln+'!B178</f>
        <v>L-1473-315496606</v>
      </c>
      <c r="C178" s="63" t="str">
        <f>'II_Inkunabeln+'!C178</f>
        <v>106696632X</v>
      </c>
      <c r="D178" s="84" t="str">
        <f>'II_Inkunabeln+'!D178</f>
        <v>https://portal.dnb.de/opac.htm?method=simpleSearch&amp;cqlMode=true&amp;query=idn%3D106696632X</v>
      </c>
      <c r="E178" s="65" t="str">
        <f>'II_Inkunabeln+'!E178</f>
        <v>II 8,1f</v>
      </c>
      <c r="F178" s="65" t="str">
        <f>'II_Inkunabeln+'!H178</f>
        <v>bis 25 cm</v>
      </c>
      <c r="G178" s="93">
        <f>'II_Inkunabeln+'!X178</f>
        <v>0</v>
      </c>
      <c r="H178" s="93">
        <f>'II_Inkunabeln+'!AA178</f>
        <v>0</v>
      </c>
      <c r="I178" s="93">
        <f>'II_Inkunabeln+'!AC178</f>
        <v>0</v>
      </c>
      <c r="J178" s="94"/>
      <c r="K178" s="93">
        <f>'II_Inkunabeln+'!AD178</f>
        <v>0</v>
      </c>
      <c r="L178" s="94"/>
      <c r="M178" s="94"/>
      <c r="N178" s="94"/>
      <c r="O178" s="94"/>
      <c r="P178" s="94"/>
      <c r="Q178" s="94"/>
      <c r="R178" s="94"/>
      <c r="S178" s="94"/>
      <c r="T178" s="94"/>
      <c r="U178" s="94"/>
      <c r="V178" s="94"/>
      <c r="W178" s="94">
        <f>'II_Inkunabeln+'!BA178</f>
        <v>0</v>
      </c>
      <c r="X178" s="108"/>
      <c r="Y178" s="93">
        <f>'II_Inkunabeln+'!BI178</f>
        <v>0</v>
      </c>
      <c r="Z178" s="81">
        <f>'II_Inkunabeln+'!BJ178</f>
        <v>0</v>
      </c>
    </row>
    <row r="179" spans="1:26" x14ac:dyDescent="0.25">
      <c r="A179" s="63">
        <f>'II_Inkunabeln+'!A179</f>
        <v>171</v>
      </c>
      <c r="B179" s="63" t="str">
        <f>'II_Inkunabeln+'!B179</f>
        <v>L-1472-31549865X</v>
      </c>
      <c r="C179" s="63">
        <f>'II_Inkunabeln+'!C179</f>
        <v>1066968403</v>
      </c>
      <c r="D179" s="84" t="str">
        <f>'II_Inkunabeln+'!D179</f>
        <v>https://portal.dnb.de/opac.htm?method=simpleSearch&amp;cqlMode=true&amp;query=idn%3D1066968403</v>
      </c>
      <c r="E179" s="65" t="str">
        <f>'II_Inkunabeln+'!E179</f>
        <v>II 8,1g</v>
      </c>
      <c r="F179" s="65" t="str">
        <f>'II_Inkunabeln+'!H179</f>
        <v>bis 25 cm</v>
      </c>
      <c r="G179" s="93">
        <f>'II_Inkunabeln+'!X179</f>
        <v>0</v>
      </c>
      <c r="H179" s="93">
        <f>'II_Inkunabeln+'!AA179</f>
        <v>0</v>
      </c>
      <c r="I179" s="93">
        <f>'II_Inkunabeln+'!AC179</f>
        <v>0</v>
      </c>
      <c r="J179" s="94"/>
      <c r="K179" s="93">
        <f>'II_Inkunabeln+'!AD179</f>
        <v>0</v>
      </c>
      <c r="L179" s="94"/>
      <c r="M179" s="94"/>
      <c r="N179" s="94"/>
      <c r="O179" s="94"/>
      <c r="P179" s="94"/>
      <c r="Q179" s="94"/>
      <c r="R179" s="94"/>
      <c r="S179" s="94"/>
      <c r="T179" s="94"/>
      <c r="U179" s="94"/>
      <c r="V179" s="94"/>
      <c r="W179" s="94">
        <f>'II_Inkunabeln+'!BA179</f>
        <v>0</v>
      </c>
      <c r="X179" s="108"/>
      <c r="Y179" s="93">
        <f>'II_Inkunabeln+'!BI179</f>
        <v>0</v>
      </c>
      <c r="Z179" s="81">
        <f>'II_Inkunabeln+'!BJ179</f>
        <v>0</v>
      </c>
    </row>
    <row r="180" spans="1:26" x14ac:dyDescent="0.25">
      <c r="A180" s="63">
        <f>'II_Inkunabeln+'!A180</f>
        <v>172</v>
      </c>
      <c r="B180" s="63" t="str">
        <f>'II_Inkunabeln+'!B180</f>
        <v>L-1472-315498692</v>
      </c>
      <c r="C180" s="63">
        <f>'II_Inkunabeln+'!C180</f>
        <v>1066968446</v>
      </c>
      <c r="D180" s="84" t="str">
        <f>'II_Inkunabeln+'!D180</f>
        <v>https://portal.dnb.de/opac.htm?method=simpleSearch&amp;cqlMode=true&amp;query=idn%3D1066968446</v>
      </c>
      <c r="E180" s="65" t="str">
        <f>'II_Inkunabeln+'!E180</f>
        <v>II 8,1h</v>
      </c>
      <c r="F180" s="65" t="str">
        <f>'II_Inkunabeln+'!H180</f>
        <v>bis 25 cm</v>
      </c>
      <c r="G180" s="93">
        <f>'II_Inkunabeln+'!X180</f>
        <v>0</v>
      </c>
      <c r="H180" s="93">
        <f>'II_Inkunabeln+'!AA180</f>
        <v>0</v>
      </c>
      <c r="I180" s="93">
        <f>'II_Inkunabeln+'!AC180</f>
        <v>0</v>
      </c>
      <c r="J180" s="94"/>
      <c r="K180" s="93">
        <f>'II_Inkunabeln+'!AD180</f>
        <v>0</v>
      </c>
      <c r="L180" s="94"/>
      <c r="M180" s="94"/>
      <c r="N180" s="94"/>
      <c r="O180" s="94"/>
      <c r="P180" s="94"/>
      <c r="Q180" s="94"/>
      <c r="R180" s="94"/>
      <c r="S180" s="94"/>
      <c r="T180" s="94"/>
      <c r="U180" s="94"/>
      <c r="V180" s="94"/>
      <c r="W180" s="94">
        <f>'II_Inkunabeln+'!BA180</f>
        <v>0</v>
      </c>
      <c r="X180" s="108"/>
      <c r="Y180" s="93">
        <f>'II_Inkunabeln+'!BI180</f>
        <v>0</v>
      </c>
      <c r="Z180" s="81">
        <f>'II_Inkunabeln+'!BJ180</f>
        <v>0</v>
      </c>
    </row>
    <row r="181" spans="1:26" x14ac:dyDescent="0.25">
      <c r="A181" s="63">
        <f>'II_Inkunabeln+'!A181</f>
        <v>173</v>
      </c>
      <c r="B181" s="63" t="str">
        <f>'II_Inkunabeln+'!B181</f>
        <v>L-1470-315498684</v>
      </c>
      <c r="C181" s="63">
        <f>'II_Inkunabeln+'!C181</f>
        <v>1066968438</v>
      </c>
      <c r="D181" s="84" t="str">
        <f>'II_Inkunabeln+'!D181</f>
        <v>https://portal.dnb.de/opac.htm?method=simpleSearch&amp;cqlMode=true&amp;query=idn%3D1066968438</v>
      </c>
      <c r="E181" s="65" t="str">
        <f>'II_Inkunabeln+'!E181</f>
        <v>II 8,1i</v>
      </c>
      <c r="F181" s="65" t="str">
        <f>'II_Inkunabeln+'!H181</f>
        <v>bis 25 cm</v>
      </c>
      <c r="G181" s="93">
        <f>'II_Inkunabeln+'!X181</f>
        <v>0</v>
      </c>
      <c r="H181" s="93">
        <f>'II_Inkunabeln+'!AA181</f>
        <v>0</v>
      </c>
      <c r="I181" s="93">
        <f>'II_Inkunabeln+'!AC181</f>
        <v>0</v>
      </c>
      <c r="J181" s="94"/>
      <c r="K181" s="93">
        <f>'II_Inkunabeln+'!AD181</f>
        <v>0</v>
      </c>
      <c r="L181" s="94"/>
      <c r="M181" s="94"/>
      <c r="N181" s="94"/>
      <c r="O181" s="94"/>
      <c r="P181" s="94"/>
      <c r="Q181" s="94"/>
      <c r="R181" s="94"/>
      <c r="S181" s="94"/>
      <c r="T181" s="94"/>
      <c r="U181" s="94"/>
      <c r="V181" s="94"/>
      <c r="W181" s="94">
        <f>'II_Inkunabeln+'!BA181</f>
        <v>0</v>
      </c>
      <c r="X181" s="108"/>
      <c r="Y181" s="93">
        <f>'II_Inkunabeln+'!BI181</f>
        <v>0</v>
      </c>
      <c r="Z181" s="81">
        <f>'II_Inkunabeln+'!BJ181</f>
        <v>0</v>
      </c>
    </row>
    <row r="182" spans="1:26" x14ac:dyDescent="0.25">
      <c r="A182" s="63">
        <f>'II_Inkunabeln+'!A182</f>
        <v>174</v>
      </c>
      <c r="B182" s="63" t="str">
        <f>'II_Inkunabeln+'!B182</f>
        <v>L-1471-315498994</v>
      </c>
      <c r="C182" s="63">
        <f>'II_Inkunabeln+'!C182</f>
        <v>1066968748</v>
      </c>
      <c r="D182" s="84" t="str">
        <f>'II_Inkunabeln+'!D182</f>
        <v>https://portal.dnb.de/opac.htm?method=simpleSearch&amp;cqlMode=true&amp;query=idn%3D1066968748</v>
      </c>
      <c r="E182" s="65" t="str">
        <f>'II_Inkunabeln+'!E182</f>
        <v>II 8,1k</v>
      </c>
      <c r="F182" s="65" t="str">
        <f>'II_Inkunabeln+'!H182</f>
        <v>bis 25 cm</v>
      </c>
      <c r="G182" s="93">
        <f>'II_Inkunabeln+'!X182</f>
        <v>0</v>
      </c>
      <c r="H182" s="93">
        <f>'II_Inkunabeln+'!AA182</f>
        <v>0</v>
      </c>
      <c r="I182" s="93">
        <f>'II_Inkunabeln+'!AC182</f>
        <v>0</v>
      </c>
      <c r="J182" s="94"/>
      <c r="K182" s="93">
        <f>'II_Inkunabeln+'!AD182</f>
        <v>0</v>
      </c>
      <c r="L182" s="94"/>
      <c r="M182" s="94"/>
      <c r="N182" s="94"/>
      <c r="O182" s="94"/>
      <c r="P182" s="94"/>
      <c r="Q182" s="94"/>
      <c r="R182" s="94"/>
      <c r="S182" s="94"/>
      <c r="T182" s="94"/>
      <c r="U182" s="94"/>
      <c r="V182" s="94"/>
      <c r="W182" s="94">
        <f>'II_Inkunabeln+'!BA182</f>
        <v>0</v>
      </c>
      <c r="X182" s="108"/>
      <c r="Y182" s="93">
        <f>'II_Inkunabeln+'!BI182</f>
        <v>0</v>
      </c>
      <c r="Z182" s="81">
        <f>'II_Inkunabeln+'!BJ182</f>
        <v>0</v>
      </c>
    </row>
    <row r="183" spans="1:26" x14ac:dyDescent="0.25">
      <c r="A183" s="63">
        <f>'II_Inkunabeln+'!A183</f>
        <v>175</v>
      </c>
      <c r="B183" s="63" t="str">
        <f>'II_Inkunabeln+'!B183</f>
        <v>L-1485-327855061</v>
      </c>
      <c r="C183" s="63">
        <f>'II_Inkunabeln+'!C183</f>
        <v>1072494108</v>
      </c>
      <c r="D183" s="84" t="str">
        <f>'II_Inkunabeln+'!D183</f>
        <v>https://portal.dnb.de/opac.htm?method=simpleSearch&amp;cqlMode=true&amp;query=idn%3D1072494108</v>
      </c>
      <c r="E183" s="65" t="str">
        <f>'II_Inkunabeln+'!E183</f>
        <v>II 8,1l - 2</v>
      </c>
      <c r="F183" s="65" t="str">
        <f>'II_Inkunabeln+'!H183</f>
        <v>bis 35 cm</v>
      </c>
      <c r="G183" s="93">
        <f>'II_Inkunabeln+'!X183</f>
        <v>0</v>
      </c>
      <c r="H183" s="93">
        <f>'II_Inkunabeln+'!AA183</f>
        <v>0</v>
      </c>
      <c r="I183" s="93">
        <f>'II_Inkunabeln+'!AC183</f>
        <v>0</v>
      </c>
      <c r="J183" s="94"/>
      <c r="K183" s="93">
        <f>'II_Inkunabeln+'!AD183</f>
        <v>0</v>
      </c>
      <c r="L183" s="94"/>
      <c r="M183" s="94"/>
      <c r="N183" s="94"/>
      <c r="O183" s="94"/>
      <c r="P183" s="94"/>
      <c r="Q183" s="94"/>
      <c r="R183" s="94"/>
      <c r="S183" s="94"/>
      <c r="T183" s="94"/>
      <c r="U183" s="94"/>
      <c r="V183" s="94"/>
      <c r="W183" s="94">
        <f>'II_Inkunabeln+'!BA183</f>
        <v>0</v>
      </c>
      <c r="X183" s="108"/>
      <c r="Y183" s="93">
        <f>'II_Inkunabeln+'!BI183</f>
        <v>0</v>
      </c>
      <c r="Z183" s="81">
        <f>'II_Inkunabeln+'!BJ183</f>
        <v>0</v>
      </c>
    </row>
    <row r="184" spans="1:26" x14ac:dyDescent="0.25">
      <c r="A184" s="63">
        <f>'II_Inkunabeln+'!A184</f>
        <v>176</v>
      </c>
      <c r="B184" s="63" t="str">
        <f>'II_Inkunabeln+'!B184</f>
        <v>L-1485-32785524X</v>
      </c>
      <c r="C184" s="63" t="str">
        <f>'II_Inkunabeln+'!C184</f>
        <v>107249423X</v>
      </c>
      <c r="D184" s="84" t="str">
        <f>'II_Inkunabeln+'!D184</f>
        <v>https://portal.dnb.de/opac.htm?method=simpleSearch&amp;cqlMode=true&amp;query=idn%3D107249423X</v>
      </c>
      <c r="E184" s="65" t="str">
        <f>'II_Inkunabeln+'!E184</f>
        <v>II 8,1l - 4</v>
      </c>
      <c r="F184" s="65" t="str">
        <f>'II_Inkunabeln+'!H184</f>
        <v>bis 35 cm</v>
      </c>
      <c r="G184" s="93">
        <f>'II_Inkunabeln+'!X184</f>
        <v>0</v>
      </c>
      <c r="H184" s="93">
        <f>'II_Inkunabeln+'!AA184</f>
        <v>0</v>
      </c>
      <c r="I184" s="93">
        <f>'II_Inkunabeln+'!AC184</f>
        <v>0</v>
      </c>
      <c r="J184" s="94"/>
      <c r="K184" s="93">
        <f>'II_Inkunabeln+'!AD184</f>
        <v>0</v>
      </c>
      <c r="L184" s="94"/>
      <c r="M184" s="94"/>
      <c r="N184" s="94"/>
      <c r="O184" s="94"/>
      <c r="P184" s="94"/>
      <c r="Q184" s="94"/>
      <c r="R184" s="94"/>
      <c r="S184" s="94"/>
      <c r="T184" s="94"/>
      <c r="U184" s="94"/>
      <c r="V184" s="94"/>
      <c r="W184" s="94">
        <f>'II_Inkunabeln+'!BA184</f>
        <v>0</v>
      </c>
      <c r="X184" s="108"/>
      <c r="Y184" s="93">
        <f>'II_Inkunabeln+'!BI184</f>
        <v>0</v>
      </c>
      <c r="Z184" s="81">
        <f>'II_Inkunabeln+'!BJ184</f>
        <v>0</v>
      </c>
    </row>
    <row r="185" spans="1:26" x14ac:dyDescent="0.25">
      <c r="A185" s="63">
        <f>'II_Inkunabeln+'!A185</f>
        <v>177</v>
      </c>
      <c r="B185" s="63" t="str">
        <f>'II_Inkunabeln+'!B185</f>
        <v>L-1470-315501596</v>
      </c>
      <c r="C185" s="63">
        <f>'II_Inkunabeln+'!C185</f>
        <v>1066971226</v>
      </c>
      <c r="D185" s="84" t="str">
        <f>'II_Inkunabeln+'!D185</f>
        <v>https://portal.dnb.de/opac.htm?method=simpleSearch&amp;cqlMode=true&amp;query=idn%3D1066971226</v>
      </c>
      <c r="E185" s="65" t="str">
        <f>'II_Inkunabeln+'!E185</f>
        <v>II 8,1m</v>
      </c>
      <c r="F185" s="65" t="str">
        <f>'II_Inkunabeln+'!H185</f>
        <v>bis 25 cm</v>
      </c>
      <c r="G185" s="93">
        <f>'II_Inkunabeln+'!X185</f>
        <v>0</v>
      </c>
      <c r="H185" s="93">
        <f>'II_Inkunabeln+'!AA185</f>
        <v>0</v>
      </c>
      <c r="I185" s="93">
        <f>'II_Inkunabeln+'!AC185</f>
        <v>0</v>
      </c>
      <c r="J185" s="94"/>
      <c r="K185" s="93">
        <f>'II_Inkunabeln+'!AD185</f>
        <v>0</v>
      </c>
      <c r="L185" s="94"/>
      <c r="M185" s="94"/>
      <c r="N185" s="94"/>
      <c r="O185" s="94"/>
      <c r="P185" s="94"/>
      <c r="Q185" s="94"/>
      <c r="R185" s="94"/>
      <c r="S185" s="94"/>
      <c r="T185" s="94"/>
      <c r="U185" s="94"/>
      <c r="V185" s="94"/>
      <c r="W185" s="94">
        <f>'II_Inkunabeln+'!BA185</f>
        <v>0</v>
      </c>
      <c r="X185" s="108"/>
      <c r="Y185" s="93">
        <f>'II_Inkunabeln+'!BI185</f>
        <v>0</v>
      </c>
      <c r="Z185" s="81">
        <f>'II_Inkunabeln+'!BJ185</f>
        <v>0</v>
      </c>
    </row>
    <row r="186" spans="1:26" x14ac:dyDescent="0.25">
      <c r="A186" s="63">
        <f>'II_Inkunabeln+'!A186</f>
        <v>178</v>
      </c>
      <c r="B186" s="63" t="str">
        <f>'II_Inkunabeln+'!B186</f>
        <v>L-1467-343703882</v>
      </c>
      <c r="C186" s="63" t="str">
        <f>'II_Inkunabeln+'!C186</f>
        <v>107955310X</v>
      </c>
      <c r="D186" s="84" t="str">
        <f>'II_Inkunabeln+'!D186</f>
        <v>https://portal.dnb.de/opac.htm?method=simpleSearch&amp;cqlMode=true&amp;query=idn%3D107955310X</v>
      </c>
      <c r="E186" s="65" t="str">
        <f>'II_Inkunabeln+'!E186</f>
        <v>II 8,1n</v>
      </c>
      <c r="F186" s="65" t="str">
        <f>'II_Inkunabeln+'!H186</f>
        <v>bis 25 cm</v>
      </c>
      <c r="G186" s="93">
        <f>'II_Inkunabeln+'!X186</f>
        <v>0</v>
      </c>
      <c r="H186" s="93">
        <f>'II_Inkunabeln+'!AA186</f>
        <v>0</v>
      </c>
      <c r="I186" s="93">
        <f>'II_Inkunabeln+'!AC186</f>
        <v>0</v>
      </c>
      <c r="J186" s="94"/>
      <c r="K186" s="93">
        <f>'II_Inkunabeln+'!AD186</f>
        <v>0</v>
      </c>
      <c r="L186" s="94"/>
      <c r="M186" s="94"/>
      <c r="N186" s="94"/>
      <c r="O186" s="94"/>
      <c r="P186" s="94"/>
      <c r="Q186" s="94"/>
      <c r="R186" s="94"/>
      <c r="S186" s="94"/>
      <c r="T186" s="94"/>
      <c r="U186" s="94"/>
      <c r="V186" s="94"/>
      <c r="W186" s="94">
        <f>'II_Inkunabeln+'!BA186</f>
        <v>0</v>
      </c>
      <c r="X186" s="108"/>
      <c r="Y186" s="93">
        <f>'II_Inkunabeln+'!BI186</f>
        <v>0</v>
      </c>
      <c r="Z186" s="81">
        <f>'II_Inkunabeln+'!BJ186</f>
        <v>0</v>
      </c>
    </row>
    <row r="187" spans="1:26" x14ac:dyDescent="0.25">
      <c r="A187" s="63">
        <f>'II_Inkunabeln+'!A187</f>
        <v>179</v>
      </c>
      <c r="B187" s="63" t="str">
        <f>'II_Inkunabeln+'!B187</f>
        <v>L-1486-315495162</v>
      </c>
      <c r="C187" s="63">
        <f>'II_Inkunabeln+'!C187</f>
        <v>1066965021</v>
      </c>
      <c r="D187" s="84" t="str">
        <f>'II_Inkunabeln+'!D187</f>
        <v>https://portal.dnb.de/opac.htm?method=simpleSearch&amp;cqlMode=true&amp;query=idn%3D1066965021</v>
      </c>
      <c r="E187" s="65" t="str">
        <f>'II_Inkunabeln+'!E187</f>
        <v>II 8,2a</v>
      </c>
      <c r="F187" s="65" t="str">
        <f>'II_Inkunabeln+'!H187</f>
        <v>bis 25 cm</v>
      </c>
      <c r="G187" s="93">
        <f>'II_Inkunabeln+'!X187</f>
        <v>0</v>
      </c>
      <c r="H187" s="93">
        <f>'II_Inkunabeln+'!AA187</f>
        <v>0</v>
      </c>
      <c r="I187" s="93">
        <f>'II_Inkunabeln+'!AC187</f>
        <v>0</v>
      </c>
      <c r="J187" s="94"/>
      <c r="K187" s="93">
        <f>'II_Inkunabeln+'!AD187</f>
        <v>0</v>
      </c>
      <c r="L187" s="94"/>
      <c r="M187" s="94"/>
      <c r="N187" s="94"/>
      <c r="O187" s="94"/>
      <c r="P187" s="94"/>
      <c r="Q187" s="94"/>
      <c r="R187" s="94"/>
      <c r="S187" s="94"/>
      <c r="T187" s="94"/>
      <c r="U187" s="94"/>
      <c r="V187" s="94"/>
      <c r="W187" s="94">
        <f>'II_Inkunabeln+'!BA187</f>
        <v>0</v>
      </c>
      <c r="X187" s="108"/>
      <c r="Y187" s="93">
        <f>'II_Inkunabeln+'!BI187</f>
        <v>0</v>
      </c>
      <c r="Z187" s="81">
        <f>'II_Inkunabeln+'!BJ187</f>
        <v>0</v>
      </c>
    </row>
    <row r="188" spans="1:26" x14ac:dyDescent="0.25">
      <c r="A188" s="63">
        <f>'II_Inkunabeln+'!A188</f>
        <v>180</v>
      </c>
      <c r="B188" s="63" t="str">
        <f>'II_Inkunabeln+'!B188</f>
        <v>L-1476-315498641</v>
      </c>
      <c r="C188" s="63" t="str">
        <f>'II_Inkunabeln+'!C188</f>
        <v>106696839X</v>
      </c>
      <c r="D188" s="84" t="str">
        <f>'II_Inkunabeln+'!D188</f>
        <v>https://portal.dnb.de/opac.htm?method=simpleSearch&amp;cqlMode=true&amp;query=idn%3D106696839X</v>
      </c>
      <c r="E188" s="65" t="str">
        <f>'II_Inkunabeln+'!E188</f>
        <v>II 8,2b</v>
      </c>
      <c r="F188" s="65" t="str">
        <f>'II_Inkunabeln+'!H188</f>
        <v>bis 35 cm</v>
      </c>
      <c r="G188" s="93">
        <f>'II_Inkunabeln+'!X188</f>
        <v>0</v>
      </c>
      <c r="H188" s="93">
        <f>'II_Inkunabeln+'!AA188</f>
        <v>0</v>
      </c>
      <c r="I188" s="93">
        <f>'II_Inkunabeln+'!AC188</f>
        <v>0</v>
      </c>
      <c r="J188" s="94"/>
      <c r="K188" s="93">
        <f>'II_Inkunabeln+'!AD188</f>
        <v>0</v>
      </c>
      <c r="L188" s="94"/>
      <c r="M188" s="94"/>
      <c r="N188" s="94"/>
      <c r="O188" s="94"/>
      <c r="P188" s="94"/>
      <c r="Q188" s="94"/>
      <c r="R188" s="94"/>
      <c r="S188" s="94"/>
      <c r="T188" s="94"/>
      <c r="U188" s="94"/>
      <c r="V188" s="94"/>
      <c r="W188" s="94">
        <f>'II_Inkunabeln+'!BA188</f>
        <v>0</v>
      </c>
      <c r="X188" s="108"/>
      <c r="Y188" s="93">
        <f>'II_Inkunabeln+'!BI188</f>
        <v>0</v>
      </c>
      <c r="Z188" s="81">
        <f>'II_Inkunabeln+'!BJ188</f>
        <v>0</v>
      </c>
    </row>
    <row r="189" spans="1:26" x14ac:dyDescent="0.25">
      <c r="A189" s="63">
        <f>'II_Inkunabeln+'!A189</f>
        <v>181</v>
      </c>
      <c r="B189" s="63" t="str">
        <f>'II_Inkunabeln+'!B189</f>
        <v>L-1471-315502908</v>
      </c>
      <c r="C189" s="63">
        <f>'II_Inkunabeln+'!C189</f>
        <v>1066972494</v>
      </c>
      <c r="D189" s="84" t="str">
        <f>'II_Inkunabeln+'!D189</f>
        <v>https://portal.dnb.de/opac.htm?method=simpleSearch&amp;cqlMode=true&amp;query=idn%3D1066972494</v>
      </c>
      <c r="E189" s="65" t="str">
        <f>'II_Inkunabeln+'!E189</f>
        <v>II 8,2c</v>
      </c>
      <c r="F189" s="65" t="str">
        <f>'II_Inkunabeln+'!H189</f>
        <v>bis 35 cm</v>
      </c>
      <c r="G189" s="93">
        <f>'II_Inkunabeln+'!X189</f>
        <v>0</v>
      </c>
      <c r="H189" s="93">
        <f>'II_Inkunabeln+'!AA189</f>
        <v>0</v>
      </c>
      <c r="I189" s="93">
        <f>'II_Inkunabeln+'!AC189</f>
        <v>0</v>
      </c>
      <c r="J189" s="94"/>
      <c r="K189" s="93">
        <f>'II_Inkunabeln+'!AD189</f>
        <v>0</v>
      </c>
      <c r="L189" s="94"/>
      <c r="M189" s="94"/>
      <c r="N189" s="94"/>
      <c r="O189" s="94"/>
      <c r="P189" s="94"/>
      <c r="Q189" s="94"/>
      <c r="R189" s="94"/>
      <c r="S189" s="94"/>
      <c r="T189" s="94"/>
      <c r="U189" s="94"/>
      <c r="V189" s="94"/>
      <c r="W189" s="94">
        <f>'II_Inkunabeln+'!BA189</f>
        <v>0</v>
      </c>
      <c r="X189" s="108"/>
      <c r="Y189" s="93">
        <f>'II_Inkunabeln+'!BI189</f>
        <v>0</v>
      </c>
      <c r="Z189" s="81">
        <f>'II_Inkunabeln+'!BJ189</f>
        <v>0</v>
      </c>
    </row>
    <row r="190" spans="1:26" x14ac:dyDescent="0.25">
      <c r="A190" s="63">
        <f>'II_Inkunabeln+'!A190</f>
        <v>182</v>
      </c>
      <c r="B190" s="63" t="str">
        <f>'II_Inkunabeln+'!B190</f>
        <v>L-1476-315502878</v>
      </c>
      <c r="C190" s="63">
        <f>'II_Inkunabeln+'!C190</f>
        <v>1066972451</v>
      </c>
      <c r="D190" s="84" t="str">
        <f>'II_Inkunabeln+'!D190</f>
        <v>https://portal.dnb.de/opac.htm?method=simpleSearch&amp;cqlMode=true&amp;query=idn%3D1066972451</v>
      </c>
      <c r="E190" s="65" t="str">
        <f>'II_Inkunabeln+'!E190</f>
        <v>II 8,2d</v>
      </c>
      <c r="F190" s="65" t="str">
        <f>'II_Inkunabeln+'!H190</f>
        <v>bis 25 cm</v>
      </c>
      <c r="G190" s="93">
        <f>'II_Inkunabeln+'!X190</f>
        <v>0</v>
      </c>
      <c r="H190" s="93">
        <f>'II_Inkunabeln+'!AA190</f>
        <v>0</v>
      </c>
      <c r="I190" s="93">
        <f>'II_Inkunabeln+'!AC190</f>
        <v>0</v>
      </c>
      <c r="J190" s="94"/>
      <c r="K190" s="93">
        <f>'II_Inkunabeln+'!AD190</f>
        <v>0</v>
      </c>
      <c r="L190" s="94"/>
      <c r="M190" s="94"/>
      <c r="N190" s="94"/>
      <c r="O190" s="94"/>
      <c r="P190" s="94"/>
      <c r="Q190" s="94"/>
      <c r="R190" s="94"/>
      <c r="S190" s="94"/>
      <c r="T190" s="94"/>
      <c r="U190" s="94"/>
      <c r="V190" s="94"/>
      <c r="W190" s="94">
        <f>'II_Inkunabeln+'!BA190</f>
        <v>0</v>
      </c>
      <c r="X190" s="108"/>
      <c r="Y190" s="93">
        <f>'II_Inkunabeln+'!BI190</f>
        <v>0</v>
      </c>
      <c r="Z190" s="81">
        <f>'II_Inkunabeln+'!BJ190</f>
        <v>0</v>
      </c>
    </row>
    <row r="191" spans="1:26" x14ac:dyDescent="0.25">
      <c r="A191" s="63">
        <f>'II_Inkunabeln+'!A191</f>
        <v>183</v>
      </c>
      <c r="B191" s="63" t="str">
        <f>'II_Inkunabeln+'!B191</f>
        <v>L-1470-315498315</v>
      </c>
      <c r="C191" s="63">
        <f>'II_Inkunabeln+'!C191</f>
        <v>1066968047</v>
      </c>
      <c r="D191" s="84" t="str">
        <f>'II_Inkunabeln+'!D191</f>
        <v>https://portal.dnb.de/opac.htm?method=simpleSearch&amp;cqlMode=true&amp;query=idn%3D1066968047</v>
      </c>
      <c r="E191" s="65" t="str">
        <f>'II_Inkunabeln+'!E191</f>
        <v>II 8,3a</v>
      </c>
      <c r="F191" s="65" t="str">
        <f>'II_Inkunabeln+'!H191</f>
        <v>bis 25 cm</v>
      </c>
      <c r="G191" s="93">
        <f>'II_Inkunabeln+'!X191</f>
        <v>0</v>
      </c>
      <c r="H191" s="93">
        <f>'II_Inkunabeln+'!AA191</f>
        <v>0</v>
      </c>
      <c r="I191" s="93">
        <f>'II_Inkunabeln+'!AC191</f>
        <v>0</v>
      </c>
      <c r="J191" s="94"/>
      <c r="K191" s="93">
        <f>'II_Inkunabeln+'!AD191</f>
        <v>0</v>
      </c>
      <c r="L191" s="94"/>
      <c r="M191" s="94"/>
      <c r="N191" s="94"/>
      <c r="O191" s="94"/>
      <c r="P191" s="94"/>
      <c r="Q191" s="94"/>
      <c r="R191" s="94"/>
      <c r="S191" s="94"/>
      <c r="T191" s="94"/>
      <c r="U191" s="94"/>
      <c r="V191" s="94"/>
      <c r="W191" s="94">
        <f>'II_Inkunabeln+'!BA191</f>
        <v>0</v>
      </c>
      <c r="X191" s="108"/>
      <c r="Y191" s="93">
        <f>'II_Inkunabeln+'!BI191</f>
        <v>0</v>
      </c>
      <c r="Z191" s="81">
        <f>'II_Inkunabeln+'!BJ191</f>
        <v>0</v>
      </c>
    </row>
    <row r="192" spans="1:26" x14ac:dyDescent="0.25">
      <c r="A192" s="63">
        <f>'II_Inkunabeln+'!A192</f>
        <v>184</v>
      </c>
      <c r="B192" s="63" t="str">
        <f>'II_Inkunabeln+'!B192</f>
        <v>L-1471-315499311</v>
      </c>
      <c r="C192" s="63">
        <f>'II_Inkunabeln+'!C192</f>
        <v>1066969035</v>
      </c>
      <c r="D192" s="84" t="str">
        <f>'II_Inkunabeln+'!D192</f>
        <v>https://portal.dnb.de/opac.htm?method=simpleSearch&amp;cqlMode=true&amp;query=idn%3D1066969035</v>
      </c>
      <c r="E192" s="65" t="str">
        <f>'II_Inkunabeln+'!E192</f>
        <v>II 8,3b</v>
      </c>
      <c r="F192" s="65" t="str">
        <f>'II_Inkunabeln+'!H192</f>
        <v>bis 25 cm</v>
      </c>
      <c r="G192" s="93">
        <f>'II_Inkunabeln+'!X192</f>
        <v>0</v>
      </c>
      <c r="H192" s="93">
        <f>'II_Inkunabeln+'!AA192</f>
        <v>0</v>
      </c>
      <c r="I192" s="93">
        <f>'II_Inkunabeln+'!AC192</f>
        <v>0</v>
      </c>
      <c r="J192" s="94"/>
      <c r="K192" s="93">
        <f>'II_Inkunabeln+'!AD192</f>
        <v>0</v>
      </c>
      <c r="L192" s="94"/>
      <c r="M192" s="94"/>
      <c r="N192" s="94"/>
      <c r="O192" s="94"/>
      <c r="P192" s="94"/>
      <c r="Q192" s="94"/>
      <c r="R192" s="94"/>
      <c r="S192" s="94"/>
      <c r="T192" s="94"/>
      <c r="U192" s="94"/>
      <c r="V192" s="94"/>
      <c r="W192" s="94">
        <f>'II_Inkunabeln+'!BA192</f>
        <v>0</v>
      </c>
      <c r="X192" s="108"/>
      <c r="Y192" s="93">
        <f>'II_Inkunabeln+'!BI192</f>
        <v>0</v>
      </c>
      <c r="Z192" s="81">
        <f>'II_Inkunabeln+'!BJ192</f>
        <v>0</v>
      </c>
    </row>
    <row r="193" spans="1:26" x14ac:dyDescent="0.25">
      <c r="A193" s="63">
        <f>'II_Inkunabeln+'!A193</f>
        <v>185</v>
      </c>
      <c r="B193" s="63" t="str">
        <f>'II_Inkunabeln+'!B193</f>
        <v>L-9999-315503734</v>
      </c>
      <c r="C193" s="63">
        <f>'II_Inkunabeln+'!C193</f>
        <v>1066973369</v>
      </c>
      <c r="D193" s="84" t="str">
        <f>'II_Inkunabeln+'!D193</f>
        <v>https://portal.dnb.de/opac.htm?method=simpleSearch&amp;cqlMode=true&amp;query=idn%3D1066973369</v>
      </c>
      <c r="E193" s="65" t="str">
        <f>'II_Inkunabeln+'!E193</f>
        <v>II 8,4a</v>
      </c>
      <c r="F193" s="65" t="str">
        <f>'II_Inkunabeln+'!H193</f>
        <v>bis 25 cm</v>
      </c>
      <c r="G193" s="93">
        <f>'II_Inkunabeln+'!X193</f>
        <v>0</v>
      </c>
      <c r="H193" s="93">
        <f>'II_Inkunabeln+'!AA193</f>
        <v>0</v>
      </c>
      <c r="I193" s="93">
        <f>'II_Inkunabeln+'!AC193</f>
        <v>0</v>
      </c>
      <c r="J193" s="94"/>
      <c r="K193" s="93">
        <f>'II_Inkunabeln+'!AD193</f>
        <v>0</v>
      </c>
      <c r="L193" s="94"/>
      <c r="M193" s="94"/>
      <c r="N193" s="94"/>
      <c r="O193" s="94"/>
      <c r="P193" s="94"/>
      <c r="Q193" s="94"/>
      <c r="R193" s="94"/>
      <c r="S193" s="94"/>
      <c r="T193" s="94"/>
      <c r="U193" s="94"/>
      <c r="V193" s="94"/>
      <c r="W193" s="94">
        <f>'II_Inkunabeln+'!BA193</f>
        <v>0</v>
      </c>
      <c r="X193" s="108"/>
      <c r="Y193" s="93">
        <f>'II_Inkunabeln+'!BI193</f>
        <v>0</v>
      </c>
      <c r="Z193" s="81">
        <f>'II_Inkunabeln+'!BJ193</f>
        <v>0</v>
      </c>
    </row>
    <row r="194" spans="1:26" x14ac:dyDescent="0.25">
      <c r="A194" s="63">
        <f>'II_Inkunabeln+'!A194</f>
        <v>186</v>
      </c>
      <c r="B194" s="63" t="str">
        <f>'II_Inkunabeln+'!B194</f>
        <v>L-1474-315496169</v>
      </c>
      <c r="C194" s="63">
        <f>'II_Inkunabeln+'!C194</f>
        <v>1066965889</v>
      </c>
      <c r="D194" s="84" t="str">
        <f>'II_Inkunabeln+'!D194</f>
        <v>https://portal.dnb.de/opac.htm?method=simpleSearch&amp;cqlMode=true&amp;query=idn%3D1066965889</v>
      </c>
      <c r="E194" s="65" t="str">
        <f>'II_Inkunabeln+'!E194</f>
        <v>II 8,5a</v>
      </c>
      <c r="F194" s="65" t="str">
        <f>'II_Inkunabeln+'!H194</f>
        <v>bis 25 cm</v>
      </c>
      <c r="G194" s="93">
        <f>'II_Inkunabeln+'!X194</f>
        <v>0</v>
      </c>
      <c r="H194" s="93">
        <f>'II_Inkunabeln+'!AA194</f>
        <v>0</v>
      </c>
      <c r="I194" s="93">
        <f>'II_Inkunabeln+'!AC194</f>
        <v>0</v>
      </c>
      <c r="J194" s="94"/>
      <c r="K194" s="93">
        <f>'II_Inkunabeln+'!AD194</f>
        <v>0</v>
      </c>
      <c r="L194" s="94"/>
      <c r="M194" s="94"/>
      <c r="N194" s="94"/>
      <c r="O194" s="94"/>
      <c r="P194" s="94"/>
      <c r="Q194" s="94"/>
      <c r="R194" s="94"/>
      <c r="S194" s="94"/>
      <c r="T194" s="94"/>
      <c r="U194" s="94"/>
      <c r="V194" s="94"/>
      <c r="W194" s="94">
        <f>'II_Inkunabeln+'!BA194</f>
        <v>0</v>
      </c>
      <c r="X194" s="108"/>
      <c r="Y194" s="93">
        <f>'II_Inkunabeln+'!BI194</f>
        <v>0</v>
      </c>
      <c r="Z194" s="81">
        <f>'II_Inkunabeln+'!BJ194</f>
        <v>0</v>
      </c>
    </row>
    <row r="195" spans="1:26" x14ac:dyDescent="0.25">
      <c r="A195" s="63">
        <f>'II_Inkunabeln+'!A195</f>
        <v>187</v>
      </c>
      <c r="B195" s="63" t="str">
        <f>'II_Inkunabeln+'!B195</f>
        <v>L-1474-315495189</v>
      </c>
      <c r="C195" s="63">
        <f>'II_Inkunabeln+'!C195</f>
        <v>1066965048</v>
      </c>
      <c r="D195" s="84" t="str">
        <f>'II_Inkunabeln+'!D195</f>
        <v>https://portal.dnb.de/opac.htm?method=simpleSearch&amp;cqlMode=true&amp;query=idn%3D1066965048</v>
      </c>
      <c r="E195" s="65" t="str">
        <f>'II_Inkunabeln+'!E195</f>
        <v>II 8,6a</v>
      </c>
      <c r="F195" s="65" t="str">
        <f>'II_Inkunabeln+'!H195</f>
        <v>bis 35 cm</v>
      </c>
      <c r="G195" s="93">
        <f>'II_Inkunabeln+'!X195</f>
        <v>0</v>
      </c>
      <c r="H195" s="93">
        <f>'II_Inkunabeln+'!AA195</f>
        <v>0</v>
      </c>
      <c r="I195" s="93">
        <f>'II_Inkunabeln+'!AC195</f>
        <v>0</v>
      </c>
      <c r="J195" s="94"/>
      <c r="K195" s="93">
        <f>'II_Inkunabeln+'!AD195</f>
        <v>0</v>
      </c>
      <c r="L195" s="94"/>
      <c r="M195" s="94"/>
      <c r="N195" s="94"/>
      <c r="O195" s="94"/>
      <c r="P195" s="94"/>
      <c r="Q195" s="94"/>
      <c r="R195" s="94"/>
      <c r="S195" s="94"/>
      <c r="T195" s="94"/>
      <c r="U195" s="94"/>
      <c r="V195" s="94"/>
      <c r="W195" s="94">
        <f>'II_Inkunabeln+'!BA195</f>
        <v>0</v>
      </c>
      <c r="X195" s="108"/>
      <c r="Y195" s="93">
        <f>'II_Inkunabeln+'!BI195</f>
        <v>0</v>
      </c>
      <c r="Z195" s="81">
        <f>'II_Inkunabeln+'!BJ195</f>
        <v>0</v>
      </c>
    </row>
    <row r="196" spans="1:26" x14ac:dyDescent="0.25">
      <c r="A196" s="63">
        <f>'II_Inkunabeln+'!A196</f>
        <v>188</v>
      </c>
      <c r="B196" s="63" t="str">
        <f>'II_Inkunabeln+'!B196</f>
        <v>L-1474-315499230</v>
      </c>
      <c r="C196" s="63">
        <f>'II_Inkunabeln+'!C196</f>
        <v>1066968950</v>
      </c>
      <c r="D196" s="84" t="str">
        <f>'II_Inkunabeln+'!D196</f>
        <v>https://portal.dnb.de/opac.htm?method=simpleSearch&amp;cqlMode=true&amp;query=idn%3D1066968950</v>
      </c>
      <c r="E196" s="65" t="str">
        <f>'II_Inkunabeln+'!E196</f>
        <v>II 8,6b</v>
      </c>
      <c r="F196" s="65" t="str">
        <f>'II_Inkunabeln+'!H196</f>
        <v>bis 35 cm</v>
      </c>
      <c r="G196" s="93">
        <f>'II_Inkunabeln+'!X196</f>
        <v>0</v>
      </c>
      <c r="H196" s="93">
        <f>'II_Inkunabeln+'!AA196</f>
        <v>0</v>
      </c>
      <c r="I196" s="93">
        <f>'II_Inkunabeln+'!AC196</f>
        <v>0</v>
      </c>
      <c r="J196" s="94"/>
      <c r="K196" s="93">
        <f>'II_Inkunabeln+'!AD196</f>
        <v>0</v>
      </c>
      <c r="L196" s="94"/>
      <c r="M196" s="94"/>
      <c r="N196" s="94"/>
      <c r="O196" s="94"/>
      <c r="P196" s="94"/>
      <c r="Q196" s="94"/>
      <c r="R196" s="94"/>
      <c r="S196" s="94"/>
      <c r="T196" s="94"/>
      <c r="U196" s="94"/>
      <c r="V196" s="94"/>
      <c r="W196" s="94">
        <f>'II_Inkunabeln+'!BA196</f>
        <v>0</v>
      </c>
      <c r="X196" s="108"/>
      <c r="Y196" s="93">
        <f>'II_Inkunabeln+'!BI196</f>
        <v>0</v>
      </c>
      <c r="Z196" s="81">
        <f>'II_Inkunabeln+'!BJ196</f>
        <v>0</v>
      </c>
    </row>
    <row r="197" spans="1:26" x14ac:dyDescent="0.25">
      <c r="A197" s="63">
        <f>'II_Inkunabeln+'!A197</f>
        <v>189</v>
      </c>
      <c r="B197" s="63" t="str">
        <f>'II_Inkunabeln+'!B197</f>
        <v>L-1475-315502916</v>
      </c>
      <c r="C197" s="63">
        <f>'II_Inkunabeln+'!C197</f>
        <v>1066972508</v>
      </c>
      <c r="D197" s="84" t="str">
        <f>'II_Inkunabeln+'!D197</f>
        <v>https://portal.dnb.de/opac.htm?method=simpleSearch&amp;cqlMode=true&amp;query=idn%3D1066972508</v>
      </c>
      <c r="E197" s="65" t="str">
        <f>'II_Inkunabeln+'!E197</f>
        <v>II 8,6c</v>
      </c>
      <c r="F197" s="65" t="str">
        <f>'II_Inkunabeln+'!H197</f>
        <v>bis 35 cm</v>
      </c>
      <c r="G197" s="93" t="str">
        <f>'II_Inkunabeln+'!X197</f>
        <v>HD</v>
      </c>
      <c r="H197" s="93" t="str">
        <f>'II_Inkunabeln+'!AA197</f>
        <v>f/V</v>
      </c>
      <c r="I197" s="93">
        <f>'II_Inkunabeln+'!AC197</f>
        <v>0</v>
      </c>
      <c r="J197" s="94"/>
      <c r="K197" s="93">
        <f>'II_Inkunabeln+'!AD197</f>
        <v>0</v>
      </c>
      <c r="L197" s="94" t="s">
        <v>1633</v>
      </c>
      <c r="M197" s="94"/>
      <c r="N197" s="94"/>
      <c r="O197" s="94"/>
      <c r="P197" s="94"/>
      <c r="Q197" s="94"/>
      <c r="R197" s="94"/>
      <c r="S197" s="94"/>
      <c r="T197" s="94"/>
      <c r="U197" s="94"/>
      <c r="V197" s="94"/>
      <c r="W197" s="94" t="str">
        <f>'II_Inkunabeln+'!BA197</f>
        <v>ja vor</v>
      </c>
      <c r="X197" s="108">
        <v>0.5</v>
      </c>
      <c r="Y197" s="93">
        <f>'II_Inkunabeln+'!BI197</f>
        <v>0</v>
      </c>
      <c r="Z197" s="81">
        <f>'II_Inkunabeln+'!BJ197</f>
        <v>0</v>
      </c>
    </row>
    <row r="198" spans="1:26" x14ac:dyDescent="0.25">
      <c r="A198" s="63">
        <f>'II_Inkunabeln+'!A198</f>
        <v>190</v>
      </c>
      <c r="B198" s="63" t="str">
        <f>'II_Inkunabeln+'!B198</f>
        <v>L-1475-315502924</v>
      </c>
      <c r="C198" s="63">
        <f>'II_Inkunabeln+'!C198</f>
        <v>1066972508</v>
      </c>
      <c r="D198" s="84" t="str">
        <f>'II_Inkunabeln+'!D198</f>
        <v>https://portal.dnb.de/opac.htm?method=simpleSearch&amp;cqlMode=true&amp;query=idn%3D1066972508</v>
      </c>
      <c r="E198" s="65" t="str">
        <f>'II_Inkunabeln+'!E198</f>
        <v>II 8,6ca</v>
      </c>
      <c r="F198" s="65" t="str">
        <f>'II_Inkunabeln+'!H198</f>
        <v>bis 35 cm</v>
      </c>
      <c r="G198" s="93" t="str">
        <f>'II_Inkunabeln+'!X198</f>
        <v>HD</v>
      </c>
      <c r="H198" s="93" t="str">
        <f>'II_Inkunabeln+'!AA198</f>
        <v>f</v>
      </c>
      <c r="I198" s="93">
        <f>'II_Inkunabeln+'!AC198</f>
        <v>0</v>
      </c>
      <c r="J198" s="94"/>
      <c r="K198" s="93">
        <f>'II_Inkunabeln+'!AD198</f>
        <v>0</v>
      </c>
      <c r="L198" s="94"/>
      <c r="M198" s="94"/>
      <c r="N198" s="94"/>
      <c r="O198" s="94"/>
      <c r="P198" s="94"/>
      <c r="Q198" s="94"/>
      <c r="R198" s="94"/>
      <c r="S198" s="94"/>
      <c r="T198" s="94"/>
      <c r="U198" s="94"/>
      <c r="V198" s="94"/>
      <c r="W198" s="94" t="str">
        <f>'II_Inkunabeln+'!BA198</f>
        <v>ja vor</v>
      </c>
      <c r="X198" s="108"/>
      <c r="Y198" s="93">
        <f>'II_Inkunabeln+'!BI198</f>
        <v>0</v>
      </c>
      <c r="Z198" s="81">
        <f>'II_Inkunabeln+'!BJ198</f>
        <v>0</v>
      </c>
    </row>
    <row r="199" spans="1:26" x14ac:dyDescent="0.25">
      <c r="A199" s="63">
        <f>'II_Inkunabeln+'!A199</f>
        <v>191</v>
      </c>
      <c r="B199" s="63" t="str">
        <f>'II_Inkunabeln+'!B199</f>
        <v>L-1481-315330953</v>
      </c>
      <c r="C199" s="63">
        <f>'II_Inkunabeln+'!C199</f>
        <v>1066873151</v>
      </c>
      <c r="D199" s="84" t="str">
        <f>'II_Inkunabeln+'!D199</f>
        <v>https://portal.dnb.de/opac.htm?method=simpleSearch&amp;cqlMode=true&amp;query=idn%3D1066873151</v>
      </c>
      <c r="E199" s="65" t="str">
        <f>'II_Inkunabeln+'!E199</f>
        <v>II 8,6d</v>
      </c>
      <c r="F199" s="65" t="str">
        <f>'II_Inkunabeln+'!H199</f>
        <v>bis 35 cm</v>
      </c>
      <c r="G199" s="93">
        <f>'II_Inkunabeln+'!X199</f>
        <v>0</v>
      </c>
      <c r="H199" s="93">
        <f>'II_Inkunabeln+'!AA199</f>
        <v>0</v>
      </c>
      <c r="I199" s="93">
        <f>'II_Inkunabeln+'!AC199</f>
        <v>0</v>
      </c>
      <c r="J199" s="94"/>
      <c r="K199" s="93">
        <f>'II_Inkunabeln+'!AD199</f>
        <v>0</v>
      </c>
      <c r="L199" s="94"/>
      <c r="M199" s="94"/>
      <c r="N199" s="94"/>
      <c r="O199" s="94"/>
      <c r="P199" s="94"/>
      <c r="Q199" s="94"/>
      <c r="R199" s="94"/>
      <c r="S199" s="94"/>
      <c r="T199" s="94"/>
      <c r="U199" s="94"/>
      <c r="V199" s="94"/>
      <c r="W199" s="94">
        <f>'II_Inkunabeln+'!BA199</f>
        <v>0</v>
      </c>
      <c r="X199" s="108"/>
      <c r="Y199" s="93">
        <f>'II_Inkunabeln+'!BI199</f>
        <v>0</v>
      </c>
      <c r="Z199" s="81">
        <f>'II_Inkunabeln+'!BJ199</f>
        <v>0</v>
      </c>
    </row>
    <row r="200" spans="1:26" x14ac:dyDescent="0.25">
      <c r="A200" s="63">
        <f>'II_Inkunabeln+'!A200</f>
        <v>192</v>
      </c>
      <c r="B200" s="63" t="str">
        <f>'II_Inkunabeln+'!B200</f>
        <v>L-1481-326853847</v>
      </c>
      <c r="C200" s="63">
        <f>'II_Inkunabeln+'!C200</f>
        <v>1072055228</v>
      </c>
      <c r="D200" s="84" t="str">
        <f>'II_Inkunabeln+'!D200</f>
        <v>https://portal.dnb.de/opac.htm?method=simpleSearch&amp;cqlMode=true&amp;query=idn%3D1072055228</v>
      </c>
      <c r="E200" s="65" t="str">
        <f>'II_Inkunabeln+'!E200</f>
        <v>II 8,6e</v>
      </c>
      <c r="F200" s="65" t="str">
        <f>'II_Inkunabeln+'!H200</f>
        <v>bis 35 cm</v>
      </c>
      <c r="G200" s="93">
        <f>'II_Inkunabeln+'!X200</f>
        <v>0</v>
      </c>
      <c r="H200" s="93">
        <f>'II_Inkunabeln+'!AA200</f>
        <v>0</v>
      </c>
      <c r="I200" s="93">
        <f>'II_Inkunabeln+'!AC200</f>
        <v>0</v>
      </c>
      <c r="J200" s="94"/>
      <c r="K200" s="93">
        <f>'II_Inkunabeln+'!AD200</f>
        <v>0</v>
      </c>
      <c r="L200" s="94"/>
      <c r="M200" s="94"/>
      <c r="N200" s="94"/>
      <c r="O200" s="94"/>
      <c r="P200" s="94"/>
      <c r="Q200" s="94"/>
      <c r="R200" s="94"/>
      <c r="S200" s="94"/>
      <c r="T200" s="94"/>
      <c r="U200" s="94"/>
      <c r="V200" s="94"/>
      <c r="W200" s="94">
        <f>'II_Inkunabeln+'!BA200</f>
        <v>0</v>
      </c>
      <c r="X200" s="108"/>
      <c r="Y200" s="93">
        <f>'II_Inkunabeln+'!BI200</f>
        <v>0</v>
      </c>
      <c r="Z200" s="81">
        <f>'II_Inkunabeln+'!BJ200</f>
        <v>0</v>
      </c>
    </row>
    <row r="201" spans="1:26" x14ac:dyDescent="0.25">
      <c r="A201" s="63">
        <f>'II_Inkunabeln+'!A201</f>
        <v>193</v>
      </c>
      <c r="B201" s="63" t="str">
        <f>'II_Inkunabeln+'!B201</f>
        <v>L-1484-31550076X</v>
      </c>
      <c r="C201" s="63">
        <f>'II_Inkunabeln+'!C201</f>
        <v>1066970416</v>
      </c>
      <c r="D201" s="84" t="str">
        <f>'II_Inkunabeln+'!D201</f>
        <v>https://portal.dnb.de/opac.htm?method=simpleSearch&amp;cqlMode=true&amp;query=idn%3D1066970416</v>
      </c>
      <c r="E201" s="65" t="str">
        <f>'II_Inkunabeln+'!E201</f>
        <v>II 8,6f</v>
      </c>
      <c r="F201" s="65" t="str">
        <f>'II_Inkunabeln+'!H201</f>
        <v>bis 35 cm</v>
      </c>
      <c r="G201" s="93">
        <f>'II_Inkunabeln+'!X201</f>
        <v>0</v>
      </c>
      <c r="H201" s="93">
        <f>'II_Inkunabeln+'!AA201</f>
        <v>0</v>
      </c>
      <c r="I201" s="93">
        <f>'II_Inkunabeln+'!AC201</f>
        <v>0</v>
      </c>
      <c r="J201" s="94"/>
      <c r="K201" s="93">
        <f>'II_Inkunabeln+'!AD201</f>
        <v>0</v>
      </c>
      <c r="L201" s="94"/>
      <c r="M201" s="94"/>
      <c r="N201" s="94"/>
      <c r="O201" s="94"/>
      <c r="P201" s="94"/>
      <c r="Q201" s="94"/>
      <c r="R201" s="94"/>
      <c r="S201" s="94"/>
      <c r="T201" s="94"/>
      <c r="U201" s="94"/>
      <c r="V201" s="94"/>
      <c r="W201" s="94">
        <f>'II_Inkunabeln+'!BA201</f>
        <v>0</v>
      </c>
      <c r="X201" s="108"/>
      <c r="Y201" s="93">
        <f>'II_Inkunabeln+'!BI201</f>
        <v>0</v>
      </c>
      <c r="Z201" s="81">
        <f>'II_Inkunabeln+'!BJ201</f>
        <v>0</v>
      </c>
    </row>
    <row r="202" spans="1:26" x14ac:dyDescent="0.25">
      <c r="A202" s="63">
        <f>'II_Inkunabeln+'!A202</f>
        <v>194</v>
      </c>
      <c r="B202" s="63" t="str">
        <f>'II_Inkunabeln+'!B202</f>
        <v>L-1465-315500778</v>
      </c>
      <c r="C202" s="63">
        <f>'II_Inkunabeln+'!C202</f>
        <v>1066970424</v>
      </c>
      <c r="D202" s="84" t="str">
        <f>'II_Inkunabeln+'!D202</f>
        <v>https://portal.dnb.de/opac.htm?method=simpleSearch&amp;cqlMode=true&amp;query=idn%3D1066970424</v>
      </c>
      <c r="E202" s="65" t="str">
        <f>'II_Inkunabeln+'!E202</f>
        <v>II 8,6g</v>
      </c>
      <c r="F202" s="65">
        <f>'II_Inkunabeln+'!H202</f>
        <v>0</v>
      </c>
      <c r="G202" s="93">
        <f>'II_Inkunabeln+'!X202</f>
        <v>0</v>
      </c>
      <c r="H202" s="93">
        <f>'II_Inkunabeln+'!AA202</f>
        <v>0</v>
      </c>
      <c r="I202" s="93">
        <f>'II_Inkunabeln+'!AC202</f>
        <v>0</v>
      </c>
      <c r="J202" s="94"/>
      <c r="K202" s="93">
        <f>'II_Inkunabeln+'!AD202</f>
        <v>0</v>
      </c>
      <c r="L202" s="94"/>
      <c r="M202" s="94"/>
      <c r="N202" s="94"/>
      <c r="O202" s="94"/>
      <c r="P202" s="94"/>
      <c r="Q202" s="94"/>
      <c r="R202" s="94"/>
      <c r="S202" s="94"/>
      <c r="T202" s="94"/>
      <c r="U202" s="94"/>
      <c r="V202" s="94"/>
      <c r="W202" s="94">
        <f>'II_Inkunabeln+'!BA202</f>
        <v>0</v>
      </c>
      <c r="X202" s="108"/>
      <c r="Y202" s="93">
        <f>'II_Inkunabeln+'!BI202</f>
        <v>0</v>
      </c>
      <c r="Z202" s="81">
        <f>'II_Inkunabeln+'!BJ202</f>
        <v>0</v>
      </c>
    </row>
    <row r="203" spans="1:26" x14ac:dyDescent="0.25">
      <c r="A203" s="63">
        <f>'II_Inkunabeln+'!A203</f>
        <v>195</v>
      </c>
      <c r="B203" s="63" t="str">
        <f>'II_Inkunabeln+'!B203</f>
        <v>L-1485-315502967</v>
      </c>
      <c r="C203" s="63">
        <f>'II_Inkunabeln+'!C203</f>
        <v>1066972540</v>
      </c>
      <c r="D203" s="84" t="str">
        <f>'II_Inkunabeln+'!D203</f>
        <v>https://portal.dnb.de/opac.htm?method=simpleSearch&amp;cqlMode=true&amp;query=idn%3D1066972540</v>
      </c>
      <c r="E203" s="65" t="str">
        <f>'II_Inkunabeln+'!E203</f>
        <v>II 8,6h</v>
      </c>
      <c r="F203" s="65" t="str">
        <f>'II_Inkunabeln+'!H203</f>
        <v>bis 35 cm</v>
      </c>
      <c r="G203" s="93">
        <f>'II_Inkunabeln+'!X203</f>
        <v>0</v>
      </c>
      <c r="H203" s="93">
        <f>'II_Inkunabeln+'!AA203</f>
        <v>0</v>
      </c>
      <c r="I203" s="93">
        <f>'II_Inkunabeln+'!AC203</f>
        <v>0</v>
      </c>
      <c r="J203" s="94"/>
      <c r="K203" s="93">
        <f>'II_Inkunabeln+'!AD203</f>
        <v>0</v>
      </c>
      <c r="L203" s="94"/>
      <c r="M203" s="94"/>
      <c r="N203" s="94"/>
      <c r="O203" s="94"/>
      <c r="P203" s="94"/>
      <c r="Q203" s="94"/>
      <c r="R203" s="94"/>
      <c r="S203" s="94"/>
      <c r="T203" s="94"/>
      <c r="U203" s="94"/>
      <c r="V203" s="94"/>
      <c r="W203" s="94">
        <f>'II_Inkunabeln+'!BA203</f>
        <v>0</v>
      </c>
      <c r="X203" s="108"/>
      <c r="Y203" s="93">
        <f>'II_Inkunabeln+'!BI203</f>
        <v>0</v>
      </c>
      <c r="Z203" s="81">
        <f>'II_Inkunabeln+'!BJ203</f>
        <v>0</v>
      </c>
    </row>
    <row r="204" spans="1:26" x14ac:dyDescent="0.25">
      <c r="A204" s="63">
        <f>'II_Inkunabeln+'!A204</f>
        <v>196</v>
      </c>
      <c r="B204" s="63" t="str">
        <f>'II_Inkunabeln+'!B204</f>
        <v>L-1486-315500239</v>
      </c>
      <c r="C204" s="63">
        <f>'II_Inkunabeln+'!C204</f>
        <v>1066969906</v>
      </c>
      <c r="D204" s="84" t="str">
        <f>'II_Inkunabeln+'!D204</f>
        <v>https://portal.dnb.de/opac.htm?method=simpleSearch&amp;cqlMode=true&amp;query=idn%3D1066969906</v>
      </c>
      <c r="E204" s="65" t="str">
        <f>'II_Inkunabeln+'!E204</f>
        <v>II 8,6i (angebunden an II 8, 6k)</v>
      </c>
      <c r="F204" s="65">
        <f>'II_Inkunabeln+'!H204</f>
        <v>0</v>
      </c>
      <c r="G204" s="93">
        <f>'II_Inkunabeln+'!X204</f>
        <v>0</v>
      </c>
      <c r="H204" s="93">
        <f>'II_Inkunabeln+'!AA204</f>
        <v>0</v>
      </c>
      <c r="I204" s="93">
        <f>'II_Inkunabeln+'!AC204</f>
        <v>0</v>
      </c>
      <c r="J204" s="94"/>
      <c r="K204" s="93">
        <f>'II_Inkunabeln+'!AD204</f>
        <v>0</v>
      </c>
      <c r="L204" s="94"/>
      <c r="M204" s="94"/>
      <c r="N204" s="94"/>
      <c r="O204" s="94"/>
      <c r="P204" s="94"/>
      <c r="Q204" s="94"/>
      <c r="R204" s="94"/>
      <c r="S204" s="94"/>
      <c r="T204" s="94"/>
      <c r="U204" s="94"/>
      <c r="V204" s="94"/>
      <c r="W204" s="94">
        <f>'II_Inkunabeln+'!BA204</f>
        <v>0</v>
      </c>
      <c r="X204" s="108"/>
      <c r="Y204" s="93">
        <f>'II_Inkunabeln+'!BI204</f>
        <v>0</v>
      </c>
      <c r="Z204" s="81">
        <f>'II_Inkunabeln+'!BJ204</f>
        <v>0</v>
      </c>
    </row>
    <row r="205" spans="1:26" x14ac:dyDescent="0.25">
      <c r="A205" s="63">
        <f>'II_Inkunabeln+'!A205</f>
        <v>197</v>
      </c>
      <c r="B205" s="63" t="str">
        <f>'II_Inkunabeln+'!B205</f>
        <v>L-1487-315503823</v>
      </c>
      <c r="C205" s="63" t="str">
        <f>'II_Inkunabeln+'!C205</f>
        <v>106697344X</v>
      </c>
      <c r="D205" s="84" t="str">
        <f>'II_Inkunabeln+'!D205</f>
        <v>https://portal.dnb.de/opac.htm?method=simpleSearch&amp;cqlMode=true&amp;query=idn%3D106697344X</v>
      </c>
      <c r="E205" s="65" t="str">
        <f>'II_Inkunabeln+'!E205</f>
        <v>II 8,6k</v>
      </c>
      <c r="F205" s="65" t="str">
        <f>'II_Inkunabeln+'!H205</f>
        <v>bis 35 cm</v>
      </c>
      <c r="G205" s="93">
        <f>'II_Inkunabeln+'!X205</f>
        <v>0</v>
      </c>
      <c r="H205" s="93">
        <f>'II_Inkunabeln+'!AA205</f>
        <v>0</v>
      </c>
      <c r="I205" s="93">
        <f>'II_Inkunabeln+'!AC205</f>
        <v>0</v>
      </c>
      <c r="J205" s="94"/>
      <c r="K205" s="93">
        <f>'II_Inkunabeln+'!AD205</f>
        <v>0</v>
      </c>
      <c r="L205" s="94"/>
      <c r="M205" s="94"/>
      <c r="N205" s="94"/>
      <c r="O205" s="94"/>
      <c r="P205" s="94"/>
      <c r="Q205" s="94"/>
      <c r="R205" s="94"/>
      <c r="S205" s="94"/>
      <c r="T205" s="94"/>
      <c r="U205" s="94"/>
      <c r="V205" s="94"/>
      <c r="W205" s="94">
        <f>'II_Inkunabeln+'!BA205</f>
        <v>0</v>
      </c>
      <c r="X205" s="108"/>
      <c r="Y205" s="93">
        <f>'II_Inkunabeln+'!BI205</f>
        <v>0</v>
      </c>
      <c r="Z205" s="81">
        <f>'II_Inkunabeln+'!BJ205</f>
        <v>0</v>
      </c>
    </row>
    <row r="206" spans="1:26" x14ac:dyDescent="0.25">
      <c r="A206" s="63">
        <f>'II_Inkunabeln+'!A206</f>
        <v>198</v>
      </c>
      <c r="B206" s="63" t="str">
        <f>'II_Inkunabeln+'!B206</f>
        <v>L-1473-315497637</v>
      </c>
      <c r="C206" s="63">
        <f>'II_Inkunabeln+'!C206</f>
        <v>1066967385</v>
      </c>
      <c r="D206" s="84" t="str">
        <f>'II_Inkunabeln+'!D206</f>
        <v>https://portal.dnb.de/opac.htm?method=simpleSearch&amp;cqlMode=true&amp;query=idn%3D1066967385</v>
      </c>
      <c r="E206" s="65" t="str">
        <f>'II_Inkunabeln+'!E206</f>
        <v>II 8,6m - 2</v>
      </c>
      <c r="F206" s="65" t="str">
        <f>'II_Inkunabeln+'!H206</f>
        <v>bis 35 cm</v>
      </c>
      <c r="G206" s="93">
        <f>'II_Inkunabeln+'!X206</f>
        <v>0</v>
      </c>
      <c r="H206" s="93">
        <f>'II_Inkunabeln+'!AA206</f>
        <v>0</v>
      </c>
      <c r="I206" s="93">
        <f>'II_Inkunabeln+'!AC206</f>
        <v>0</v>
      </c>
      <c r="J206" s="94"/>
      <c r="K206" s="93">
        <f>'II_Inkunabeln+'!AD206</f>
        <v>0</v>
      </c>
      <c r="L206" s="94"/>
      <c r="M206" s="94"/>
      <c r="N206" s="94"/>
      <c r="O206" s="94"/>
      <c r="P206" s="94"/>
      <c r="Q206" s="94"/>
      <c r="R206" s="94"/>
      <c r="S206" s="94"/>
      <c r="T206" s="94"/>
      <c r="U206" s="94"/>
      <c r="V206" s="94"/>
      <c r="W206" s="94">
        <f>'II_Inkunabeln+'!BA206</f>
        <v>0</v>
      </c>
      <c r="X206" s="108"/>
      <c r="Y206" s="93">
        <f>'II_Inkunabeln+'!BI206</f>
        <v>0</v>
      </c>
      <c r="Z206" s="81">
        <f>'II_Inkunabeln+'!BJ206</f>
        <v>0</v>
      </c>
    </row>
    <row r="207" spans="1:26" x14ac:dyDescent="0.25">
      <c r="A207" s="63">
        <f>'II_Inkunabeln+'!A207</f>
        <v>199</v>
      </c>
      <c r="B207" s="63" t="str">
        <f>'II_Inkunabeln+'!B207</f>
        <v>L-1473-315499699</v>
      </c>
      <c r="C207" s="63">
        <f>'II_Inkunabeln+'!C207</f>
        <v>1066969353</v>
      </c>
      <c r="D207" s="84" t="str">
        <f>'II_Inkunabeln+'!D207</f>
        <v>https://portal.dnb.de/opac.htm?method=simpleSearch&amp;cqlMode=true&amp;query=idn%3D1066969353</v>
      </c>
      <c r="E207" s="65" t="str">
        <f>'II_Inkunabeln+'!E207</f>
        <v>II 8,7a</v>
      </c>
      <c r="F207" s="65" t="str">
        <f>'II_Inkunabeln+'!H207</f>
        <v>bis 25 cm</v>
      </c>
      <c r="G207" s="93">
        <f>'II_Inkunabeln+'!X207</f>
        <v>0</v>
      </c>
      <c r="H207" s="93">
        <f>'II_Inkunabeln+'!AA207</f>
        <v>0</v>
      </c>
      <c r="I207" s="93">
        <f>'II_Inkunabeln+'!AC207</f>
        <v>0</v>
      </c>
      <c r="J207" s="94"/>
      <c r="K207" s="93">
        <f>'II_Inkunabeln+'!AD207</f>
        <v>0</v>
      </c>
      <c r="L207" s="94"/>
      <c r="M207" s="94"/>
      <c r="N207" s="94"/>
      <c r="O207" s="94"/>
      <c r="P207" s="94"/>
      <c r="Q207" s="94"/>
      <c r="R207" s="94"/>
      <c r="S207" s="94"/>
      <c r="T207" s="94"/>
      <c r="U207" s="94"/>
      <c r="V207" s="94"/>
      <c r="W207" s="94">
        <f>'II_Inkunabeln+'!BA207</f>
        <v>0</v>
      </c>
      <c r="X207" s="108"/>
      <c r="Y207" s="93">
        <f>'II_Inkunabeln+'!BI207</f>
        <v>0</v>
      </c>
      <c r="Z207" s="81">
        <f>'II_Inkunabeln+'!BJ207</f>
        <v>0</v>
      </c>
    </row>
    <row r="208" spans="1:26" x14ac:dyDescent="0.25">
      <c r="A208" s="63">
        <f>'II_Inkunabeln+'!A208</f>
        <v>200</v>
      </c>
      <c r="B208" s="63" t="str">
        <f>'II_Inkunabeln+'!B208</f>
        <v>L-1480-315496002</v>
      </c>
      <c r="C208" s="63">
        <f>'II_Inkunabeln+'!C208</f>
        <v>1066965765</v>
      </c>
      <c r="D208" s="84" t="str">
        <f>'II_Inkunabeln+'!D208</f>
        <v>https://portal.dnb.de/opac.htm?method=simpleSearch&amp;cqlMode=true&amp;query=idn%3D1066965765</v>
      </c>
      <c r="E208" s="65" t="str">
        <f>'II_Inkunabeln+'!E208</f>
        <v>II 8,8a</v>
      </c>
      <c r="F208" s="65" t="str">
        <f>'II_Inkunabeln+'!H208</f>
        <v>bis 25 cm</v>
      </c>
      <c r="G208" s="93">
        <f>'II_Inkunabeln+'!X208</f>
        <v>0</v>
      </c>
      <c r="H208" s="93">
        <f>'II_Inkunabeln+'!AA208</f>
        <v>0</v>
      </c>
      <c r="I208" s="93">
        <f>'II_Inkunabeln+'!AC208</f>
        <v>0</v>
      </c>
      <c r="J208" s="94"/>
      <c r="K208" s="93">
        <f>'II_Inkunabeln+'!AD208</f>
        <v>0</v>
      </c>
      <c r="L208" s="94"/>
      <c r="M208" s="94"/>
      <c r="N208" s="94"/>
      <c r="O208" s="94"/>
      <c r="P208" s="94"/>
      <c r="Q208" s="94"/>
      <c r="R208" s="94"/>
      <c r="S208" s="94"/>
      <c r="T208" s="94"/>
      <c r="U208" s="94"/>
      <c r="V208" s="94"/>
      <c r="W208" s="94">
        <f>'II_Inkunabeln+'!BA208</f>
        <v>0</v>
      </c>
      <c r="X208" s="108"/>
      <c r="Y208" s="93">
        <f>'II_Inkunabeln+'!BI208</f>
        <v>0</v>
      </c>
      <c r="Z208" s="81">
        <f>'II_Inkunabeln+'!BJ208</f>
        <v>0</v>
      </c>
    </row>
    <row r="209" spans="1:26" x14ac:dyDescent="0.25">
      <c r="A209" s="63">
        <f>'II_Inkunabeln+'!A209</f>
        <v>201</v>
      </c>
      <c r="B209" s="63" t="str">
        <f>'II_Inkunabeln+'!B209</f>
        <v>L-1483-315497904</v>
      </c>
      <c r="C209" s="63">
        <f>'II_Inkunabeln+'!C209</f>
        <v>1066967644</v>
      </c>
      <c r="D209" s="84" t="str">
        <f>'II_Inkunabeln+'!D209</f>
        <v>https://portal.dnb.de/opac.htm?method=simpleSearch&amp;cqlMode=true&amp;query=idn%3D1066967644</v>
      </c>
      <c r="E209" s="65" t="str">
        <f>'II_Inkunabeln+'!E209</f>
        <v>II 8,10a</v>
      </c>
      <c r="F209" s="65" t="str">
        <f>'II_Inkunabeln+'!H209</f>
        <v>bis 25 cm</v>
      </c>
      <c r="G209" s="93">
        <f>'II_Inkunabeln+'!X209</f>
        <v>0</v>
      </c>
      <c r="H209" s="93">
        <f>'II_Inkunabeln+'!AA209</f>
        <v>0</v>
      </c>
      <c r="I209" s="93">
        <f>'II_Inkunabeln+'!AC209</f>
        <v>0</v>
      </c>
      <c r="J209" s="94"/>
      <c r="K209" s="93">
        <f>'II_Inkunabeln+'!AD209</f>
        <v>0</v>
      </c>
      <c r="L209" s="94"/>
      <c r="M209" s="94"/>
      <c r="N209" s="94"/>
      <c r="O209" s="94"/>
      <c r="P209" s="94"/>
      <c r="Q209" s="94"/>
      <c r="R209" s="94"/>
      <c r="S209" s="94"/>
      <c r="T209" s="94"/>
      <c r="U209" s="94"/>
      <c r="V209" s="94"/>
      <c r="W209" s="94">
        <f>'II_Inkunabeln+'!BA209</f>
        <v>0</v>
      </c>
      <c r="X209" s="108"/>
      <c r="Y209" s="93">
        <f>'II_Inkunabeln+'!BI209</f>
        <v>0</v>
      </c>
      <c r="Z209" s="81">
        <f>'II_Inkunabeln+'!BJ209</f>
        <v>0</v>
      </c>
    </row>
    <row r="210" spans="1:26" x14ac:dyDescent="0.25">
      <c r="A210" s="63">
        <f>'II_Inkunabeln+'!A210</f>
        <v>202</v>
      </c>
      <c r="B210" s="63" t="str">
        <f>'II_Inkunabeln+'!B210</f>
        <v>L-1480-343704323</v>
      </c>
      <c r="C210" s="63">
        <f>'II_Inkunabeln+'!C210</f>
        <v>1079553606</v>
      </c>
      <c r="D210" s="84" t="str">
        <f>'II_Inkunabeln+'!D210</f>
        <v>https://portal.dnb.de/opac.htm?method=simpleSearch&amp;cqlMode=true&amp;query=idn%3D1079553606</v>
      </c>
      <c r="E210" s="65" t="str">
        <f>'II_Inkunabeln+'!E210</f>
        <v>II 8,10b</v>
      </c>
      <c r="F210" s="65" t="str">
        <f>'II_Inkunabeln+'!H210</f>
        <v>bis 25 cm</v>
      </c>
      <c r="G210" s="93">
        <f>'II_Inkunabeln+'!X210</f>
        <v>0</v>
      </c>
      <c r="H210" s="93">
        <f>'II_Inkunabeln+'!AA210</f>
        <v>0</v>
      </c>
      <c r="I210" s="93">
        <f>'II_Inkunabeln+'!AC210</f>
        <v>0</v>
      </c>
      <c r="J210" s="94"/>
      <c r="K210" s="93">
        <f>'II_Inkunabeln+'!AD210</f>
        <v>0</v>
      </c>
      <c r="L210" s="94"/>
      <c r="M210" s="94"/>
      <c r="N210" s="94"/>
      <c r="O210" s="94"/>
      <c r="P210" s="94"/>
      <c r="Q210" s="94"/>
      <c r="R210" s="94"/>
      <c r="S210" s="94"/>
      <c r="T210" s="94"/>
      <c r="U210" s="94"/>
      <c r="V210" s="94"/>
      <c r="W210" s="94">
        <f>'II_Inkunabeln+'!BA210</f>
        <v>0</v>
      </c>
      <c r="X210" s="108"/>
      <c r="Y210" s="93">
        <f>'II_Inkunabeln+'!BI210</f>
        <v>0</v>
      </c>
      <c r="Z210" s="81">
        <f>'II_Inkunabeln+'!BJ210</f>
        <v>0</v>
      </c>
    </row>
    <row r="211" spans="1:26" x14ac:dyDescent="0.25">
      <c r="A211" s="63">
        <f>'II_Inkunabeln+'!A211</f>
        <v>203</v>
      </c>
      <c r="B211" s="63" t="str">
        <f>'II_Inkunabeln+'!B211</f>
        <v>L-1476-326854657</v>
      </c>
      <c r="C211" s="63">
        <f>'II_Inkunabeln+'!C211</f>
        <v>1072057565</v>
      </c>
      <c r="D211" s="84" t="str">
        <f>'II_Inkunabeln+'!D211</f>
        <v>https://portal.dnb.de/opac.htm?method=simpleSearch&amp;cqlMode=true&amp;query=idn%3D1072057565</v>
      </c>
      <c r="E211" s="65" t="str">
        <f>'II_Inkunabeln+'!E211</f>
        <v>II 8,11 a</v>
      </c>
      <c r="F211" s="65" t="str">
        <f>'II_Inkunabeln+'!H211</f>
        <v>bis 35 cm</v>
      </c>
      <c r="G211" s="93">
        <f>'II_Inkunabeln+'!X211</f>
        <v>0</v>
      </c>
      <c r="H211" s="93">
        <f>'II_Inkunabeln+'!AA211</f>
        <v>0</v>
      </c>
      <c r="I211" s="93">
        <f>'II_Inkunabeln+'!AC211</f>
        <v>0</v>
      </c>
      <c r="J211" s="94"/>
      <c r="K211" s="93">
        <f>'II_Inkunabeln+'!AD211</f>
        <v>0</v>
      </c>
      <c r="L211" s="94"/>
      <c r="M211" s="94"/>
      <c r="N211" s="94"/>
      <c r="O211" s="94"/>
      <c r="P211" s="94"/>
      <c r="Q211" s="94"/>
      <c r="R211" s="94"/>
      <c r="S211" s="94"/>
      <c r="T211" s="94"/>
      <c r="U211" s="94"/>
      <c r="V211" s="94"/>
      <c r="W211" s="94">
        <f>'II_Inkunabeln+'!BA211</f>
        <v>0</v>
      </c>
      <c r="X211" s="108"/>
      <c r="Y211" s="93">
        <f>'II_Inkunabeln+'!BI211</f>
        <v>0</v>
      </c>
      <c r="Z211" s="81">
        <f>'II_Inkunabeln+'!BJ211</f>
        <v>0</v>
      </c>
    </row>
    <row r="212" spans="1:26" x14ac:dyDescent="0.25">
      <c r="A212" s="63">
        <f>'II_Inkunabeln+'!A212</f>
        <v>204</v>
      </c>
      <c r="B212" s="63" t="str">
        <f>'II_Inkunabeln+'!B212</f>
        <v>L-1476-315500603</v>
      </c>
      <c r="C212" s="63">
        <f>'II_Inkunabeln+'!C212</f>
        <v>1066970262</v>
      </c>
      <c r="D212" s="84" t="str">
        <f>'II_Inkunabeln+'!D212</f>
        <v>https://portal.dnb.de/opac.htm?method=simpleSearch&amp;cqlMode=true&amp;query=idn%3D1066970262</v>
      </c>
      <c r="E212" s="65" t="str">
        <f>'II_Inkunabeln+'!E212</f>
        <v>II 8,11 b</v>
      </c>
      <c r="F212" s="65" t="str">
        <f>'II_Inkunabeln+'!H212</f>
        <v>bis 35 cm</v>
      </c>
      <c r="G212" s="93">
        <f>'II_Inkunabeln+'!X212</f>
        <v>0</v>
      </c>
      <c r="H212" s="93">
        <f>'II_Inkunabeln+'!AA212</f>
        <v>0</v>
      </c>
      <c r="I212" s="93">
        <f>'II_Inkunabeln+'!AC212</f>
        <v>0</v>
      </c>
      <c r="J212" s="94"/>
      <c r="K212" s="93">
        <f>'II_Inkunabeln+'!AD212</f>
        <v>0</v>
      </c>
      <c r="L212" s="94"/>
      <c r="M212" s="94"/>
      <c r="N212" s="94"/>
      <c r="O212" s="94"/>
      <c r="P212" s="94"/>
      <c r="Q212" s="94"/>
      <c r="R212" s="94"/>
      <c r="S212" s="94"/>
      <c r="T212" s="94"/>
      <c r="U212" s="94"/>
      <c r="V212" s="94"/>
      <c r="W212" s="94">
        <f>'II_Inkunabeln+'!BA212</f>
        <v>0</v>
      </c>
      <c r="X212" s="108"/>
      <c r="Y212" s="93">
        <f>'II_Inkunabeln+'!BI212</f>
        <v>0</v>
      </c>
      <c r="Z212" s="81">
        <f>'II_Inkunabeln+'!BJ212</f>
        <v>0</v>
      </c>
    </row>
    <row r="213" spans="1:26" x14ac:dyDescent="0.25">
      <c r="A213" s="63">
        <f>'II_Inkunabeln+'!A213</f>
        <v>205</v>
      </c>
      <c r="B213" s="63" t="str">
        <f>'II_Inkunabeln+'!B213</f>
        <v>L-1475-315500972</v>
      </c>
      <c r="C213" s="63">
        <f>'II_Inkunabeln+'!C213</f>
        <v>1066970610</v>
      </c>
      <c r="D213" s="84" t="str">
        <f>'II_Inkunabeln+'!D213</f>
        <v>https://portal.dnb.de/opac.htm?method=simpleSearch&amp;cqlMode=true&amp;query=idn%3D1066970610</v>
      </c>
      <c r="E213" s="65" t="str">
        <f>'II_Inkunabeln+'!E213</f>
        <v>II 8,11c</v>
      </c>
      <c r="F213" s="65" t="str">
        <f>'II_Inkunabeln+'!H213</f>
        <v>bis 42 cm</v>
      </c>
      <c r="G213" s="93">
        <f>'II_Inkunabeln+'!X213</f>
        <v>0</v>
      </c>
      <c r="H213" s="93">
        <f>'II_Inkunabeln+'!AA213</f>
        <v>0</v>
      </c>
      <c r="I213" s="93">
        <f>'II_Inkunabeln+'!AC213</f>
        <v>0</v>
      </c>
      <c r="J213" s="94"/>
      <c r="K213" s="93">
        <f>'II_Inkunabeln+'!AD213</f>
        <v>0</v>
      </c>
      <c r="L213" s="94"/>
      <c r="M213" s="94"/>
      <c r="N213" s="94"/>
      <c r="O213" s="94"/>
      <c r="P213" s="94"/>
      <c r="Q213" s="94"/>
      <c r="R213" s="94"/>
      <c r="S213" s="94"/>
      <c r="T213" s="94"/>
      <c r="U213" s="94"/>
      <c r="V213" s="94"/>
      <c r="W213" s="94">
        <f>'II_Inkunabeln+'!BA213</f>
        <v>0</v>
      </c>
      <c r="X213" s="108"/>
      <c r="Y213" s="93">
        <f>'II_Inkunabeln+'!BI213</f>
        <v>0</v>
      </c>
      <c r="Z213" s="81">
        <f>'II_Inkunabeln+'!BJ213</f>
        <v>0</v>
      </c>
    </row>
    <row r="214" spans="1:26" x14ac:dyDescent="0.25">
      <c r="A214" s="63">
        <f>'II_Inkunabeln+'!A214</f>
        <v>206</v>
      </c>
      <c r="B214" s="63" t="str">
        <f>'II_Inkunabeln+'!B214</f>
        <v>L-1486-315500514</v>
      </c>
      <c r="C214" s="63">
        <f>'II_Inkunabeln+'!C214</f>
        <v>1066970165</v>
      </c>
      <c r="D214" s="84" t="str">
        <f>'II_Inkunabeln+'!D214</f>
        <v>https://portal.dnb.de/opac.htm?method=simpleSearch&amp;cqlMode=true&amp;query=idn%3D1066970165</v>
      </c>
      <c r="E214" s="65" t="str">
        <f>'II_Inkunabeln+'!E214</f>
        <v>II 8,12a</v>
      </c>
      <c r="F214" s="65" t="str">
        <f>'II_Inkunabeln+'!H214</f>
        <v>bis 25 cm</v>
      </c>
      <c r="G214" s="93">
        <f>'II_Inkunabeln+'!X214</f>
        <v>0</v>
      </c>
      <c r="H214" s="93">
        <f>'II_Inkunabeln+'!AA214</f>
        <v>0</v>
      </c>
      <c r="I214" s="93">
        <f>'II_Inkunabeln+'!AC214</f>
        <v>0</v>
      </c>
      <c r="J214" s="94"/>
      <c r="K214" s="93">
        <f>'II_Inkunabeln+'!AD214</f>
        <v>0</v>
      </c>
      <c r="L214" s="94"/>
      <c r="M214" s="94"/>
      <c r="N214" s="94"/>
      <c r="O214" s="94"/>
      <c r="P214" s="94"/>
      <c r="Q214" s="94"/>
      <c r="R214" s="94"/>
      <c r="S214" s="94"/>
      <c r="T214" s="94"/>
      <c r="U214" s="94"/>
      <c r="V214" s="94"/>
      <c r="W214" s="94">
        <f>'II_Inkunabeln+'!BA214</f>
        <v>0</v>
      </c>
      <c r="X214" s="108"/>
      <c r="Y214" s="93">
        <f>'II_Inkunabeln+'!BI214</f>
        <v>0</v>
      </c>
      <c r="Z214" s="81">
        <f>'II_Inkunabeln+'!BJ214</f>
        <v>0</v>
      </c>
    </row>
    <row r="215" spans="1:26" x14ac:dyDescent="0.25">
      <c r="A215" s="63">
        <f>'II_Inkunabeln+'!A215</f>
        <v>207</v>
      </c>
      <c r="B215" s="63" t="str">
        <f>'II_Inkunabeln+'!B215</f>
        <v>L-1487-315495839</v>
      </c>
      <c r="C215" s="63">
        <f>'II_Inkunabeln+'!C215</f>
        <v>1066965617</v>
      </c>
      <c r="D215" s="84" t="str">
        <f>'II_Inkunabeln+'!D215</f>
        <v>https://portal.dnb.de/opac.htm?method=simpleSearch&amp;cqlMode=true&amp;query=idn%3D1066965617</v>
      </c>
      <c r="E215" s="65" t="str">
        <f>'II_Inkunabeln+'!E215</f>
        <v>II 8,12b</v>
      </c>
      <c r="F215" s="65" t="str">
        <f>'II_Inkunabeln+'!H215</f>
        <v>bis 35 cm</v>
      </c>
      <c r="G215" s="93">
        <f>'II_Inkunabeln+'!X215</f>
        <v>0</v>
      </c>
      <c r="H215" s="93">
        <f>'II_Inkunabeln+'!AA215</f>
        <v>0</v>
      </c>
      <c r="I215" s="93">
        <f>'II_Inkunabeln+'!AC215</f>
        <v>0</v>
      </c>
      <c r="J215" s="94"/>
      <c r="K215" s="93">
        <f>'II_Inkunabeln+'!AD215</f>
        <v>0</v>
      </c>
      <c r="L215" s="94"/>
      <c r="M215" s="94"/>
      <c r="N215" s="94"/>
      <c r="O215" s="94"/>
      <c r="P215" s="94"/>
      <c r="Q215" s="94"/>
      <c r="R215" s="94"/>
      <c r="S215" s="94"/>
      <c r="T215" s="94"/>
      <c r="U215" s="94"/>
      <c r="V215" s="94"/>
      <c r="W215" s="94">
        <f>'II_Inkunabeln+'!BA215</f>
        <v>0</v>
      </c>
      <c r="X215" s="108"/>
      <c r="Y215" s="93">
        <f>'II_Inkunabeln+'!BI215</f>
        <v>0</v>
      </c>
      <c r="Z215" s="81">
        <f>'II_Inkunabeln+'!BJ215</f>
        <v>0</v>
      </c>
    </row>
    <row r="216" spans="1:26" x14ac:dyDescent="0.25">
      <c r="A216" s="63">
        <f>'II_Inkunabeln+'!A216</f>
        <v>208</v>
      </c>
      <c r="B216" s="63" t="str">
        <f>'II_Inkunabeln+'!B216</f>
        <v>L-1485-315495200</v>
      </c>
      <c r="C216" s="63">
        <f>'II_Inkunabeln+'!C216</f>
        <v>1066965064</v>
      </c>
      <c r="D216" s="84" t="str">
        <f>'II_Inkunabeln+'!D216</f>
        <v>https://portal.dnb.de/opac.htm?method=simpleSearch&amp;cqlMode=true&amp;query=idn%3D1066965064</v>
      </c>
      <c r="E216" s="65" t="str">
        <f>'II_Inkunabeln+'!E216</f>
        <v>II 8,12c</v>
      </c>
      <c r="F216" s="65" t="str">
        <f>'II_Inkunabeln+'!H216</f>
        <v>bis 25 cm</v>
      </c>
      <c r="G216" s="93">
        <f>'II_Inkunabeln+'!X216</f>
        <v>0</v>
      </c>
      <c r="H216" s="93">
        <f>'II_Inkunabeln+'!AA216</f>
        <v>0</v>
      </c>
      <c r="I216" s="93">
        <f>'II_Inkunabeln+'!AC216</f>
        <v>0</v>
      </c>
      <c r="J216" s="94"/>
      <c r="K216" s="93">
        <f>'II_Inkunabeln+'!AD216</f>
        <v>0</v>
      </c>
      <c r="L216" s="94"/>
      <c r="M216" s="94"/>
      <c r="N216" s="94"/>
      <c r="O216" s="94"/>
      <c r="P216" s="94"/>
      <c r="Q216" s="94"/>
      <c r="R216" s="94"/>
      <c r="S216" s="94"/>
      <c r="T216" s="94"/>
      <c r="U216" s="94"/>
      <c r="V216" s="94"/>
      <c r="W216" s="94">
        <f>'II_Inkunabeln+'!BA216</f>
        <v>0</v>
      </c>
      <c r="X216" s="108"/>
      <c r="Y216" s="93">
        <f>'II_Inkunabeln+'!BI216</f>
        <v>0</v>
      </c>
      <c r="Z216" s="81">
        <f>'II_Inkunabeln+'!BJ216</f>
        <v>0</v>
      </c>
    </row>
    <row r="217" spans="1:26" x14ac:dyDescent="0.25">
      <c r="A217" s="63">
        <f>'II_Inkunabeln+'!A217</f>
        <v>209</v>
      </c>
      <c r="B217" s="63" t="str">
        <f>'II_Inkunabeln+'!B217</f>
        <v>L-1478-327278625</v>
      </c>
      <c r="C217" s="63">
        <f>'II_Inkunabeln+'!C217</f>
        <v>1072318075</v>
      </c>
      <c r="D217" s="84" t="str">
        <f>'II_Inkunabeln+'!D217</f>
        <v>https://portal.dnb.de/opac.htm?method=simpleSearch&amp;cqlMode=true&amp;query=idn%3D1072318075</v>
      </c>
      <c r="E217" s="65" t="str">
        <f>'II_Inkunabeln+'!E217</f>
        <v>II 8,12d</v>
      </c>
      <c r="F217" s="65" t="str">
        <f>'II_Inkunabeln+'!H217</f>
        <v>bis 35 cm</v>
      </c>
      <c r="G217" s="93">
        <f>'II_Inkunabeln+'!X217</f>
        <v>0</v>
      </c>
      <c r="H217" s="93">
        <f>'II_Inkunabeln+'!AA217</f>
        <v>0</v>
      </c>
      <c r="I217" s="93">
        <f>'II_Inkunabeln+'!AC217</f>
        <v>0</v>
      </c>
      <c r="J217" s="94"/>
      <c r="K217" s="93">
        <f>'II_Inkunabeln+'!AD217</f>
        <v>0</v>
      </c>
      <c r="L217" s="94"/>
      <c r="M217" s="94"/>
      <c r="N217" s="94"/>
      <c r="O217" s="94"/>
      <c r="P217" s="94"/>
      <c r="Q217" s="94"/>
      <c r="R217" s="94"/>
      <c r="S217" s="94"/>
      <c r="T217" s="94"/>
      <c r="U217" s="94"/>
      <c r="V217" s="94"/>
      <c r="W217" s="94">
        <f>'II_Inkunabeln+'!BA217</f>
        <v>0</v>
      </c>
      <c r="X217" s="108"/>
      <c r="Y217" s="93">
        <f>'II_Inkunabeln+'!BI217</f>
        <v>0</v>
      </c>
      <c r="Z217" s="81">
        <f>'II_Inkunabeln+'!BJ217</f>
        <v>0</v>
      </c>
    </row>
    <row r="218" spans="1:26" x14ac:dyDescent="0.25">
      <c r="A218" s="63">
        <f>'II_Inkunabeln+'!A218</f>
        <v>210</v>
      </c>
      <c r="B218" s="63" t="str">
        <f>'II_Inkunabeln+'!B218</f>
        <v>L-1479-315495820</v>
      </c>
      <c r="C218" s="63">
        <f>'II_Inkunabeln+'!C218</f>
        <v>1066965609</v>
      </c>
      <c r="D218" s="84" t="str">
        <f>'II_Inkunabeln+'!D218</f>
        <v>https://portal.dnb.de/opac.htm?method=simpleSearch&amp;cqlMode=true&amp;query=idn%3D1066965609</v>
      </c>
      <c r="E218" s="65" t="str">
        <f>'II_Inkunabeln+'!E218</f>
        <v>II 8,13a</v>
      </c>
      <c r="F218" s="65" t="str">
        <f>'II_Inkunabeln+'!H218</f>
        <v>bis 42 cm</v>
      </c>
      <c r="G218" s="93">
        <f>'II_Inkunabeln+'!X218</f>
        <v>0</v>
      </c>
      <c r="H218" s="93">
        <f>'II_Inkunabeln+'!AA218</f>
        <v>0</v>
      </c>
      <c r="I218" s="93">
        <f>'II_Inkunabeln+'!AC218</f>
        <v>0</v>
      </c>
      <c r="J218" s="94"/>
      <c r="K218" s="93">
        <f>'II_Inkunabeln+'!AD218</f>
        <v>0</v>
      </c>
      <c r="L218" s="94"/>
      <c r="M218" s="94"/>
      <c r="N218" s="94"/>
      <c r="O218" s="94"/>
      <c r="P218" s="94"/>
      <c r="Q218" s="94"/>
      <c r="R218" s="94"/>
      <c r="S218" s="94"/>
      <c r="T218" s="94"/>
      <c r="U218" s="94"/>
      <c r="V218" s="94"/>
      <c r="W218" s="94">
        <f>'II_Inkunabeln+'!BA218</f>
        <v>0</v>
      </c>
      <c r="X218" s="108"/>
      <c r="Y218" s="93">
        <f>'II_Inkunabeln+'!BI218</f>
        <v>0</v>
      </c>
      <c r="Z218" s="81">
        <f>'II_Inkunabeln+'!BJ218</f>
        <v>0</v>
      </c>
    </row>
    <row r="219" spans="1:26" x14ac:dyDescent="0.25">
      <c r="A219" s="63">
        <f>'II_Inkunabeln+'!A219</f>
        <v>211</v>
      </c>
      <c r="B219" s="63" t="str">
        <f>'II_Inkunabeln+'!B219</f>
        <v>L-1484-315495049</v>
      </c>
      <c r="C219" s="63">
        <f>'II_Inkunabeln+'!C219</f>
        <v>1066964874</v>
      </c>
      <c r="D219" s="84" t="str">
        <f>'II_Inkunabeln+'!D219</f>
        <v>https://portal.dnb.de/opac.htm?method=simpleSearch&amp;cqlMode=true&amp;query=idn%3D1066964874</v>
      </c>
      <c r="E219" s="65" t="str">
        <f>'II_Inkunabeln+'!E219</f>
        <v>II 8,13b</v>
      </c>
      <c r="F219" s="65">
        <f>'II_Inkunabeln+'!H219</f>
        <v>0</v>
      </c>
      <c r="G219" s="93">
        <f>'II_Inkunabeln+'!X219</f>
        <v>0</v>
      </c>
      <c r="H219" s="93">
        <f>'II_Inkunabeln+'!AA219</f>
        <v>0</v>
      </c>
      <c r="I219" s="93">
        <f>'II_Inkunabeln+'!AC219</f>
        <v>0</v>
      </c>
      <c r="J219" s="94"/>
      <c r="K219" s="93">
        <f>'II_Inkunabeln+'!AD219</f>
        <v>0</v>
      </c>
      <c r="L219" s="94"/>
      <c r="M219" s="94"/>
      <c r="N219" s="94"/>
      <c r="O219" s="94"/>
      <c r="P219" s="94"/>
      <c r="Q219" s="94"/>
      <c r="R219" s="94"/>
      <c r="S219" s="94"/>
      <c r="T219" s="94"/>
      <c r="U219" s="94"/>
      <c r="V219" s="94"/>
      <c r="W219" s="94">
        <f>'II_Inkunabeln+'!BA219</f>
        <v>0</v>
      </c>
      <c r="X219" s="108"/>
      <c r="Y219" s="93">
        <f>'II_Inkunabeln+'!BI219</f>
        <v>0</v>
      </c>
      <c r="Z219" s="81">
        <f>'II_Inkunabeln+'!BJ219</f>
        <v>0</v>
      </c>
    </row>
    <row r="220" spans="1:26" x14ac:dyDescent="0.25">
      <c r="A220" s="63">
        <f>'II_Inkunabeln+'!A220</f>
        <v>212</v>
      </c>
      <c r="B220" s="63" t="str">
        <f>'II_Inkunabeln+'!B220</f>
        <v>L-1492-315498625</v>
      </c>
      <c r="C220" s="63">
        <f>'II_Inkunabeln+'!C220</f>
        <v>1066968373</v>
      </c>
      <c r="D220" s="84" t="str">
        <f>'II_Inkunabeln+'!D220</f>
        <v>https://portal.dnb.de/opac.htm?method=simpleSearch&amp;cqlMode=true&amp;query=idn%3D1066968373</v>
      </c>
      <c r="E220" s="65" t="str">
        <f>'II_Inkunabeln+'!E220</f>
        <v>II 8,13c</v>
      </c>
      <c r="F220" s="65">
        <f>'II_Inkunabeln+'!H220</f>
        <v>0</v>
      </c>
      <c r="G220" s="93">
        <f>'II_Inkunabeln+'!X220</f>
        <v>0</v>
      </c>
      <c r="H220" s="93">
        <f>'II_Inkunabeln+'!AA220</f>
        <v>0</v>
      </c>
      <c r="I220" s="93">
        <f>'II_Inkunabeln+'!AC220</f>
        <v>0</v>
      </c>
      <c r="J220" s="94"/>
      <c r="K220" s="93">
        <f>'II_Inkunabeln+'!AD220</f>
        <v>0</v>
      </c>
      <c r="L220" s="94"/>
      <c r="M220" s="94"/>
      <c r="N220" s="94"/>
      <c r="O220" s="94"/>
      <c r="P220" s="94"/>
      <c r="Q220" s="94"/>
      <c r="R220" s="94"/>
      <c r="S220" s="94"/>
      <c r="T220" s="94"/>
      <c r="U220" s="94"/>
      <c r="V220" s="94"/>
      <c r="W220" s="94">
        <f>'II_Inkunabeln+'!BA220</f>
        <v>0</v>
      </c>
      <c r="X220" s="108"/>
      <c r="Y220" s="93">
        <f>'II_Inkunabeln+'!BI220</f>
        <v>0</v>
      </c>
      <c r="Z220" s="81">
        <f>'II_Inkunabeln+'!BJ220</f>
        <v>0</v>
      </c>
    </row>
    <row r="221" spans="1:26" x14ac:dyDescent="0.25">
      <c r="A221" s="63">
        <f>'II_Inkunabeln+'!A221</f>
        <v>213</v>
      </c>
      <c r="B221" s="63" t="str">
        <f>'II_Inkunabeln+'!B221</f>
        <v>L-1495-315502096</v>
      </c>
      <c r="C221" s="63">
        <f>'II_Inkunabeln+'!C221</f>
        <v>1066971706</v>
      </c>
      <c r="D221" s="84" t="str">
        <f>'II_Inkunabeln+'!D221</f>
        <v>https://portal.dnb.de/opac.htm?method=simpleSearch&amp;cqlMode=true&amp;query=idn%3D1066971706</v>
      </c>
      <c r="E221" s="65" t="str">
        <f>'II_Inkunabeln+'!E221</f>
        <v>II 8,13d</v>
      </c>
      <c r="F221" s="65">
        <f>'II_Inkunabeln+'!H221</f>
        <v>0</v>
      </c>
      <c r="G221" s="93">
        <f>'II_Inkunabeln+'!X221</f>
        <v>0</v>
      </c>
      <c r="H221" s="93">
        <f>'II_Inkunabeln+'!AA221</f>
        <v>0</v>
      </c>
      <c r="I221" s="93">
        <f>'II_Inkunabeln+'!AC221</f>
        <v>0</v>
      </c>
      <c r="J221" s="94"/>
      <c r="K221" s="93">
        <f>'II_Inkunabeln+'!AD221</f>
        <v>0</v>
      </c>
      <c r="L221" s="94"/>
      <c r="M221" s="94"/>
      <c r="N221" s="94"/>
      <c r="O221" s="94"/>
      <c r="P221" s="94"/>
      <c r="Q221" s="94"/>
      <c r="R221" s="94"/>
      <c r="S221" s="94"/>
      <c r="T221" s="94"/>
      <c r="U221" s="94"/>
      <c r="V221" s="94"/>
      <c r="W221" s="94">
        <f>'II_Inkunabeln+'!BA221</f>
        <v>0</v>
      </c>
      <c r="X221" s="108"/>
      <c r="Y221" s="93">
        <f>'II_Inkunabeln+'!BI221</f>
        <v>0</v>
      </c>
      <c r="Z221" s="81">
        <f>'II_Inkunabeln+'!BJ221</f>
        <v>0</v>
      </c>
    </row>
    <row r="222" spans="1:26" x14ac:dyDescent="0.25">
      <c r="A222" s="63">
        <f>'II_Inkunabeln+'!A222</f>
        <v>214</v>
      </c>
      <c r="B222" s="63" t="str">
        <f>'II_Inkunabeln+'!B222</f>
        <v>L-1497-315497122</v>
      </c>
      <c r="C222" s="63">
        <f>'II_Inkunabeln+'!C222</f>
        <v>1066966826</v>
      </c>
      <c r="D222" s="84" t="str">
        <f>'II_Inkunabeln+'!D222</f>
        <v>https://portal.dnb.de/opac.htm?method=simpleSearch&amp;cqlMode=true&amp;query=idn%3D1066966826</v>
      </c>
      <c r="E222" s="65" t="str">
        <f>'II_Inkunabeln+'!E222</f>
        <v>II 8,13e</v>
      </c>
      <c r="F222" s="65" t="str">
        <f>'II_Inkunabeln+'!H222</f>
        <v>bis 25 cm</v>
      </c>
      <c r="G222" s="93">
        <f>'II_Inkunabeln+'!X222</f>
        <v>0</v>
      </c>
      <c r="H222" s="93">
        <f>'II_Inkunabeln+'!AA222</f>
        <v>0</v>
      </c>
      <c r="I222" s="93">
        <f>'II_Inkunabeln+'!AC222</f>
        <v>0</v>
      </c>
      <c r="J222" s="94"/>
      <c r="K222" s="93">
        <f>'II_Inkunabeln+'!AD222</f>
        <v>0</v>
      </c>
      <c r="L222" s="94"/>
      <c r="M222" s="94"/>
      <c r="N222" s="94"/>
      <c r="O222" s="94"/>
      <c r="P222" s="94"/>
      <c r="Q222" s="94"/>
      <c r="R222" s="94"/>
      <c r="S222" s="94"/>
      <c r="T222" s="94"/>
      <c r="U222" s="94"/>
      <c r="V222" s="94"/>
      <c r="W222" s="94">
        <f>'II_Inkunabeln+'!BA222</f>
        <v>0</v>
      </c>
      <c r="X222" s="108"/>
      <c r="Y222" s="93">
        <f>'II_Inkunabeln+'!BI222</f>
        <v>0</v>
      </c>
      <c r="Z222" s="81">
        <f>'II_Inkunabeln+'!BJ222</f>
        <v>0</v>
      </c>
    </row>
    <row r="223" spans="1:26" x14ac:dyDescent="0.25">
      <c r="A223" s="63">
        <f>'II_Inkunabeln+'!A223</f>
        <v>215</v>
      </c>
      <c r="B223" s="63" t="str">
        <f>'II_Inkunabeln+'!B223</f>
        <v>L-1497-315495243</v>
      </c>
      <c r="C223" s="63">
        <f>'II_Inkunabeln+'!C223</f>
        <v>1066965102</v>
      </c>
      <c r="D223" s="84" t="str">
        <f>'II_Inkunabeln+'!D223</f>
        <v>https://portal.dnb.de/opac.htm?method=simpleSearch&amp;cqlMode=true&amp;query=idn%3D1066965102</v>
      </c>
      <c r="E223" s="65" t="str">
        <f>'II_Inkunabeln+'!E223</f>
        <v>II 8,13f</v>
      </c>
      <c r="F223" s="65" t="str">
        <f>'II_Inkunabeln+'!H223</f>
        <v>bis 25 cm</v>
      </c>
      <c r="G223" s="93">
        <f>'II_Inkunabeln+'!X223</f>
        <v>0</v>
      </c>
      <c r="H223" s="93">
        <f>'II_Inkunabeln+'!AA223</f>
        <v>0</v>
      </c>
      <c r="I223" s="93">
        <f>'II_Inkunabeln+'!AC223</f>
        <v>0</v>
      </c>
      <c r="J223" s="94"/>
      <c r="K223" s="93">
        <f>'II_Inkunabeln+'!AD223</f>
        <v>0</v>
      </c>
      <c r="L223" s="94"/>
      <c r="M223" s="94"/>
      <c r="N223" s="94"/>
      <c r="O223" s="94"/>
      <c r="P223" s="94"/>
      <c r="Q223" s="94"/>
      <c r="R223" s="94"/>
      <c r="S223" s="94"/>
      <c r="T223" s="94"/>
      <c r="U223" s="94"/>
      <c r="V223" s="94"/>
      <c r="W223" s="94">
        <f>'II_Inkunabeln+'!BA223</f>
        <v>0</v>
      </c>
      <c r="X223" s="108"/>
      <c r="Y223" s="93">
        <f>'II_Inkunabeln+'!BI223</f>
        <v>0</v>
      </c>
      <c r="Z223" s="81">
        <f>'II_Inkunabeln+'!BJ223</f>
        <v>0</v>
      </c>
    </row>
    <row r="224" spans="1:26" x14ac:dyDescent="0.25">
      <c r="A224" s="63">
        <f>'II_Inkunabeln+'!A224</f>
        <v>216</v>
      </c>
      <c r="B224" s="63" t="str">
        <f>'II_Inkunabeln+'!B224</f>
        <v>L-1498-315495251</v>
      </c>
      <c r="C224" s="63">
        <f>'II_Inkunabeln+'!C224</f>
        <v>1066965110</v>
      </c>
      <c r="D224" s="84" t="str">
        <f>'II_Inkunabeln+'!D224</f>
        <v>https://portal.dnb.de/opac.htm?method=simpleSearch&amp;cqlMode=true&amp;query=idn%3D1066965110</v>
      </c>
      <c r="E224" s="65" t="str">
        <f>'II_Inkunabeln+'!E224</f>
        <v>II 8,13g</v>
      </c>
      <c r="F224" s="65" t="str">
        <f>'II_Inkunabeln+'!H224</f>
        <v>bis 25 cm</v>
      </c>
      <c r="G224" s="93">
        <f>'II_Inkunabeln+'!X224</f>
        <v>0</v>
      </c>
      <c r="H224" s="93">
        <f>'II_Inkunabeln+'!AA224</f>
        <v>0</v>
      </c>
      <c r="I224" s="93">
        <f>'II_Inkunabeln+'!AC224</f>
        <v>0</v>
      </c>
      <c r="J224" s="94"/>
      <c r="K224" s="93">
        <f>'II_Inkunabeln+'!AD224</f>
        <v>0</v>
      </c>
      <c r="L224" s="94"/>
      <c r="M224" s="94"/>
      <c r="N224" s="94"/>
      <c r="O224" s="94"/>
      <c r="P224" s="94"/>
      <c r="Q224" s="94"/>
      <c r="R224" s="94"/>
      <c r="S224" s="94"/>
      <c r="T224" s="94"/>
      <c r="U224" s="94"/>
      <c r="V224" s="94"/>
      <c r="W224" s="94">
        <f>'II_Inkunabeln+'!BA224</f>
        <v>0</v>
      </c>
      <c r="X224" s="108"/>
      <c r="Y224" s="93">
        <f>'II_Inkunabeln+'!BI224</f>
        <v>0</v>
      </c>
      <c r="Z224" s="81">
        <f>'II_Inkunabeln+'!BJ224</f>
        <v>0</v>
      </c>
    </row>
    <row r="225" spans="1:26" x14ac:dyDescent="0.25">
      <c r="A225" s="63">
        <f>'II_Inkunabeln+'!A225</f>
        <v>217</v>
      </c>
      <c r="B225" s="63" t="str">
        <f>'II_Inkunabeln+'!B225</f>
        <v>L-1490-326854908</v>
      </c>
      <c r="C225" s="63">
        <f>'II_Inkunabeln+'!C225</f>
        <v>1072057948</v>
      </c>
      <c r="D225" s="84" t="str">
        <f>'II_Inkunabeln+'!D225</f>
        <v>https://portal.dnb.de/opac.htm?method=simpleSearch&amp;cqlMode=true&amp;query=idn%3D1072057948</v>
      </c>
      <c r="E225" s="65" t="str">
        <f>'II_Inkunabeln+'!E225</f>
        <v>II 8,13k</v>
      </c>
      <c r="F225" s="65">
        <f>'II_Inkunabeln+'!H225</f>
        <v>0</v>
      </c>
      <c r="G225" s="93">
        <f>'II_Inkunabeln+'!X225</f>
        <v>0</v>
      </c>
      <c r="H225" s="93">
        <f>'II_Inkunabeln+'!AA225</f>
        <v>0</v>
      </c>
      <c r="I225" s="93">
        <f>'II_Inkunabeln+'!AC225</f>
        <v>0</v>
      </c>
      <c r="J225" s="94"/>
      <c r="K225" s="93">
        <f>'II_Inkunabeln+'!AD225</f>
        <v>0</v>
      </c>
      <c r="L225" s="94"/>
      <c r="M225" s="94"/>
      <c r="N225" s="94"/>
      <c r="O225" s="94"/>
      <c r="P225" s="94"/>
      <c r="Q225" s="94"/>
      <c r="R225" s="94"/>
      <c r="S225" s="94"/>
      <c r="T225" s="94"/>
      <c r="U225" s="94"/>
      <c r="V225" s="94"/>
      <c r="W225" s="94">
        <f>'II_Inkunabeln+'!BA225</f>
        <v>0</v>
      </c>
      <c r="X225" s="108"/>
      <c r="Y225" s="93">
        <f>'II_Inkunabeln+'!BI225</f>
        <v>0</v>
      </c>
      <c r="Z225" s="81">
        <f>'II_Inkunabeln+'!BJ225</f>
        <v>0</v>
      </c>
    </row>
    <row r="226" spans="1:26" x14ac:dyDescent="0.25">
      <c r="A226" s="63">
        <f>'II_Inkunabeln+'!A226</f>
        <v>218</v>
      </c>
      <c r="B226" s="63" t="str">
        <f>'II_Inkunabeln+'!B226</f>
        <v>L-1500-315502894</v>
      </c>
      <c r="C226" s="63">
        <f>'II_Inkunabeln+'!C226</f>
        <v>1066972478</v>
      </c>
      <c r="D226" s="84" t="str">
        <f>'II_Inkunabeln+'!D226</f>
        <v>https://portal.dnb.de/opac.htm?method=simpleSearch&amp;cqlMode=true&amp;query=idn%3D1066972478</v>
      </c>
      <c r="E226" s="65" t="str">
        <f>'II_Inkunabeln+'!E226</f>
        <v>II 8,13l</v>
      </c>
      <c r="F226" s="65">
        <f>'II_Inkunabeln+'!H226</f>
        <v>0</v>
      </c>
      <c r="G226" s="93">
        <f>'II_Inkunabeln+'!X226</f>
        <v>0</v>
      </c>
      <c r="H226" s="93">
        <f>'II_Inkunabeln+'!AA226</f>
        <v>0</v>
      </c>
      <c r="I226" s="93">
        <f>'II_Inkunabeln+'!AC226</f>
        <v>0</v>
      </c>
      <c r="J226" s="94"/>
      <c r="K226" s="93">
        <f>'II_Inkunabeln+'!AD226</f>
        <v>0</v>
      </c>
      <c r="L226" s="94"/>
      <c r="M226" s="94"/>
      <c r="N226" s="94"/>
      <c r="O226" s="94"/>
      <c r="P226" s="94"/>
      <c r="Q226" s="94"/>
      <c r="R226" s="94"/>
      <c r="S226" s="94"/>
      <c r="T226" s="94"/>
      <c r="U226" s="94"/>
      <c r="V226" s="94"/>
      <c r="W226" s="94">
        <f>'II_Inkunabeln+'!BA226</f>
        <v>0</v>
      </c>
      <c r="X226" s="108"/>
      <c r="Y226" s="93">
        <f>'II_Inkunabeln+'!BI226</f>
        <v>0</v>
      </c>
      <c r="Z226" s="81">
        <f>'II_Inkunabeln+'!BJ226</f>
        <v>0</v>
      </c>
    </row>
    <row r="227" spans="1:26" x14ac:dyDescent="0.25">
      <c r="A227" s="63">
        <f>'II_Inkunabeln+'!A227</f>
        <v>219</v>
      </c>
      <c r="B227" s="63" t="str">
        <f>'II_Inkunabeln+'!B227</f>
        <v>L-1494-315499273</v>
      </c>
      <c r="C227" s="63">
        <f>'II_Inkunabeln+'!C227</f>
        <v>1066969000</v>
      </c>
      <c r="D227" s="84" t="str">
        <f>'II_Inkunabeln+'!D227</f>
        <v>https://portal.dnb.de/opac.htm?method=simpleSearch&amp;cqlMode=true&amp;query=idn%3D1066969000</v>
      </c>
      <c r="E227" s="65" t="str">
        <f>'II_Inkunabeln+'!E227</f>
        <v>II 8,13m</v>
      </c>
      <c r="F227" s="65" t="str">
        <f>'II_Inkunabeln+'!H227</f>
        <v>bis 25 cm</v>
      </c>
      <c r="G227" s="93">
        <f>'II_Inkunabeln+'!X227</f>
        <v>0</v>
      </c>
      <c r="H227" s="93">
        <f>'II_Inkunabeln+'!AA227</f>
        <v>0</v>
      </c>
      <c r="I227" s="93">
        <f>'II_Inkunabeln+'!AC227</f>
        <v>0</v>
      </c>
      <c r="J227" s="94"/>
      <c r="K227" s="93">
        <f>'II_Inkunabeln+'!AD227</f>
        <v>0</v>
      </c>
      <c r="L227" s="94"/>
      <c r="M227" s="94"/>
      <c r="N227" s="94"/>
      <c r="O227" s="94"/>
      <c r="P227" s="94"/>
      <c r="Q227" s="94"/>
      <c r="R227" s="94"/>
      <c r="S227" s="94"/>
      <c r="T227" s="94"/>
      <c r="U227" s="94"/>
      <c r="V227" s="94"/>
      <c r="W227" s="94">
        <f>'II_Inkunabeln+'!BA227</f>
        <v>0</v>
      </c>
      <c r="X227" s="108"/>
      <c r="Y227" s="93">
        <f>'II_Inkunabeln+'!BI227</f>
        <v>0</v>
      </c>
      <c r="Z227" s="81">
        <f>'II_Inkunabeln+'!BJ227</f>
        <v>0</v>
      </c>
    </row>
    <row r="228" spans="1:26" x14ac:dyDescent="0.25">
      <c r="A228" s="63">
        <f>'II_Inkunabeln+'!A228</f>
        <v>220</v>
      </c>
      <c r="B228" s="63" t="str">
        <f>'II_Inkunabeln+'!B228</f>
        <v>L-1498-315501103</v>
      </c>
      <c r="C228" s="63">
        <f>'II_Inkunabeln+'!C228</f>
        <v>1066970750</v>
      </c>
      <c r="D228" s="84" t="str">
        <f>'II_Inkunabeln+'!D228</f>
        <v>https://portal.dnb.de/opac.htm?method=simpleSearch&amp;cqlMode=true&amp;query=idn%3D1066970750</v>
      </c>
      <c r="E228" s="65" t="str">
        <f>'II_Inkunabeln+'!E228</f>
        <v>II 8,15a</v>
      </c>
      <c r="F228" s="65" t="str">
        <f>'II_Inkunabeln+'!H228</f>
        <v>bis 25 cm</v>
      </c>
      <c r="G228" s="93">
        <f>'II_Inkunabeln+'!X228</f>
        <v>0</v>
      </c>
      <c r="H228" s="93">
        <f>'II_Inkunabeln+'!AA228</f>
        <v>0</v>
      </c>
      <c r="I228" s="93">
        <f>'II_Inkunabeln+'!AC228</f>
        <v>0</v>
      </c>
      <c r="J228" s="94"/>
      <c r="K228" s="93">
        <f>'II_Inkunabeln+'!AD228</f>
        <v>0</v>
      </c>
      <c r="L228" s="94"/>
      <c r="M228" s="94"/>
      <c r="N228" s="94"/>
      <c r="O228" s="94"/>
      <c r="P228" s="94"/>
      <c r="Q228" s="94"/>
      <c r="R228" s="94"/>
      <c r="S228" s="94"/>
      <c r="T228" s="94"/>
      <c r="U228" s="94"/>
      <c r="V228" s="94"/>
      <c r="W228" s="94">
        <f>'II_Inkunabeln+'!BA228</f>
        <v>0</v>
      </c>
      <c r="X228" s="108"/>
      <c r="Y228" s="93">
        <f>'II_Inkunabeln+'!BI228</f>
        <v>0</v>
      </c>
      <c r="Z228" s="81">
        <f>'II_Inkunabeln+'!BJ228</f>
        <v>0</v>
      </c>
    </row>
    <row r="229" spans="1:26" x14ac:dyDescent="0.25">
      <c r="A229" s="63">
        <f>'II_Inkunabeln+'!A229</f>
        <v>221</v>
      </c>
      <c r="B229" s="63" t="str">
        <f>'II_Inkunabeln+'!B229</f>
        <v>L-1498-315501111</v>
      </c>
      <c r="C229" s="63">
        <f>'II_Inkunabeln+'!C229</f>
        <v>1066970750</v>
      </c>
      <c r="D229" s="84" t="str">
        <f>'II_Inkunabeln+'!D229</f>
        <v>https://portal.dnb.de/opac.htm?method=simpleSearch&amp;cqlMode=true&amp;query=idn%3D1066970750</v>
      </c>
      <c r="E229" s="65" t="str">
        <f>'II_Inkunabeln+'!E229</f>
        <v>II 8,15ab</v>
      </c>
      <c r="F229" s="65">
        <f>'II_Inkunabeln+'!H229</f>
        <v>0</v>
      </c>
      <c r="G229" s="93">
        <f>'II_Inkunabeln+'!X229</f>
        <v>0</v>
      </c>
      <c r="H229" s="93">
        <f>'II_Inkunabeln+'!AA229</f>
        <v>0</v>
      </c>
      <c r="I229" s="93">
        <f>'II_Inkunabeln+'!AC229</f>
        <v>0</v>
      </c>
      <c r="J229" s="94"/>
      <c r="K229" s="93">
        <f>'II_Inkunabeln+'!AD229</f>
        <v>0</v>
      </c>
      <c r="L229" s="94"/>
      <c r="M229" s="94"/>
      <c r="N229" s="94"/>
      <c r="O229" s="94"/>
      <c r="P229" s="94"/>
      <c r="Q229" s="94"/>
      <c r="R229" s="94"/>
      <c r="S229" s="94"/>
      <c r="T229" s="94"/>
      <c r="U229" s="94"/>
      <c r="V229" s="94"/>
      <c r="W229" s="94">
        <f>'II_Inkunabeln+'!BA229</f>
        <v>0</v>
      </c>
      <c r="X229" s="108"/>
      <c r="Y229" s="93">
        <f>'II_Inkunabeln+'!BI229</f>
        <v>0</v>
      </c>
      <c r="Z229" s="81">
        <f>'II_Inkunabeln+'!BJ229</f>
        <v>0</v>
      </c>
    </row>
    <row r="230" spans="1:26" x14ac:dyDescent="0.25">
      <c r="A230" s="63">
        <f>'II_Inkunabeln+'!A230</f>
        <v>0</v>
      </c>
      <c r="B230" s="63">
        <f>'II_Inkunabeln+'!B230</f>
        <v>0</v>
      </c>
      <c r="C230" s="63">
        <f>'II_Inkunabeln+'!C230</f>
        <v>0</v>
      </c>
      <c r="D230" s="84">
        <f>'II_Inkunabeln+'!D230</f>
        <v>0</v>
      </c>
      <c r="E230" s="65" t="str">
        <f>'II_Inkunabeln+'!E230</f>
        <v>II 8,16a</v>
      </c>
      <c r="F230" s="65" t="str">
        <f>'II_Inkunabeln+'!H230</f>
        <v>bis 25 cm</v>
      </c>
      <c r="G230" s="93">
        <f>'II_Inkunabeln+'!X230</f>
        <v>0</v>
      </c>
      <c r="H230" s="93">
        <f>'II_Inkunabeln+'!AA230</f>
        <v>0</v>
      </c>
      <c r="I230" s="93">
        <f>'II_Inkunabeln+'!AC230</f>
        <v>0</v>
      </c>
      <c r="J230" s="94"/>
      <c r="K230" s="93">
        <f>'II_Inkunabeln+'!AD230</f>
        <v>0</v>
      </c>
      <c r="L230" s="94"/>
      <c r="M230" s="94"/>
      <c r="N230" s="94"/>
      <c r="O230" s="94"/>
      <c r="P230" s="94"/>
      <c r="Q230" s="94"/>
      <c r="R230" s="94"/>
      <c r="S230" s="94"/>
      <c r="T230" s="94"/>
      <c r="U230" s="94"/>
      <c r="V230" s="94"/>
      <c r="W230" s="94">
        <f>'II_Inkunabeln+'!BA230</f>
        <v>0</v>
      </c>
      <c r="X230" s="108"/>
      <c r="Y230" s="93">
        <f>'II_Inkunabeln+'!BI230</f>
        <v>0</v>
      </c>
      <c r="Z230" s="81">
        <f>'II_Inkunabeln+'!BJ230</f>
        <v>0</v>
      </c>
    </row>
    <row r="231" spans="1:26" x14ac:dyDescent="0.25">
      <c r="A231" s="63">
        <f>'II_Inkunabeln+'!A231</f>
        <v>222</v>
      </c>
      <c r="B231" s="63" t="str">
        <f>'II_Inkunabeln+'!B231</f>
        <v>L-1485-315502215</v>
      </c>
      <c r="C231" s="63">
        <f>'II_Inkunabeln+'!C231</f>
        <v>1066971811</v>
      </c>
      <c r="D231" s="84" t="str">
        <f>'II_Inkunabeln+'!D231</f>
        <v>https://portal.dnb.de/opac.htm?method=simpleSearch&amp;cqlMode=true&amp;query=idn%3D1066971811</v>
      </c>
      <c r="E231" s="65" t="str">
        <f>'II_Inkunabeln+'!E231</f>
        <v>II 9,1a</v>
      </c>
      <c r="F231" s="65" t="str">
        <f>'II_Inkunabeln+'!H231</f>
        <v>bis 35 cm</v>
      </c>
      <c r="G231" s="93">
        <f>'II_Inkunabeln+'!X231</f>
        <v>0</v>
      </c>
      <c r="H231" s="93">
        <f>'II_Inkunabeln+'!AA231</f>
        <v>0</v>
      </c>
      <c r="I231" s="93">
        <f>'II_Inkunabeln+'!AC231</f>
        <v>0</v>
      </c>
      <c r="J231" s="94"/>
      <c r="K231" s="93">
        <f>'II_Inkunabeln+'!AD231</f>
        <v>0</v>
      </c>
      <c r="L231" s="94"/>
      <c r="M231" s="94"/>
      <c r="N231" s="94"/>
      <c r="O231" s="94"/>
      <c r="P231" s="94"/>
      <c r="Q231" s="94"/>
      <c r="R231" s="94"/>
      <c r="S231" s="94"/>
      <c r="T231" s="94"/>
      <c r="U231" s="94"/>
      <c r="V231" s="94"/>
      <c r="W231" s="94">
        <f>'II_Inkunabeln+'!BA231</f>
        <v>0</v>
      </c>
      <c r="X231" s="108"/>
      <c r="Y231" s="93">
        <f>'II_Inkunabeln+'!BI231</f>
        <v>0</v>
      </c>
      <c r="Z231" s="81">
        <f>'II_Inkunabeln+'!BJ231</f>
        <v>0</v>
      </c>
    </row>
    <row r="232" spans="1:26" x14ac:dyDescent="0.25">
      <c r="A232" s="63">
        <f>'II_Inkunabeln+'!A232</f>
        <v>223</v>
      </c>
      <c r="B232" s="63" t="str">
        <f>'II_Inkunabeln+'!B232</f>
        <v>L-1472-315503556</v>
      </c>
      <c r="C232" s="63">
        <f>'II_Inkunabeln+'!C232</f>
        <v>1066973164</v>
      </c>
      <c r="D232" s="84" t="str">
        <f>'II_Inkunabeln+'!D232</f>
        <v>https://portal.dnb.de/opac.htm?method=simpleSearch&amp;cqlMode=true&amp;query=idn%3D1066973164</v>
      </c>
      <c r="E232" s="65" t="str">
        <f>'II_Inkunabeln+'!E232</f>
        <v>II 10,1a</v>
      </c>
      <c r="F232" s="65" t="str">
        <f>'II_Inkunabeln+'!H232</f>
        <v>bis 25 cm</v>
      </c>
      <c r="G232" s="93">
        <f>'II_Inkunabeln+'!X232</f>
        <v>0</v>
      </c>
      <c r="H232" s="93">
        <f>'II_Inkunabeln+'!AA232</f>
        <v>0</v>
      </c>
      <c r="I232" s="93">
        <f>'II_Inkunabeln+'!AC232</f>
        <v>0</v>
      </c>
      <c r="J232" s="94"/>
      <c r="K232" s="93">
        <f>'II_Inkunabeln+'!AD232</f>
        <v>0</v>
      </c>
      <c r="L232" s="94"/>
      <c r="M232" s="94"/>
      <c r="N232" s="94"/>
      <c r="O232" s="94"/>
      <c r="P232" s="94"/>
      <c r="Q232" s="94"/>
      <c r="R232" s="94"/>
      <c r="S232" s="94"/>
      <c r="T232" s="94"/>
      <c r="U232" s="94"/>
      <c r="V232" s="94"/>
      <c r="W232" s="94">
        <f>'II_Inkunabeln+'!BA232</f>
        <v>0</v>
      </c>
      <c r="X232" s="108"/>
      <c r="Y232" s="93">
        <f>'II_Inkunabeln+'!BI232</f>
        <v>0</v>
      </c>
      <c r="Z232" s="81">
        <f>'II_Inkunabeln+'!BJ232</f>
        <v>0</v>
      </c>
    </row>
    <row r="233" spans="1:26" x14ac:dyDescent="0.25">
      <c r="A233" s="63">
        <f>'II_Inkunabeln+'!A233</f>
        <v>224</v>
      </c>
      <c r="B233" s="63" t="str">
        <f>'II_Inkunabeln+'!B233</f>
        <v>L-1483-315495715</v>
      </c>
      <c r="C233" s="63">
        <f>'II_Inkunabeln+'!C233</f>
        <v>1066965471</v>
      </c>
      <c r="D233" s="84" t="str">
        <f>'II_Inkunabeln+'!D233</f>
        <v>https://portal.dnb.de/opac.htm?method=simpleSearch&amp;cqlMode=true&amp;query=idn%3D1066965471</v>
      </c>
      <c r="E233" s="65" t="str">
        <f>'II_Inkunabeln+'!E233</f>
        <v>II 11,1a</v>
      </c>
      <c r="F233" s="65">
        <f>'II_Inkunabeln+'!H233</f>
        <v>0</v>
      </c>
      <c r="G233" s="93">
        <f>'II_Inkunabeln+'!X233</f>
        <v>0</v>
      </c>
      <c r="H233" s="93">
        <f>'II_Inkunabeln+'!AA233</f>
        <v>0</v>
      </c>
      <c r="I233" s="93">
        <f>'II_Inkunabeln+'!AC233</f>
        <v>0</v>
      </c>
      <c r="J233" s="94"/>
      <c r="K233" s="93">
        <f>'II_Inkunabeln+'!AD233</f>
        <v>0</v>
      </c>
      <c r="L233" s="94"/>
      <c r="M233" s="94"/>
      <c r="N233" s="94"/>
      <c r="O233" s="94"/>
      <c r="P233" s="94"/>
      <c r="Q233" s="94"/>
      <c r="R233" s="94"/>
      <c r="S233" s="94"/>
      <c r="T233" s="94"/>
      <c r="U233" s="94"/>
      <c r="V233" s="94"/>
      <c r="W233" s="94">
        <f>'II_Inkunabeln+'!BA233</f>
        <v>0</v>
      </c>
      <c r="X233" s="108"/>
      <c r="Y233" s="93">
        <f>'II_Inkunabeln+'!BI233</f>
        <v>0</v>
      </c>
      <c r="Z233" s="81">
        <f>'II_Inkunabeln+'!BJ233</f>
        <v>0</v>
      </c>
    </row>
    <row r="234" spans="1:26" x14ac:dyDescent="0.25">
      <c r="A234" s="63">
        <f>'II_Inkunabeln+'!A234</f>
        <v>225</v>
      </c>
      <c r="B234" s="63" t="str">
        <f>'II_Inkunabeln+'!B234</f>
        <v>L-1500-315503181</v>
      </c>
      <c r="C234" s="63" t="str">
        <f>'II_Inkunabeln+'!C234</f>
        <v>106697277X</v>
      </c>
      <c r="D234" s="84" t="str">
        <f>'II_Inkunabeln+'!D234</f>
        <v>https://portal.dnb.de/opac.htm?method=simpleSearch&amp;cqlMode=true&amp;query=idn%3D106697277X</v>
      </c>
      <c r="E234" s="65" t="str">
        <f>'II_Inkunabeln+'!E234</f>
        <v>II 11,2a</v>
      </c>
      <c r="F234" s="65" t="str">
        <f>'II_Inkunabeln+'!H234</f>
        <v>bis 25 cm</v>
      </c>
      <c r="G234" s="93">
        <f>'II_Inkunabeln+'!X234</f>
        <v>0</v>
      </c>
      <c r="H234" s="93">
        <f>'II_Inkunabeln+'!AA234</f>
        <v>0</v>
      </c>
      <c r="I234" s="93">
        <f>'II_Inkunabeln+'!AC234</f>
        <v>0</v>
      </c>
      <c r="J234" s="94"/>
      <c r="K234" s="93">
        <f>'II_Inkunabeln+'!AD234</f>
        <v>0</v>
      </c>
      <c r="L234" s="94"/>
      <c r="M234" s="94"/>
      <c r="N234" s="94"/>
      <c r="O234" s="94"/>
      <c r="P234" s="94"/>
      <c r="Q234" s="94"/>
      <c r="R234" s="94"/>
      <c r="S234" s="94"/>
      <c r="T234" s="94"/>
      <c r="U234" s="94"/>
      <c r="V234" s="94"/>
      <c r="W234" s="94">
        <f>'II_Inkunabeln+'!BA234</f>
        <v>0</v>
      </c>
      <c r="X234" s="108"/>
      <c r="Y234" s="93">
        <f>'II_Inkunabeln+'!BI234</f>
        <v>0</v>
      </c>
      <c r="Z234" s="81">
        <f>'II_Inkunabeln+'!BJ234</f>
        <v>0</v>
      </c>
    </row>
    <row r="235" spans="1:26" x14ac:dyDescent="0.25">
      <c r="A235" s="63">
        <f>'II_Inkunabeln+'!A235</f>
        <v>226</v>
      </c>
      <c r="B235" s="63" t="str">
        <f>'II_Inkunabeln+'!B235</f>
        <v>L-1472-31550305X</v>
      </c>
      <c r="C235" s="63" t="str">
        <f>'II_Inkunabeln+'!C235</f>
        <v>106697263X</v>
      </c>
      <c r="D235" s="84" t="str">
        <f>'II_Inkunabeln+'!D235</f>
        <v>https://portal.dnb.de/opac.htm?method=simpleSearch&amp;cqlMode=true&amp;query=idn%3D106697263X</v>
      </c>
      <c r="E235" s="65" t="str">
        <f>'II_Inkunabeln+'!E235</f>
        <v>II 12,1a</v>
      </c>
      <c r="F235" s="65" t="str">
        <f>'II_Inkunabeln+'!H235</f>
        <v>bis 42 cm</v>
      </c>
      <c r="G235" s="93">
        <f>'II_Inkunabeln+'!X235</f>
        <v>0</v>
      </c>
      <c r="H235" s="93">
        <f>'II_Inkunabeln+'!AA235</f>
        <v>0</v>
      </c>
      <c r="I235" s="93">
        <f>'II_Inkunabeln+'!AC235</f>
        <v>0</v>
      </c>
      <c r="J235" s="94"/>
      <c r="K235" s="93">
        <f>'II_Inkunabeln+'!AD235</f>
        <v>0</v>
      </c>
      <c r="L235" s="94"/>
      <c r="M235" s="94"/>
      <c r="N235" s="94"/>
      <c r="O235" s="94"/>
      <c r="P235" s="94"/>
      <c r="Q235" s="94"/>
      <c r="R235" s="94"/>
      <c r="S235" s="94"/>
      <c r="T235" s="94"/>
      <c r="U235" s="94"/>
      <c r="V235" s="94"/>
      <c r="W235" s="94">
        <f>'II_Inkunabeln+'!BA235</f>
        <v>0</v>
      </c>
      <c r="X235" s="108"/>
      <c r="Y235" s="93">
        <f>'II_Inkunabeln+'!BI235</f>
        <v>0</v>
      </c>
      <c r="Z235" s="81">
        <f>'II_Inkunabeln+'!BJ235</f>
        <v>0</v>
      </c>
    </row>
    <row r="236" spans="1:26" x14ac:dyDescent="0.25">
      <c r="A236" s="63">
        <f>'II_Inkunabeln+'!A236</f>
        <v>227</v>
      </c>
      <c r="B236" s="63" t="str">
        <f>'II_Inkunabeln+'!B236</f>
        <v>L-1474-315502940</v>
      </c>
      <c r="C236" s="63">
        <f>'II_Inkunabeln+'!C236</f>
        <v>1066972524</v>
      </c>
      <c r="D236" s="84" t="str">
        <f>'II_Inkunabeln+'!D236</f>
        <v>https://portal.dnb.de/opac.htm?method=simpleSearch&amp;cqlMode=true&amp;query=idn%3D1066972524</v>
      </c>
      <c r="E236" s="65" t="str">
        <f>'II_Inkunabeln+'!E236</f>
        <v>II 12,1b</v>
      </c>
      <c r="F236" s="65">
        <f>'II_Inkunabeln+'!H236</f>
        <v>0</v>
      </c>
      <c r="G236" s="93">
        <f>'II_Inkunabeln+'!X236</f>
        <v>0</v>
      </c>
      <c r="H236" s="93">
        <f>'II_Inkunabeln+'!AA236</f>
        <v>0</v>
      </c>
      <c r="I236" s="93">
        <f>'II_Inkunabeln+'!AC236</f>
        <v>0</v>
      </c>
      <c r="J236" s="94"/>
      <c r="K236" s="93">
        <f>'II_Inkunabeln+'!AD236</f>
        <v>0</v>
      </c>
      <c r="L236" s="94"/>
      <c r="M236" s="94"/>
      <c r="N236" s="94"/>
      <c r="O236" s="94"/>
      <c r="P236" s="94"/>
      <c r="Q236" s="94"/>
      <c r="R236" s="94"/>
      <c r="S236" s="94"/>
      <c r="T236" s="94"/>
      <c r="U236" s="94"/>
      <c r="V236" s="94"/>
      <c r="W236" s="94">
        <f>'II_Inkunabeln+'!BA236</f>
        <v>0</v>
      </c>
      <c r="X236" s="108"/>
      <c r="Y236" s="93">
        <f>'II_Inkunabeln+'!BI236</f>
        <v>0</v>
      </c>
      <c r="Z236" s="81">
        <f>'II_Inkunabeln+'!BJ236</f>
        <v>0</v>
      </c>
    </row>
    <row r="237" spans="1:26" x14ac:dyDescent="0.25">
      <c r="A237" s="63">
        <f>'II_Inkunabeln+'!A237</f>
        <v>228</v>
      </c>
      <c r="B237" s="63" t="str">
        <f>'II_Inkunabeln+'!B237</f>
        <v>L-1477-315501650</v>
      </c>
      <c r="C237" s="63">
        <f>'II_Inkunabeln+'!C237</f>
        <v>1066971293</v>
      </c>
      <c r="D237" s="84" t="str">
        <f>'II_Inkunabeln+'!D237</f>
        <v>https://portal.dnb.de/opac.htm?method=simpleSearch&amp;cqlMode=true&amp;query=idn%3D1066971293</v>
      </c>
      <c r="E237" s="65" t="str">
        <f>'II_Inkunabeln+'!E237</f>
        <v>II 12,1c</v>
      </c>
      <c r="F237" s="65" t="str">
        <f>'II_Inkunabeln+'!H237</f>
        <v>bis 25 cm</v>
      </c>
      <c r="G237" s="93">
        <f>'II_Inkunabeln+'!X237</f>
        <v>0</v>
      </c>
      <c r="H237" s="93">
        <f>'II_Inkunabeln+'!AA237</f>
        <v>0</v>
      </c>
      <c r="I237" s="93">
        <f>'II_Inkunabeln+'!AC237</f>
        <v>0</v>
      </c>
      <c r="J237" s="94"/>
      <c r="K237" s="93">
        <f>'II_Inkunabeln+'!AD237</f>
        <v>0</v>
      </c>
      <c r="L237" s="94"/>
      <c r="M237" s="94"/>
      <c r="N237" s="94"/>
      <c r="O237" s="94"/>
      <c r="P237" s="94"/>
      <c r="Q237" s="94"/>
      <c r="R237" s="94"/>
      <c r="S237" s="94"/>
      <c r="T237" s="94"/>
      <c r="U237" s="94"/>
      <c r="V237" s="94"/>
      <c r="W237" s="94">
        <f>'II_Inkunabeln+'!BA237</f>
        <v>0</v>
      </c>
      <c r="X237" s="108"/>
      <c r="Y237" s="93">
        <f>'II_Inkunabeln+'!BI237</f>
        <v>0</v>
      </c>
      <c r="Z237" s="81">
        <f>'II_Inkunabeln+'!BJ237</f>
        <v>0</v>
      </c>
    </row>
    <row r="238" spans="1:26" x14ac:dyDescent="0.25">
      <c r="A238" s="63">
        <f>'II_Inkunabeln+'!A238</f>
        <v>229</v>
      </c>
      <c r="B238" s="63" t="str">
        <f>'II_Inkunabeln+'!B238</f>
        <v>L-1475-315496045</v>
      </c>
      <c r="C238" s="63" t="str">
        <f>'II_Inkunabeln+'!C238</f>
        <v>106696579X</v>
      </c>
      <c r="D238" s="84" t="str">
        <f>'II_Inkunabeln+'!D238</f>
        <v>https://portal.dnb.de/opac.htm?method=simpleSearch&amp;cqlMode=true&amp;query=idn%3D106696579X</v>
      </c>
      <c r="E238" s="65" t="str">
        <f>'II_Inkunabeln+'!E238</f>
        <v>II 12,1d</v>
      </c>
      <c r="F238" s="65">
        <f>'II_Inkunabeln+'!H238</f>
        <v>0</v>
      </c>
      <c r="G238" s="93">
        <f>'II_Inkunabeln+'!X238</f>
        <v>0</v>
      </c>
      <c r="H238" s="93">
        <f>'II_Inkunabeln+'!AA238</f>
        <v>0</v>
      </c>
      <c r="I238" s="93">
        <f>'II_Inkunabeln+'!AC238</f>
        <v>0</v>
      </c>
      <c r="J238" s="94"/>
      <c r="K238" s="93">
        <f>'II_Inkunabeln+'!AD238</f>
        <v>0</v>
      </c>
      <c r="L238" s="94"/>
      <c r="M238" s="94"/>
      <c r="N238" s="94"/>
      <c r="O238" s="94"/>
      <c r="P238" s="94"/>
      <c r="Q238" s="94"/>
      <c r="R238" s="94"/>
      <c r="S238" s="94"/>
      <c r="T238" s="94"/>
      <c r="U238" s="94"/>
      <c r="V238" s="94"/>
      <c r="W238" s="94">
        <f>'II_Inkunabeln+'!BA238</f>
        <v>0</v>
      </c>
      <c r="X238" s="108"/>
      <c r="Y238" s="93">
        <f>'II_Inkunabeln+'!BI238</f>
        <v>0</v>
      </c>
      <c r="Z238" s="81">
        <f>'II_Inkunabeln+'!BJ238</f>
        <v>0</v>
      </c>
    </row>
    <row r="239" spans="1:26" x14ac:dyDescent="0.25">
      <c r="A239" s="63">
        <f>'II_Inkunabeln+'!A239</f>
        <v>230</v>
      </c>
      <c r="B239" s="63" t="str">
        <f>'II_Inkunabeln+'!B239</f>
        <v>L-1478-315503610</v>
      </c>
      <c r="C239" s="63">
        <f>'II_Inkunabeln+'!C239</f>
        <v>1066973229</v>
      </c>
      <c r="D239" s="84" t="str">
        <f>'II_Inkunabeln+'!D239</f>
        <v>https://portal.dnb.de/opac.htm?method=simpleSearch&amp;cqlMode=true&amp;query=idn%3D1066973229</v>
      </c>
      <c r="E239" s="65" t="str">
        <f>'II_Inkunabeln+'!E239</f>
        <v>II 12,1f</v>
      </c>
      <c r="F239" s="65" t="str">
        <f>'II_Inkunabeln+'!H239</f>
        <v>bis 35 cm</v>
      </c>
      <c r="G239" s="93">
        <f>'II_Inkunabeln+'!X239</f>
        <v>0</v>
      </c>
      <c r="H239" s="93">
        <f>'II_Inkunabeln+'!AA239</f>
        <v>0</v>
      </c>
      <c r="I239" s="93">
        <f>'II_Inkunabeln+'!AC239</f>
        <v>0</v>
      </c>
      <c r="J239" s="94"/>
      <c r="K239" s="93">
        <f>'II_Inkunabeln+'!AD239</f>
        <v>0</v>
      </c>
      <c r="L239" s="94"/>
      <c r="M239" s="94"/>
      <c r="N239" s="94"/>
      <c r="O239" s="94"/>
      <c r="P239" s="94"/>
      <c r="Q239" s="94"/>
      <c r="R239" s="94"/>
      <c r="S239" s="94"/>
      <c r="T239" s="94"/>
      <c r="U239" s="94"/>
      <c r="V239" s="94"/>
      <c r="W239" s="94">
        <f>'II_Inkunabeln+'!BA239</f>
        <v>0</v>
      </c>
      <c r="X239" s="108"/>
      <c r="Y239" s="93">
        <f>'II_Inkunabeln+'!BI239</f>
        <v>0</v>
      </c>
      <c r="Z239" s="81">
        <f>'II_Inkunabeln+'!BJ239</f>
        <v>0</v>
      </c>
    </row>
    <row r="240" spans="1:26" x14ac:dyDescent="0.25">
      <c r="A240" s="63">
        <f>'II_Inkunabeln+'!A240</f>
        <v>231</v>
      </c>
      <c r="B240" s="63" t="str">
        <f>'II_Inkunabeln+'!B240</f>
        <v>L-1494-315495928</v>
      </c>
      <c r="C240" s="63">
        <f>'II_Inkunabeln+'!C240</f>
        <v>1066965706</v>
      </c>
      <c r="D240" s="84" t="str">
        <f>'II_Inkunabeln+'!D240</f>
        <v>https://portal.dnb.de/opac.htm?method=simpleSearch&amp;cqlMode=true&amp;query=idn%3D1066965706</v>
      </c>
      <c r="E240" s="65" t="str">
        <f>'II_Inkunabeln+'!E240</f>
        <v>II 13,1a</v>
      </c>
      <c r="F240" s="65">
        <f>'II_Inkunabeln+'!H240</f>
        <v>0</v>
      </c>
      <c r="G240" s="93">
        <f>'II_Inkunabeln+'!X240</f>
        <v>0</v>
      </c>
      <c r="H240" s="93">
        <f>'II_Inkunabeln+'!AA240</f>
        <v>0</v>
      </c>
      <c r="I240" s="93">
        <f>'II_Inkunabeln+'!AC240</f>
        <v>0</v>
      </c>
      <c r="J240" s="94"/>
      <c r="K240" s="93">
        <f>'II_Inkunabeln+'!AD240</f>
        <v>0</v>
      </c>
      <c r="L240" s="94"/>
      <c r="M240" s="94"/>
      <c r="N240" s="94"/>
      <c r="O240" s="94"/>
      <c r="P240" s="94"/>
      <c r="Q240" s="94"/>
      <c r="R240" s="94"/>
      <c r="S240" s="94"/>
      <c r="T240" s="94"/>
      <c r="U240" s="94"/>
      <c r="V240" s="94"/>
      <c r="W240" s="94">
        <f>'II_Inkunabeln+'!BA240</f>
        <v>0</v>
      </c>
      <c r="X240" s="108"/>
      <c r="Y240" s="93">
        <f>'II_Inkunabeln+'!BI240</f>
        <v>0</v>
      </c>
      <c r="Z240" s="81">
        <f>'II_Inkunabeln+'!BJ240</f>
        <v>0</v>
      </c>
    </row>
    <row r="241" spans="1:26" x14ac:dyDescent="0.25">
      <c r="A241" s="63">
        <f>'II_Inkunabeln+'!A241</f>
        <v>232</v>
      </c>
      <c r="B241" s="63" t="str">
        <f>'II_Inkunabeln+'!B241</f>
        <v>L-1494-315495030</v>
      </c>
      <c r="C241" s="63">
        <f>'II_Inkunabeln+'!C241</f>
        <v>1066964866</v>
      </c>
      <c r="D241" s="84" t="str">
        <f>'II_Inkunabeln+'!D241</f>
        <v>https://portal.dnb.de/opac.htm?method=simpleSearch&amp;cqlMode=true&amp;query=idn%3D1066964866</v>
      </c>
      <c r="E241" s="65" t="str">
        <f>'II_Inkunabeln+'!E241</f>
        <v>II 13,1b</v>
      </c>
      <c r="F241" s="65">
        <f>'II_Inkunabeln+'!H241</f>
        <v>0</v>
      </c>
      <c r="G241" s="93">
        <f>'II_Inkunabeln+'!X241</f>
        <v>0</v>
      </c>
      <c r="H241" s="93">
        <f>'II_Inkunabeln+'!AA241</f>
        <v>0</v>
      </c>
      <c r="I241" s="93">
        <f>'II_Inkunabeln+'!AC241</f>
        <v>0</v>
      </c>
      <c r="J241" s="94"/>
      <c r="K241" s="93">
        <f>'II_Inkunabeln+'!AD241</f>
        <v>0</v>
      </c>
      <c r="L241" s="94"/>
      <c r="M241" s="94"/>
      <c r="N241" s="94"/>
      <c r="O241" s="94"/>
      <c r="P241" s="94"/>
      <c r="Q241" s="94"/>
      <c r="R241" s="94"/>
      <c r="S241" s="94"/>
      <c r="T241" s="94"/>
      <c r="U241" s="94"/>
      <c r="V241" s="94"/>
      <c r="W241" s="94">
        <f>'II_Inkunabeln+'!BA241</f>
        <v>0</v>
      </c>
      <c r="X241" s="108"/>
      <c r="Y241" s="93">
        <f>'II_Inkunabeln+'!BI241</f>
        <v>0</v>
      </c>
      <c r="Z241" s="81">
        <f>'II_Inkunabeln+'!BJ241</f>
        <v>0</v>
      </c>
    </row>
    <row r="242" spans="1:26" x14ac:dyDescent="0.25">
      <c r="A242" s="63">
        <f>'II_Inkunabeln+'!A242</f>
        <v>233</v>
      </c>
      <c r="B242" s="63" t="str">
        <f>'II_Inkunabeln+'!B242</f>
        <v>L-1491-315499214</v>
      </c>
      <c r="C242" s="63">
        <f>'II_Inkunabeln+'!C242</f>
        <v>1066968934</v>
      </c>
      <c r="D242" s="84" t="str">
        <f>'II_Inkunabeln+'!D242</f>
        <v>https://portal.dnb.de/opac.htm?method=simpleSearch&amp;cqlMode=true&amp;query=idn%3D1066968934</v>
      </c>
      <c r="E242" s="65" t="str">
        <f>'II_Inkunabeln+'!E242</f>
        <v>II 13,1c</v>
      </c>
      <c r="F242" s="65" t="str">
        <f>'II_Inkunabeln+'!H242</f>
        <v>bis 35 cm</v>
      </c>
      <c r="G242" s="93">
        <f>'II_Inkunabeln+'!X242</f>
        <v>0</v>
      </c>
      <c r="H242" s="93">
        <f>'II_Inkunabeln+'!AA242</f>
        <v>0</v>
      </c>
      <c r="I242" s="93">
        <f>'II_Inkunabeln+'!AC242</f>
        <v>0</v>
      </c>
      <c r="J242" s="94"/>
      <c r="K242" s="93">
        <f>'II_Inkunabeln+'!AD242</f>
        <v>0</v>
      </c>
      <c r="L242" s="94"/>
      <c r="M242" s="94"/>
      <c r="N242" s="94"/>
      <c r="O242" s="94"/>
      <c r="P242" s="94"/>
      <c r="Q242" s="94"/>
      <c r="R242" s="94"/>
      <c r="S242" s="94"/>
      <c r="T242" s="94"/>
      <c r="U242" s="94"/>
      <c r="V242" s="94"/>
      <c r="W242" s="94">
        <f>'II_Inkunabeln+'!BA242</f>
        <v>0</v>
      </c>
      <c r="X242" s="108"/>
      <c r="Y242" s="93">
        <f>'II_Inkunabeln+'!BI242</f>
        <v>0</v>
      </c>
      <c r="Z242" s="81">
        <f>'II_Inkunabeln+'!BJ242</f>
        <v>0</v>
      </c>
    </row>
    <row r="243" spans="1:26" x14ac:dyDescent="0.25">
      <c r="A243" s="63">
        <f>'II_Inkunabeln+'!A243</f>
        <v>234</v>
      </c>
      <c r="B243" s="63" t="str">
        <f>'II_Inkunabeln+'!B243</f>
        <v>L-1491-315498331</v>
      </c>
      <c r="C243" s="63">
        <f>'II_Inkunabeln+'!C243</f>
        <v>1066968055</v>
      </c>
      <c r="D243" s="84" t="str">
        <f>'II_Inkunabeln+'!D243</f>
        <v>https://portal.dnb.de/opac.htm?method=simpleSearch&amp;cqlMode=true&amp;query=idn%3D1066968055</v>
      </c>
      <c r="E243" s="65" t="str">
        <f>'II_Inkunabeln+'!E243</f>
        <v>II 13,1d</v>
      </c>
      <c r="F243" s="65" t="str">
        <f>'II_Inkunabeln+'!H243</f>
        <v>bis 35 cm</v>
      </c>
      <c r="G243" s="93">
        <f>'II_Inkunabeln+'!X243</f>
        <v>0</v>
      </c>
      <c r="H243" s="93">
        <f>'II_Inkunabeln+'!AA243</f>
        <v>0</v>
      </c>
      <c r="I243" s="93">
        <f>'II_Inkunabeln+'!AC243</f>
        <v>0</v>
      </c>
      <c r="J243" s="94"/>
      <c r="K243" s="93">
        <f>'II_Inkunabeln+'!AD243</f>
        <v>0</v>
      </c>
      <c r="L243" s="94"/>
      <c r="M243" s="94"/>
      <c r="N243" s="94"/>
      <c r="O243" s="94"/>
      <c r="P243" s="94"/>
      <c r="Q243" s="94"/>
      <c r="R243" s="94"/>
      <c r="S243" s="94"/>
      <c r="T243" s="94"/>
      <c r="U243" s="94"/>
      <c r="V243" s="94"/>
      <c r="W243" s="94">
        <f>'II_Inkunabeln+'!BA243</f>
        <v>0</v>
      </c>
      <c r="X243" s="108"/>
      <c r="Y243" s="93">
        <f>'II_Inkunabeln+'!BI243</f>
        <v>0</v>
      </c>
      <c r="Z243" s="81">
        <f>'II_Inkunabeln+'!BJ243</f>
        <v>0</v>
      </c>
    </row>
    <row r="244" spans="1:26" x14ac:dyDescent="0.25">
      <c r="A244" s="63">
        <f>'II_Inkunabeln+'!A244</f>
        <v>235</v>
      </c>
      <c r="B244" s="63" t="str">
        <f>'II_Inkunabeln+'!B244</f>
        <v>L-1493-315502401</v>
      </c>
      <c r="C244" s="63">
        <f>'II_Inkunabeln+'!C244</f>
        <v>1066971994</v>
      </c>
      <c r="D244" s="84" t="str">
        <f>'II_Inkunabeln+'!D244</f>
        <v>https://portal.dnb.de/opac.htm?method=simpleSearch&amp;cqlMode=true&amp;query=idn%3D1066971994</v>
      </c>
      <c r="E244" s="65" t="str">
        <f>'II_Inkunabeln+'!E244</f>
        <v>II 13,2a</v>
      </c>
      <c r="F244" s="65">
        <f>'II_Inkunabeln+'!H244</f>
        <v>0</v>
      </c>
      <c r="G244" s="93">
        <f>'II_Inkunabeln+'!X244</f>
        <v>0</v>
      </c>
      <c r="H244" s="93">
        <f>'II_Inkunabeln+'!AA244</f>
        <v>0</v>
      </c>
      <c r="I244" s="93">
        <f>'II_Inkunabeln+'!AC244</f>
        <v>0</v>
      </c>
      <c r="J244" s="94"/>
      <c r="K244" s="93">
        <f>'II_Inkunabeln+'!AD244</f>
        <v>0</v>
      </c>
      <c r="L244" s="94"/>
      <c r="M244" s="94"/>
      <c r="N244" s="94"/>
      <c r="O244" s="94"/>
      <c r="P244" s="94"/>
      <c r="Q244" s="94"/>
      <c r="R244" s="94"/>
      <c r="S244" s="94"/>
      <c r="T244" s="94"/>
      <c r="U244" s="94"/>
      <c r="V244" s="94"/>
      <c r="W244" s="94">
        <f>'II_Inkunabeln+'!BA244</f>
        <v>0</v>
      </c>
      <c r="X244" s="108"/>
      <c r="Y244" s="93">
        <f>'II_Inkunabeln+'!BI244</f>
        <v>0</v>
      </c>
      <c r="Z244" s="81">
        <f>'II_Inkunabeln+'!BJ244</f>
        <v>0</v>
      </c>
    </row>
    <row r="245" spans="1:26" x14ac:dyDescent="0.25">
      <c r="A245" s="63">
        <f>'II_Inkunabeln+'!A245</f>
        <v>236</v>
      </c>
      <c r="B245" s="63" t="str">
        <f>'II_Inkunabeln+'!B245</f>
        <v>L-1489-326854983</v>
      </c>
      <c r="C245" s="63" t="str">
        <f>'II_Inkunabeln+'!C245</f>
        <v>107205812X</v>
      </c>
      <c r="D245" s="84" t="str">
        <f>'II_Inkunabeln+'!D245</f>
        <v>https://portal.dnb.de/opac.htm?method=simpleSearch&amp;cqlMode=true&amp;query=idn%3D107205812X</v>
      </c>
      <c r="E245" s="65" t="str">
        <f>'II_Inkunabeln+'!E245</f>
        <v>II 14,1a</v>
      </c>
      <c r="F245" s="65" t="str">
        <f>'II_Inkunabeln+'!H245</f>
        <v>bis 25 cm</v>
      </c>
      <c r="G245" s="93">
        <f>'II_Inkunabeln+'!X245</f>
        <v>0</v>
      </c>
      <c r="H245" s="93">
        <f>'II_Inkunabeln+'!AA245</f>
        <v>0</v>
      </c>
      <c r="I245" s="93">
        <f>'II_Inkunabeln+'!AC245</f>
        <v>0</v>
      </c>
      <c r="J245" s="94"/>
      <c r="K245" s="93">
        <f>'II_Inkunabeln+'!AD245</f>
        <v>0</v>
      </c>
      <c r="L245" s="94"/>
      <c r="M245" s="94"/>
      <c r="N245" s="94"/>
      <c r="O245" s="94"/>
      <c r="P245" s="94"/>
      <c r="Q245" s="94"/>
      <c r="R245" s="94"/>
      <c r="S245" s="94"/>
      <c r="T245" s="94"/>
      <c r="U245" s="94"/>
      <c r="V245" s="94"/>
      <c r="W245" s="94">
        <f>'II_Inkunabeln+'!BA245</f>
        <v>0</v>
      </c>
      <c r="X245" s="108"/>
      <c r="Y245" s="93">
        <f>'II_Inkunabeln+'!BI245</f>
        <v>0</v>
      </c>
      <c r="Z245" s="81">
        <f>'II_Inkunabeln+'!BJ245</f>
        <v>0</v>
      </c>
    </row>
    <row r="246" spans="1:26" x14ac:dyDescent="0.25">
      <c r="A246" s="63">
        <f>'II_Inkunabeln+'!A246</f>
        <v>237</v>
      </c>
      <c r="B246" s="63" t="str">
        <f>'II_Inkunabeln+'!B246</f>
        <v>L-1494-315502428</v>
      </c>
      <c r="C246" s="63">
        <f>'II_Inkunabeln+'!C246</f>
        <v>1066972001</v>
      </c>
      <c r="D246" s="84" t="str">
        <f>'II_Inkunabeln+'!D246</f>
        <v>https://portal.dnb.de/opac.htm?method=simpleSearch&amp;cqlMode=true&amp;query=idn%3D1066972001</v>
      </c>
      <c r="E246" s="65" t="str">
        <f>'II_Inkunabeln+'!E246</f>
        <v>II 14,1b</v>
      </c>
      <c r="F246" s="65">
        <f>'II_Inkunabeln+'!H246</f>
        <v>0</v>
      </c>
      <c r="G246" s="93">
        <f>'II_Inkunabeln+'!X246</f>
        <v>0</v>
      </c>
      <c r="H246" s="93">
        <f>'II_Inkunabeln+'!AA246</f>
        <v>0</v>
      </c>
      <c r="I246" s="93">
        <f>'II_Inkunabeln+'!AC246</f>
        <v>0</v>
      </c>
      <c r="J246" s="94"/>
      <c r="K246" s="93">
        <f>'II_Inkunabeln+'!AD246</f>
        <v>0</v>
      </c>
      <c r="L246" s="94"/>
      <c r="M246" s="94"/>
      <c r="N246" s="94"/>
      <c r="O246" s="94"/>
      <c r="P246" s="94"/>
      <c r="Q246" s="94"/>
      <c r="R246" s="94"/>
      <c r="S246" s="94"/>
      <c r="T246" s="94"/>
      <c r="U246" s="94"/>
      <c r="V246" s="94"/>
      <c r="W246" s="94">
        <f>'II_Inkunabeln+'!BA246</f>
        <v>0</v>
      </c>
      <c r="X246" s="108"/>
      <c r="Y246" s="93">
        <f>'II_Inkunabeln+'!BI246</f>
        <v>0</v>
      </c>
      <c r="Z246" s="81">
        <f>'II_Inkunabeln+'!BJ246</f>
        <v>0</v>
      </c>
    </row>
    <row r="247" spans="1:26" x14ac:dyDescent="0.25">
      <c r="A247" s="63">
        <f>'II_Inkunabeln+'!A247</f>
        <v>238</v>
      </c>
      <c r="B247" s="63" t="str">
        <f>'II_Inkunabeln+'!B247</f>
        <v>L-1499-315503572</v>
      </c>
      <c r="C247" s="63">
        <f>'II_Inkunabeln+'!C247</f>
        <v>1066973180</v>
      </c>
      <c r="D247" s="84" t="str">
        <f>'II_Inkunabeln+'!D247</f>
        <v>https://portal.dnb.de/opac.htm?method=simpleSearch&amp;cqlMode=true&amp;query=idn%3D1066973180</v>
      </c>
      <c r="E247" s="65" t="str">
        <f>'II_Inkunabeln+'!E247</f>
        <v>II 14,1c</v>
      </c>
      <c r="F247" s="65" t="str">
        <f>'II_Inkunabeln+'!H247</f>
        <v>bis 35 cm</v>
      </c>
      <c r="G247" s="93">
        <f>'II_Inkunabeln+'!X247</f>
        <v>0</v>
      </c>
      <c r="H247" s="93">
        <f>'II_Inkunabeln+'!AA247</f>
        <v>0</v>
      </c>
      <c r="I247" s="93">
        <f>'II_Inkunabeln+'!AC247</f>
        <v>0</v>
      </c>
      <c r="J247" s="94"/>
      <c r="K247" s="93">
        <f>'II_Inkunabeln+'!AD247</f>
        <v>0</v>
      </c>
      <c r="L247" s="94"/>
      <c r="M247" s="94"/>
      <c r="N247" s="94"/>
      <c r="O247" s="94"/>
      <c r="P247" s="94"/>
      <c r="Q247" s="94"/>
      <c r="R247" s="94"/>
      <c r="S247" s="94"/>
      <c r="T247" s="94"/>
      <c r="U247" s="94"/>
      <c r="V247" s="94"/>
      <c r="W247" s="94">
        <f>'II_Inkunabeln+'!BA247</f>
        <v>0</v>
      </c>
      <c r="X247" s="108"/>
      <c r="Y247" s="93">
        <f>'II_Inkunabeln+'!BI247</f>
        <v>0</v>
      </c>
      <c r="Z247" s="81">
        <f>'II_Inkunabeln+'!BJ247</f>
        <v>0</v>
      </c>
    </row>
    <row r="248" spans="1:26" x14ac:dyDescent="0.25">
      <c r="A248" s="63">
        <f>'II_Inkunabeln+'!A248</f>
        <v>239</v>
      </c>
      <c r="B248" s="63" t="str">
        <f>'II_Inkunabeln+'!B248</f>
        <v>L-1500-315501006</v>
      </c>
      <c r="C248" s="63">
        <f>'II_Inkunabeln+'!C248</f>
        <v>1066970653</v>
      </c>
      <c r="D248" s="84" t="str">
        <f>'II_Inkunabeln+'!D248</f>
        <v>https://portal.dnb.de/opac.htm?method=simpleSearch&amp;cqlMode=true&amp;query=idn%3D1066970653</v>
      </c>
      <c r="E248" s="65" t="str">
        <f>'II_Inkunabeln+'!E248</f>
        <v>II 14,1d</v>
      </c>
      <c r="F248" s="65" t="str">
        <f>'II_Inkunabeln+'!H248</f>
        <v>bis 35 cm</v>
      </c>
      <c r="G248" s="93">
        <f>'II_Inkunabeln+'!X248</f>
        <v>0</v>
      </c>
      <c r="H248" s="93">
        <f>'II_Inkunabeln+'!AA248</f>
        <v>0</v>
      </c>
      <c r="I248" s="93">
        <f>'II_Inkunabeln+'!AC248</f>
        <v>0</v>
      </c>
      <c r="J248" s="94"/>
      <c r="K248" s="93">
        <f>'II_Inkunabeln+'!AD248</f>
        <v>0</v>
      </c>
      <c r="L248" s="94"/>
      <c r="M248" s="94"/>
      <c r="N248" s="94"/>
      <c r="O248" s="94"/>
      <c r="P248" s="94"/>
      <c r="Q248" s="94"/>
      <c r="R248" s="94"/>
      <c r="S248" s="94"/>
      <c r="T248" s="94"/>
      <c r="U248" s="94"/>
      <c r="V248" s="94"/>
      <c r="W248" s="94">
        <f>'II_Inkunabeln+'!BA248</f>
        <v>0</v>
      </c>
      <c r="X248" s="108"/>
      <c r="Y248" s="93">
        <f>'II_Inkunabeln+'!BI248</f>
        <v>0</v>
      </c>
      <c r="Z248" s="81">
        <f>'II_Inkunabeln+'!BJ248</f>
        <v>0</v>
      </c>
    </row>
    <row r="249" spans="1:26" x14ac:dyDescent="0.25">
      <c r="A249" s="63">
        <f>'II_Inkunabeln+'!A249</f>
        <v>240</v>
      </c>
      <c r="B249" s="63" t="str">
        <f>'II_Inkunabeln+'!B249</f>
        <v>L-1494-315501243</v>
      </c>
      <c r="C249" s="63">
        <f>'II_Inkunabeln+'!C249</f>
        <v>1066970882</v>
      </c>
      <c r="D249" s="84" t="str">
        <f>'II_Inkunabeln+'!D249</f>
        <v>https://portal.dnb.de/opac.htm?method=simpleSearch&amp;cqlMode=true&amp;query=idn%3D1066970882</v>
      </c>
      <c r="E249" s="65" t="str">
        <f>'II_Inkunabeln+'!E249</f>
        <v>II 14,1e</v>
      </c>
      <c r="F249" s="65">
        <f>'II_Inkunabeln+'!H249</f>
        <v>0</v>
      </c>
      <c r="G249" s="93">
        <f>'II_Inkunabeln+'!X249</f>
        <v>0</v>
      </c>
      <c r="H249" s="93">
        <f>'II_Inkunabeln+'!AA249</f>
        <v>0</v>
      </c>
      <c r="I249" s="93">
        <f>'II_Inkunabeln+'!AC249</f>
        <v>0</v>
      </c>
      <c r="J249" s="94"/>
      <c r="K249" s="93">
        <f>'II_Inkunabeln+'!AD249</f>
        <v>0</v>
      </c>
      <c r="L249" s="94"/>
      <c r="M249" s="94"/>
      <c r="N249" s="94"/>
      <c r="O249" s="94"/>
      <c r="P249" s="94"/>
      <c r="Q249" s="94"/>
      <c r="R249" s="94"/>
      <c r="S249" s="94"/>
      <c r="T249" s="94"/>
      <c r="U249" s="94"/>
      <c r="V249" s="94"/>
      <c r="W249" s="94">
        <f>'II_Inkunabeln+'!BA249</f>
        <v>0</v>
      </c>
      <c r="X249" s="108"/>
      <c r="Y249" s="93">
        <f>'II_Inkunabeln+'!BI249</f>
        <v>0</v>
      </c>
      <c r="Z249" s="81">
        <f>'II_Inkunabeln+'!BJ249</f>
        <v>0</v>
      </c>
    </row>
    <row r="250" spans="1:26" x14ac:dyDescent="0.25">
      <c r="A250" s="63">
        <f>'II_Inkunabeln+'!A250</f>
        <v>241</v>
      </c>
      <c r="B250" s="63" t="str">
        <f>'II_Inkunabeln+'!B250</f>
        <v>L-1485-326855106</v>
      </c>
      <c r="C250" s="63">
        <f>'II_Inkunabeln+'!C250</f>
        <v>1072058391</v>
      </c>
      <c r="D250" s="84" t="str">
        <f>'II_Inkunabeln+'!D250</f>
        <v>https://portal.dnb.de/opac.htm?method=simpleSearch&amp;cqlMode=true&amp;query=idn%3D1072058391</v>
      </c>
      <c r="E250" s="65" t="str">
        <f>'II_Inkunabeln+'!E250</f>
        <v>II 15,1a</v>
      </c>
      <c r="F250" s="65" t="str">
        <f>'II_Inkunabeln+'!H250</f>
        <v>bis 35 cm</v>
      </c>
      <c r="G250" s="93">
        <f>'II_Inkunabeln+'!X250</f>
        <v>0</v>
      </c>
      <c r="H250" s="93">
        <f>'II_Inkunabeln+'!AA250</f>
        <v>0</v>
      </c>
      <c r="I250" s="93">
        <f>'II_Inkunabeln+'!AC250</f>
        <v>0</v>
      </c>
      <c r="J250" s="94"/>
      <c r="K250" s="93">
        <f>'II_Inkunabeln+'!AD250</f>
        <v>0</v>
      </c>
      <c r="L250" s="94"/>
      <c r="M250" s="94"/>
      <c r="N250" s="94"/>
      <c r="O250" s="94"/>
      <c r="P250" s="94"/>
      <c r="Q250" s="94"/>
      <c r="R250" s="94"/>
      <c r="S250" s="94"/>
      <c r="T250" s="94"/>
      <c r="U250" s="94"/>
      <c r="V250" s="94"/>
      <c r="W250" s="94">
        <f>'II_Inkunabeln+'!BA250</f>
        <v>0</v>
      </c>
      <c r="X250" s="108"/>
      <c r="Y250" s="93">
        <f>'II_Inkunabeln+'!BI250</f>
        <v>0</v>
      </c>
      <c r="Z250" s="81">
        <f>'II_Inkunabeln+'!BJ250</f>
        <v>0</v>
      </c>
    </row>
    <row r="251" spans="1:26" x14ac:dyDescent="0.25">
      <c r="A251" s="63">
        <f>'II_Inkunabeln+'!A251</f>
        <v>242</v>
      </c>
      <c r="B251" s="63" t="str">
        <f>'II_Inkunabeln+'!B251</f>
        <v>L-1488-315498471</v>
      </c>
      <c r="C251" s="63">
        <f>'II_Inkunabeln+'!C251</f>
        <v>1066968217</v>
      </c>
      <c r="D251" s="84" t="str">
        <f>'II_Inkunabeln+'!D251</f>
        <v>https://portal.dnb.de/opac.htm?method=simpleSearch&amp;cqlMode=true&amp;query=idn%3D1066968217</v>
      </c>
      <c r="E251" s="65" t="str">
        <f>'II_Inkunabeln+'!E251</f>
        <v>II 15,1b</v>
      </c>
      <c r="F251" s="65" t="str">
        <f>'II_Inkunabeln+'!H251</f>
        <v>bis 35 cm</v>
      </c>
      <c r="G251" s="93">
        <f>'II_Inkunabeln+'!X251</f>
        <v>0</v>
      </c>
      <c r="H251" s="93">
        <f>'II_Inkunabeln+'!AA251</f>
        <v>0</v>
      </c>
      <c r="I251" s="93">
        <f>'II_Inkunabeln+'!AC251</f>
        <v>0</v>
      </c>
      <c r="J251" s="94"/>
      <c r="K251" s="93">
        <f>'II_Inkunabeln+'!AD251</f>
        <v>0</v>
      </c>
      <c r="L251" s="94"/>
      <c r="M251" s="94"/>
      <c r="N251" s="94"/>
      <c r="O251" s="94"/>
      <c r="P251" s="94"/>
      <c r="Q251" s="94"/>
      <c r="R251" s="94"/>
      <c r="S251" s="94"/>
      <c r="T251" s="94"/>
      <c r="U251" s="94"/>
      <c r="V251" s="94"/>
      <c r="W251" s="94">
        <f>'II_Inkunabeln+'!BA251</f>
        <v>0</v>
      </c>
      <c r="X251" s="108"/>
      <c r="Y251" s="93">
        <f>'II_Inkunabeln+'!BI251</f>
        <v>0</v>
      </c>
      <c r="Z251" s="81">
        <f>'II_Inkunabeln+'!BJ251</f>
        <v>0</v>
      </c>
    </row>
    <row r="252" spans="1:26" x14ac:dyDescent="0.25">
      <c r="A252" s="63">
        <f>'II_Inkunabeln+'!A252</f>
        <v>243</v>
      </c>
      <c r="B252" s="63" t="str">
        <f>'II_Inkunabeln+'!B252</f>
        <v>L-1489-315499109</v>
      </c>
      <c r="C252" s="63">
        <f>'II_Inkunabeln+'!C252</f>
        <v>1066968837</v>
      </c>
      <c r="D252" s="84" t="str">
        <f>'II_Inkunabeln+'!D252</f>
        <v>https://portal.dnb.de/opac.htm?method=simpleSearch&amp;cqlMode=true&amp;query=idn%3D1066968837</v>
      </c>
      <c r="E252" s="65" t="str">
        <f>'II_Inkunabeln+'!E252</f>
        <v>II 15,1c</v>
      </c>
      <c r="F252" s="65" t="str">
        <f>'II_Inkunabeln+'!H252</f>
        <v>bis 25 cm</v>
      </c>
      <c r="G252" s="93">
        <f>'II_Inkunabeln+'!X252</f>
        <v>0</v>
      </c>
      <c r="H252" s="93">
        <f>'II_Inkunabeln+'!AA252</f>
        <v>0</v>
      </c>
      <c r="I252" s="93">
        <f>'II_Inkunabeln+'!AC252</f>
        <v>0</v>
      </c>
      <c r="J252" s="94"/>
      <c r="K252" s="93">
        <f>'II_Inkunabeln+'!AD252</f>
        <v>0</v>
      </c>
      <c r="L252" s="94"/>
      <c r="M252" s="94"/>
      <c r="N252" s="94"/>
      <c r="O252" s="94"/>
      <c r="P252" s="94"/>
      <c r="Q252" s="94"/>
      <c r="R252" s="94"/>
      <c r="S252" s="94"/>
      <c r="T252" s="94"/>
      <c r="U252" s="94"/>
      <c r="V252" s="94"/>
      <c r="W252" s="94">
        <f>'II_Inkunabeln+'!BA252</f>
        <v>0</v>
      </c>
      <c r="X252" s="108"/>
      <c r="Y252" s="93">
        <f>'II_Inkunabeln+'!BI252</f>
        <v>0</v>
      </c>
      <c r="Z252" s="81">
        <f>'II_Inkunabeln+'!BJ252</f>
        <v>0</v>
      </c>
    </row>
    <row r="253" spans="1:26" x14ac:dyDescent="0.25">
      <c r="A253" s="63">
        <f>'II_Inkunabeln+'!A253</f>
        <v>244</v>
      </c>
      <c r="B253" s="63" t="str">
        <f>'II_Inkunabeln+'!B253</f>
        <v>L-1485-315496398</v>
      </c>
      <c r="C253" s="63">
        <f>'II_Inkunabeln+'!C253</f>
        <v>1066966095</v>
      </c>
      <c r="D253" s="84" t="str">
        <f>'II_Inkunabeln+'!D253</f>
        <v>https://portal.dnb.de/opac.htm?method=simpleSearch&amp;cqlMode=true&amp;query=idn%3D1066966095</v>
      </c>
      <c r="E253" s="65" t="str">
        <f>'II_Inkunabeln+'!E253</f>
        <v>II 15,1d</v>
      </c>
      <c r="F253" s="65" t="str">
        <f>'II_Inkunabeln+'!H253</f>
        <v>bis 25 cm</v>
      </c>
      <c r="G253" s="93">
        <f>'II_Inkunabeln+'!X253</f>
        <v>0</v>
      </c>
      <c r="H253" s="93">
        <f>'II_Inkunabeln+'!AA253</f>
        <v>0</v>
      </c>
      <c r="I253" s="93">
        <f>'II_Inkunabeln+'!AC253</f>
        <v>0</v>
      </c>
      <c r="J253" s="94"/>
      <c r="K253" s="93">
        <f>'II_Inkunabeln+'!AD253</f>
        <v>0</v>
      </c>
      <c r="L253" s="94"/>
      <c r="M253" s="94"/>
      <c r="N253" s="94"/>
      <c r="O253" s="94"/>
      <c r="P253" s="94"/>
      <c r="Q253" s="94"/>
      <c r="R253" s="94"/>
      <c r="S253" s="94"/>
      <c r="T253" s="94"/>
      <c r="U253" s="94"/>
      <c r="V253" s="94"/>
      <c r="W253" s="94">
        <f>'II_Inkunabeln+'!BA253</f>
        <v>0</v>
      </c>
      <c r="X253" s="108"/>
      <c r="Y253" s="93">
        <f>'II_Inkunabeln+'!BI253</f>
        <v>0</v>
      </c>
      <c r="Z253" s="81">
        <f>'II_Inkunabeln+'!BJ253</f>
        <v>0</v>
      </c>
    </row>
    <row r="254" spans="1:26" x14ac:dyDescent="0.25">
      <c r="A254" s="63">
        <f>'II_Inkunabeln+'!A254</f>
        <v>245</v>
      </c>
      <c r="B254" s="63" t="str">
        <f>'II_Inkunabeln+'!B254</f>
        <v>L-1488-315501065</v>
      </c>
      <c r="C254" s="63">
        <f>'II_Inkunabeln+'!C254</f>
        <v>1066970718</v>
      </c>
      <c r="D254" s="84" t="str">
        <f>'II_Inkunabeln+'!D254</f>
        <v>https://portal.dnb.de/opac.htm?method=simpleSearch&amp;cqlMode=true&amp;query=idn%3D1066970718</v>
      </c>
      <c r="E254" s="65" t="str">
        <f>'II_Inkunabeln+'!E254</f>
        <v>II 15,2a</v>
      </c>
      <c r="F254" s="65" t="str">
        <f>'II_Inkunabeln+'!H254</f>
        <v>bis 35 cm</v>
      </c>
      <c r="G254" s="93">
        <f>'II_Inkunabeln+'!X254</f>
        <v>0</v>
      </c>
      <c r="H254" s="93">
        <f>'II_Inkunabeln+'!AA254</f>
        <v>0</v>
      </c>
      <c r="I254" s="93">
        <f>'II_Inkunabeln+'!AC254</f>
        <v>0</v>
      </c>
      <c r="J254" s="94"/>
      <c r="K254" s="93">
        <f>'II_Inkunabeln+'!AD254</f>
        <v>0</v>
      </c>
      <c r="L254" s="94"/>
      <c r="M254" s="94"/>
      <c r="N254" s="94"/>
      <c r="O254" s="94"/>
      <c r="P254" s="94"/>
      <c r="Q254" s="94"/>
      <c r="R254" s="94"/>
      <c r="S254" s="94"/>
      <c r="T254" s="94"/>
      <c r="U254" s="94"/>
      <c r="V254" s="94"/>
      <c r="W254" s="94">
        <f>'II_Inkunabeln+'!BA254</f>
        <v>0</v>
      </c>
      <c r="X254" s="108"/>
      <c r="Y254" s="93">
        <f>'II_Inkunabeln+'!BI254</f>
        <v>0</v>
      </c>
      <c r="Z254" s="81">
        <f>'II_Inkunabeln+'!BJ254</f>
        <v>0</v>
      </c>
    </row>
    <row r="255" spans="1:26" x14ac:dyDescent="0.25">
      <c r="A255" s="63">
        <f>'II_Inkunabeln+'!A255</f>
        <v>246</v>
      </c>
      <c r="B255" s="63" t="str">
        <f>'II_Inkunabeln+'!B255</f>
        <v>L-1487-315503661</v>
      </c>
      <c r="C255" s="63">
        <f>'II_Inkunabeln+'!C255</f>
        <v>1066973288</v>
      </c>
      <c r="D255" s="84" t="str">
        <f>'II_Inkunabeln+'!D255</f>
        <v>https://portal.dnb.de/opac.htm?method=simpleSearch&amp;cqlMode=true&amp;query=idn%3D1066973288</v>
      </c>
      <c r="E255" s="65" t="str">
        <f>'II_Inkunabeln+'!E255</f>
        <v>II 16,1a</v>
      </c>
      <c r="F255" s="65" t="str">
        <f>'II_Inkunabeln+'!H255</f>
        <v>bis 25 cm</v>
      </c>
      <c r="G255" s="93">
        <f>'II_Inkunabeln+'!X255</f>
        <v>0</v>
      </c>
      <c r="H255" s="93">
        <f>'II_Inkunabeln+'!AA255</f>
        <v>0</v>
      </c>
      <c r="I255" s="93">
        <f>'II_Inkunabeln+'!AC255</f>
        <v>0</v>
      </c>
      <c r="J255" s="94"/>
      <c r="K255" s="93">
        <f>'II_Inkunabeln+'!AD255</f>
        <v>0</v>
      </c>
      <c r="L255" s="94"/>
      <c r="M255" s="94"/>
      <c r="N255" s="94"/>
      <c r="O255" s="94"/>
      <c r="P255" s="94"/>
      <c r="Q255" s="94"/>
      <c r="R255" s="94"/>
      <c r="S255" s="94"/>
      <c r="T255" s="94"/>
      <c r="U255" s="94"/>
      <c r="V255" s="94"/>
      <c r="W255" s="94">
        <f>'II_Inkunabeln+'!BA255</f>
        <v>0</v>
      </c>
      <c r="X255" s="108"/>
      <c r="Y255" s="93">
        <f>'II_Inkunabeln+'!BI255</f>
        <v>0</v>
      </c>
      <c r="Z255" s="81">
        <f>'II_Inkunabeln+'!BJ255</f>
        <v>0</v>
      </c>
    </row>
    <row r="256" spans="1:26" x14ac:dyDescent="0.25">
      <c r="A256" s="63">
        <f>'II_Inkunabeln+'!A256</f>
        <v>247</v>
      </c>
      <c r="B256" s="63" t="str">
        <f>'II_Inkunabeln+'!B256</f>
        <v>L-1487-315503688</v>
      </c>
      <c r="C256" s="63" t="str">
        <f>'II_Inkunabeln+'!C256</f>
        <v>106697330X</v>
      </c>
      <c r="D256" s="84" t="str">
        <f>'II_Inkunabeln+'!D256</f>
        <v>https://portal.dnb.de/opac.htm?method=simpleSearch&amp;cqlMode=true&amp;query=idn%3D106697330X</v>
      </c>
      <c r="E256" s="65" t="str">
        <f>'II_Inkunabeln+'!E256</f>
        <v>II 16,2a</v>
      </c>
      <c r="F256" s="65" t="str">
        <f>'II_Inkunabeln+'!H256</f>
        <v>bis 25 cm</v>
      </c>
      <c r="G256" s="93">
        <f>'II_Inkunabeln+'!X256</f>
        <v>0</v>
      </c>
      <c r="H256" s="93">
        <f>'II_Inkunabeln+'!AA256</f>
        <v>0</v>
      </c>
      <c r="I256" s="93">
        <f>'II_Inkunabeln+'!AC256</f>
        <v>0</v>
      </c>
      <c r="J256" s="94"/>
      <c r="K256" s="93">
        <f>'II_Inkunabeln+'!AD256</f>
        <v>0</v>
      </c>
      <c r="L256" s="94"/>
      <c r="M256" s="94"/>
      <c r="N256" s="94"/>
      <c r="O256" s="94"/>
      <c r="P256" s="94"/>
      <c r="Q256" s="94"/>
      <c r="R256" s="94"/>
      <c r="S256" s="94"/>
      <c r="T256" s="94"/>
      <c r="U256" s="94"/>
      <c r="V256" s="94"/>
      <c r="W256" s="94">
        <f>'II_Inkunabeln+'!BA256</f>
        <v>0</v>
      </c>
      <c r="X256" s="108"/>
      <c r="Y256" s="93">
        <f>'II_Inkunabeln+'!BI256</f>
        <v>0</v>
      </c>
      <c r="Z256" s="81">
        <f>'II_Inkunabeln+'!BJ256</f>
        <v>0</v>
      </c>
    </row>
    <row r="257" spans="1:26" x14ac:dyDescent="0.25">
      <c r="A257" s="63">
        <f>'II_Inkunabeln+'!A257</f>
        <v>248</v>
      </c>
      <c r="B257" s="63" t="str">
        <f>'II_Inkunabeln+'!B257</f>
        <v>L-1472-315503742</v>
      </c>
      <c r="C257" s="63">
        <f>'II_Inkunabeln+'!C257</f>
        <v>1066973377</v>
      </c>
      <c r="D257" s="84" t="str">
        <f>'II_Inkunabeln+'!D257</f>
        <v>https://portal.dnb.de/opac.htm?method=simpleSearch&amp;cqlMode=true&amp;query=idn%3D1066973377</v>
      </c>
      <c r="E257" s="65" t="str">
        <f>'II_Inkunabeln+'!E257</f>
        <v>II 17,1a</v>
      </c>
      <c r="F257" s="65" t="str">
        <f>'II_Inkunabeln+'!H257</f>
        <v>bis 25 cm</v>
      </c>
      <c r="G257" s="93">
        <f>'II_Inkunabeln+'!X257</f>
        <v>0</v>
      </c>
      <c r="H257" s="93">
        <f>'II_Inkunabeln+'!AA257</f>
        <v>0</v>
      </c>
      <c r="I257" s="93">
        <f>'II_Inkunabeln+'!AC257</f>
        <v>0</v>
      </c>
      <c r="J257" s="94"/>
      <c r="K257" s="93">
        <f>'II_Inkunabeln+'!AD257</f>
        <v>0</v>
      </c>
      <c r="L257" s="94"/>
      <c r="M257" s="94"/>
      <c r="N257" s="94"/>
      <c r="O257" s="94"/>
      <c r="P257" s="94"/>
      <c r="Q257" s="94"/>
      <c r="R257" s="94"/>
      <c r="S257" s="94"/>
      <c r="T257" s="94"/>
      <c r="U257" s="94"/>
      <c r="V257" s="94"/>
      <c r="W257" s="94">
        <f>'II_Inkunabeln+'!BA257</f>
        <v>0</v>
      </c>
      <c r="X257" s="108"/>
      <c r="Y257" s="93">
        <f>'II_Inkunabeln+'!BI257</f>
        <v>0</v>
      </c>
      <c r="Z257" s="81">
        <f>'II_Inkunabeln+'!BJ257</f>
        <v>0</v>
      </c>
    </row>
    <row r="258" spans="1:26" x14ac:dyDescent="0.25">
      <c r="A258" s="63">
        <f>'II_Inkunabeln+'!A258</f>
        <v>249</v>
      </c>
      <c r="B258" s="63" t="str">
        <f>'II_Inkunabeln+'!B258</f>
        <v>L-1472-315494891</v>
      </c>
      <c r="C258" s="63" t="str">
        <f>'II_Inkunabeln+'!C258</f>
        <v>106696467X</v>
      </c>
      <c r="D258" s="84" t="str">
        <f>'II_Inkunabeln+'!D258</f>
        <v>https://portal.dnb.de/opac.htm?method=simpleSearch&amp;cqlMode=true&amp;query=idn%3D106696467X</v>
      </c>
      <c r="E258" s="65" t="str">
        <f>'II_Inkunabeln+'!E258</f>
        <v>II 17,1b</v>
      </c>
      <c r="F258" s="65" t="str">
        <f>'II_Inkunabeln+'!H258</f>
        <v>bis 35 cm</v>
      </c>
      <c r="G258" s="93">
        <f>'II_Inkunabeln+'!X258</f>
        <v>0</v>
      </c>
      <c r="H258" s="93">
        <f>'II_Inkunabeln+'!AA258</f>
        <v>0</v>
      </c>
      <c r="I258" s="93">
        <f>'II_Inkunabeln+'!AC258</f>
        <v>0</v>
      </c>
      <c r="J258" s="94"/>
      <c r="K258" s="93">
        <f>'II_Inkunabeln+'!AD258</f>
        <v>0</v>
      </c>
      <c r="L258" s="94"/>
      <c r="M258" s="94"/>
      <c r="N258" s="94"/>
      <c r="O258" s="94"/>
      <c r="P258" s="94"/>
      <c r="Q258" s="94"/>
      <c r="R258" s="94"/>
      <c r="S258" s="94"/>
      <c r="T258" s="94"/>
      <c r="U258" s="94"/>
      <c r="V258" s="94"/>
      <c r="W258" s="94">
        <f>'II_Inkunabeln+'!BA258</f>
        <v>0</v>
      </c>
      <c r="X258" s="108"/>
      <c r="Y258" s="93">
        <f>'II_Inkunabeln+'!BI258</f>
        <v>0</v>
      </c>
      <c r="Z258" s="81">
        <f>'II_Inkunabeln+'!BJ258</f>
        <v>0</v>
      </c>
    </row>
    <row r="259" spans="1:26" x14ac:dyDescent="0.25">
      <c r="A259" s="63">
        <f>'II_Inkunabeln+'!A259</f>
        <v>250</v>
      </c>
      <c r="B259" s="63" t="str">
        <f>'II_Inkunabeln+'!B259</f>
        <v>L-1494-315502584</v>
      </c>
      <c r="C259" s="63">
        <f>'II_Inkunabeln+'!C259</f>
        <v>1066972168</v>
      </c>
      <c r="D259" s="84" t="str">
        <f>'II_Inkunabeln+'!D259</f>
        <v>https://portal.dnb.de/opac.htm?method=simpleSearch&amp;cqlMode=true&amp;query=idn%3D1066972168</v>
      </c>
      <c r="E259" s="65" t="str">
        <f>'II_Inkunabeln+'!E259</f>
        <v>II 18,1a</v>
      </c>
      <c r="F259" s="65" t="str">
        <f>'II_Inkunabeln+'!H259</f>
        <v>bis 25 cm</v>
      </c>
      <c r="G259" s="93">
        <f>'II_Inkunabeln+'!X259</f>
        <v>0</v>
      </c>
      <c r="H259" s="93">
        <f>'II_Inkunabeln+'!AA259</f>
        <v>0</v>
      </c>
      <c r="I259" s="93">
        <f>'II_Inkunabeln+'!AC259</f>
        <v>0</v>
      </c>
      <c r="J259" s="94"/>
      <c r="K259" s="93">
        <f>'II_Inkunabeln+'!AD259</f>
        <v>0</v>
      </c>
      <c r="L259" s="94"/>
      <c r="M259" s="94"/>
      <c r="N259" s="94"/>
      <c r="O259" s="94"/>
      <c r="P259" s="94"/>
      <c r="Q259" s="94"/>
      <c r="R259" s="94"/>
      <c r="S259" s="94"/>
      <c r="T259" s="94"/>
      <c r="U259" s="94"/>
      <c r="V259" s="94"/>
      <c r="W259" s="94">
        <f>'II_Inkunabeln+'!BA259</f>
        <v>0</v>
      </c>
      <c r="X259" s="108"/>
      <c r="Y259" s="93">
        <f>'II_Inkunabeln+'!BI259</f>
        <v>0</v>
      </c>
      <c r="Z259" s="81">
        <f>'II_Inkunabeln+'!BJ259</f>
        <v>0</v>
      </c>
    </row>
    <row r="260" spans="1:26" x14ac:dyDescent="0.25">
      <c r="A260" s="63">
        <f>'II_Inkunabeln+'!A260</f>
        <v>251</v>
      </c>
      <c r="B260" s="63" t="str">
        <f>'II_Inkunabeln+'!B260</f>
        <v>L-1489-315500328</v>
      </c>
      <c r="C260" s="63">
        <f>'II_Inkunabeln+'!C260</f>
        <v>1066969981</v>
      </c>
      <c r="D260" s="84" t="str">
        <f>'II_Inkunabeln+'!D260</f>
        <v>https://portal.dnb.de/opac.htm?method=simpleSearch&amp;cqlMode=true&amp;query=idn%3D1066969981</v>
      </c>
      <c r="E260" s="65" t="str">
        <f>'II_Inkunabeln+'!E260</f>
        <v>II 18,1b</v>
      </c>
      <c r="F260" s="65" t="str">
        <f>'II_Inkunabeln+'!H260</f>
        <v>bis 25 cm</v>
      </c>
      <c r="G260" s="93">
        <f>'II_Inkunabeln+'!X260</f>
        <v>0</v>
      </c>
      <c r="H260" s="93">
        <f>'II_Inkunabeln+'!AA260</f>
        <v>0</v>
      </c>
      <c r="I260" s="93">
        <f>'II_Inkunabeln+'!AC260</f>
        <v>0</v>
      </c>
      <c r="J260" s="94"/>
      <c r="K260" s="93">
        <f>'II_Inkunabeln+'!AD260</f>
        <v>0</v>
      </c>
      <c r="L260" s="94"/>
      <c r="M260" s="94"/>
      <c r="N260" s="94"/>
      <c r="O260" s="94"/>
      <c r="P260" s="94"/>
      <c r="Q260" s="94"/>
      <c r="R260" s="94"/>
      <c r="S260" s="94"/>
      <c r="T260" s="94"/>
      <c r="U260" s="94"/>
      <c r="V260" s="94"/>
      <c r="W260" s="94">
        <f>'II_Inkunabeln+'!BA260</f>
        <v>0</v>
      </c>
      <c r="X260" s="108"/>
      <c r="Y260" s="93">
        <f>'II_Inkunabeln+'!BI260</f>
        <v>0</v>
      </c>
      <c r="Z260" s="81">
        <f>'II_Inkunabeln+'!BJ260</f>
        <v>0</v>
      </c>
    </row>
    <row r="261" spans="1:26" x14ac:dyDescent="0.25">
      <c r="A261" s="63">
        <f>'II_Inkunabeln+'!A261</f>
        <v>252</v>
      </c>
      <c r="B261" s="63" t="str">
        <f>'II_Inkunabeln+'!B261</f>
        <v>L-1710-174001320</v>
      </c>
      <c r="C261" s="63">
        <f>'II_Inkunabeln+'!C261</f>
        <v>1001280369</v>
      </c>
      <c r="D261" s="84" t="str">
        <f>'II_Inkunabeln+'!D261</f>
        <v>https://portal.dnb.de/opac.htm?method=simpleSearch&amp;cqlMode=true&amp;query=idn%3D1001280369</v>
      </c>
      <c r="E261" s="65" t="str">
        <f>'II_Inkunabeln+'!E261</f>
        <v>II 18,1b (angebunden)</v>
      </c>
      <c r="F261" s="65">
        <f>'II_Inkunabeln+'!H261</f>
        <v>0</v>
      </c>
      <c r="G261" s="93">
        <f>'II_Inkunabeln+'!X261</f>
        <v>0</v>
      </c>
      <c r="H261" s="93">
        <f>'II_Inkunabeln+'!AA261</f>
        <v>0</v>
      </c>
      <c r="I261" s="93">
        <f>'II_Inkunabeln+'!AC261</f>
        <v>0</v>
      </c>
      <c r="J261" s="94"/>
      <c r="K261" s="93">
        <f>'II_Inkunabeln+'!AD261</f>
        <v>0</v>
      </c>
      <c r="L261" s="94"/>
      <c r="M261" s="94"/>
      <c r="N261" s="94"/>
      <c r="O261" s="94"/>
      <c r="P261" s="94"/>
      <c r="Q261" s="94"/>
      <c r="R261" s="94"/>
      <c r="S261" s="94"/>
      <c r="T261" s="94"/>
      <c r="U261" s="94"/>
      <c r="V261" s="94"/>
      <c r="W261" s="94">
        <f>'II_Inkunabeln+'!BA261</f>
        <v>0</v>
      </c>
      <c r="X261" s="108"/>
      <c r="Y261" s="93">
        <f>'II_Inkunabeln+'!BI261</f>
        <v>0</v>
      </c>
      <c r="Z261" s="81">
        <f>'II_Inkunabeln+'!BJ261</f>
        <v>0</v>
      </c>
    </row>
    <row r="262" spans="1:26" x14ac:dyDescent="0.25">
      <c r="A262" s="63">
        <f>'II_Inkunabeln+'!A262</f>
        <v>253</v>
      </c>
      <c r="B262" s="63" t="str">
        <f>'II_Inkunabeln+'!B262</f>
        <v>L-1494-31549624X</v>
      </c>
      <c r="C262" s="63">
        <f>'II_Inkunabeln+'!C262</f>
        <v>1066965951</v>
      </c>
      <c r="D262" s="84" t="str">
        <f>'II_Inkunabeln+'!D262</f>
        <v>https://portal.dnb.de/opac.htm?method=simpleSearch&amp;cqlMode=true&amp;query=idn%3D1066965951</v>
      </c>
      <c r="E262" s="65" t="str">
        <f>'II_Inkunabeln+'!E262</f>
        <v>II 18,1c</v>
      </c>
      <c r="F262" s="65">
        <f>'II_Inkunabeln+'!H262</f>
        <v>0</v>
      </c>
      <c r="G262" s="93">
        <f>'II_Inkunabeln+'!X262</f>
        <v>0</v>
      </c>
      <c r="H262" s="93">
        <f>'II_Inkunabeln+'!AA262</f>
        <v>0</v>
      </c>
      <c r="I262" s="93">
        <f>'II_Inkunabeln+'!AC262</f>
        <v>0</v>
      </c>
      <c r="J262" s="94"/>
      <c r="K262" s="93">
        <f>'II_Inkunabeln+'!AD262</f>
        <v>0</v>
      </c>
      <c r="L262" s="94"/>
      <c r="M262" s="94"/>
      <c r="N262" s="94"/>
      <c r="O262" s="94"/>
      <c r="P262" s="94"/>
      <c r="Q262" s="94"/>
      <c r="R262" s="94"/>
      <c r="S262" s="94"/>
      <c r="T262" s="94"/>
      <c r="U262" s="94"/>
      <c r="V262" s="94"/>
      <c r="W262" s="94">
        <f>'II_Inkunabeln+'!BA262</f>
        <v>0</v>
      </c>
      <c r="X262" s="108"/>
      <c r="Y262" s="93">
        <f>'II_Inkunabeln+'!BI262</f>
        <v>0</v>
      </c>
      <c r="Z262" s="81">
        <f>'II_Inkunabeln+'!BJ262</f>
        <v>0</v>
      </c>
    </row>
    <row r="263" spans="1:26" x14ac:dyDescent="0.25">
      <c r="A263" s="63">
        <f>'II_Inkunabeln+'!A263</f>
        <v>254</v>
      </c>
      <c r="B263" s="63" t="str">
        <f>'II_Inkunabeln+'!B263</f>
        <v>L-1488-315501081</v>
      </c>
      <c r="C263" s="63">
        <f>'II_Inkunabeln+'!C263</f>
        <v>1066970734</v>
      </c>
      <c r="D263" s="84" t="str">
        <f>'II_Inkunabeln+'!D263</f>
        <v>https://portal.dnb.de/opac.htm?method=simpleSearch&amp;cqlMode=true&amp;query=idn%3D1066970734</v>
      </c>
      <c r="E263" s="65" t="str">
        <f>'II_Inkunabeln+'!E263</f>
        <v>II 18,2a</v>
      </c>
      <c r="F263" s="65">
        <f>'II_Inkunabeln+'!H263</f>
        <v>0</v>
      </c>
      <c r="G263" s="93">
        <f>'II_Inkunabeln+'!X263</f>
        <v>0</v>
      </c>
      <c r="H263" s="93">
        <f>'II_Inkunabeln+'!AA263</f>
        <v>0</v>
      </c>
      <c r="I263" s="93">
        <f>'II_Inkunabeln+'!AC263</f>
        <v>0</v>
      </c>
      <c r="J263" s="94"/>
      <c r="K263" s="93">
        <f>'II_Inkunabeln+'!AD263</f>
        <v>0</v>
      </c>
      <c r="L263" s="94"/>
      <c r="M263" s="94"/>
      <c r="N263" s="94"/>
      <c r="O263" s="94"/>
      <c r="P263" s="94"/>
      <c r="Q263" s="94"/>
      <c r="R263" s="94"/>
      <c r="S263" s="94"/>
      <c r="T263" s="94"/>
      <c r="U263" s="94"/>
      <c r="V263" s="94"/>
      <c r="W263" s="94">
        <f>'II_Inkunabeln+'!BA263</f>
        <v>0</v>
      </c>
      <c r="X263" s="108"/>
      <c r="Y263" s="93">
        <f>'II_Inkunabeln+'!BI263</f>
        <v>0</v>
      </c>
      <c r="Z263" s="81">
        <f>'II_Inkunabeln+'!BJ263</f>
        <v>0</v>
      </c>
    </row>
    <row r="264" spans="1:26" x14ac:dyDescent="0.25">
      <c r="A264" s="63">
        <f>'II_Inkunabeln+'!A264</f>
        <v>255</v>
      </c>
      <c r="B264" s="63" t="str">
        <f>'II_Inkunabeln+'!B264</f>
        <v>L-1494-327279281</v>
      </c>
      <c r="C264" s="63">
        <f>'II_Inkunabeln+'!C264</f>
        <v>1072319012</v>
      </c>
      <c r="D264" s="84" t="str">
        <f>'II_Inkunabeln+'!D264</f>
        <v>https://portal.dnb.de/opac.htm?method=simpleSearch&amp;cqlMode=true&amp;query=idn%3D1072319012</v>
      </c>
      <c r="E264" s="65" t="str">
        <f>'II_Inkunabeln+'!E264</f>
        <v>II 18,2b</v>
      </c>
      <c r="F264" s="65">
        <f>'II_Inkunabeln+'!H264</f>
        <v>0</v>
      </c>
      <c r="G264" s="93">
        <f>'II_Inkunabeln+'!X264</f>
        <v>0</v>
      </c>
      <c r="H264" s="93">
        <f>'II_Inkunabeln+'!AA264</f>
        <v>0</v>
      </c>
      <c r="I264" s="93">
        <f>'II_Inkunabeln+'!AC264</f>
        <v>0</v>
      </c>
      <c r="J264" s="94"/>
      <c r="K264" s="93">
        <f>'II_Inkunabeln+'!AD264</f>
        <v>0</v>
      </c>
      <c r="L264" s="94"/>
      <c r="M264" s="94"/>
      <c r="N264" s="94"/>
      <c r="O264" s="94"/>
      <c r="P264" s="94"/>
      <c r="Q264" s="94"/>
      <c r="R264" s="94"/>
      <c r="S264" s="94"/>
      <c r="T264" s="94"/>
      <c r="U264" s="94"/>
      <c r="V264" s="94"/>
      <c r="W264" s="94">
        <f>'II_Inkunabeln+'!BA264</f>
        <v>0</v>
      </c>
      <c r="X264" s="108"/>
      <c r="Y264" s="93">
        <f>'II_Inkunabeln+'!BI264</f>
        <v>0</v>
      </c>
      <c r="Z264" s="81">
        <f>'II_Inkunabeln+'!BJ264</f>
        <v>0</v>
      </c>
    </row>
    <row r="265" spans="1:26" x14ac:dyDescent="0.25">
      <c r="A265" s="63">
        <f>'II_Inkunabeln+'!A265</f>
        <v>256</v>
      </c>
      <c r="B265" s="63" t="str">
        <f>'II_Inkunabeln+'!B265</f>
        <v>L-1493-326855459</v>
      </c>
      <c r="C265" s="63" t="str">
        <f>'II_Inkunabeln+'!C265</f>
        <v>107205888X</v>
      </c>
      <c r="D265" s="84" t="str">
        <f>'II_Inkunabeln+'!D265</f>
        <v>https://portal.dnb.de/opac.htm?method=simpleSearch&amp;cqlMode=true&amp;query=idn%3D107205888X</v>
      </c>
      <c r="E265" s="65" t="str">
        <f>'II_Inkunabeln+'!E265</f>
        <v>II 18,3a</v>
      </c>
      <c r="F265" s="65">
        <f>'II_Inkunabeln+'!H265</f>
        <v>0</v>
      </c>
      <c r="G265" s="93">
        <f>'II_Inkunabeln+'!X265</f>
        <v>0</v>
      </c>
      <c r="H265" s="93">
        <f>'II_Inkunabeln+'!AA265</f>
        <v>0</v>
      </c>
      <c r="I265" s="93">
        <f>'II_Inkunabeln+'!AC265</f>
        <v>0</v>
      </c>
      <c r="J265" s="94"/>
      <c r="K265" s="93">
        <f>'II_Inkunabeln+'!AD265</f>
        <v>0</v>
      </c>
      <c r="L265" s="94"/>
      <c r="M265" s="94"/>
      <c r="N265" s="94"/>
      <c r="O265" s="94"/>
      <c r="P265" s="94"/>
      <c r="Q265" s="94"/>
      <c r="R265" s="94"/>
      <c r="S265" s="94"/>
      <c r="T265" s="94"/>
      <c r="U265" s="94"/>
      <c r="V265" s="94"/>
      <c r="W265" s="94">
        <f>'II_Inkunabeln+'!BA265</f>
        <v>0</v>
      </c>
      <c r="X265" s="108"/>
      <c r="Y265" s="93">
        <f>'II_Inkunabeln+'!BI265</f>
        <v>0</v>
      </c>
      <c r="Z265" s="81">
        <f>'II_Inkunabeln+'!BJ265</f>
        <v>0</v>
      </c>
    </row>
    <row r="266" spans="1:26" x14ac:dyDescent="0.25">
      <c r="A266" s="63">
        <f>'II_Inkunabeln+'!A266</f>
        <v>257</v>
      </c>
      <c r="B266" s="63" t="str">
        <f>'II_Inkunabeln+'!B266</f>
        <v>L-1494-315495235</v>
      </c>
      <c r="C266" s="63">
        <f>'II_Inkunabeln+'!C266</f>
        <v>1066965099</v>
      </c>
      <c r="D266" s="84" t="str">
        <f>'II_Inkunabeln+'!D266</f>
        <v>https://portal.dnb.de/opac.htm?method=simpleSearch&amp;cqlMode=true&amp;query=idn%3D1066965099</v>
      </c>
      <c r="E266" s="65" t="str">
        <f>'II_Inkunabeln+'!E266</f>
        <v>II 18,3b</v>
      </c>
      <c r="F266" s="65">
        <f>'II_Inkunabeln+'!H266</f>
        <v>0</v>
      </c>
      <c r="G266" s="93">
        <f>'II_Inkunabeln+'!X266</f>
        <v>0</v>
      </c>
      <c r="H266" s="93">
        <f>'II_Inkunabeln+'!AA266</f>
        <v>0</v>
      </c>
      <c r="I266" s="93">
        <f>'II_Inkunabeln+'!AC266</f>
        <v>0</v>
      </c>
      <c r="J266" s="94"/>
      <c r="K266" s="93">
        <f>'II_Inkunabeln+'!AD266</f>
        <v>0</v>
      </c>
      <c r="L266" s="94"/>
      <c r="M266" s="94"/>
      <c r="N266" s="94"/>
      <c r="O266" s="94"/>
      <c r="P266" s="94"/>
      <c r="Q266" s="94"/>
      <c r="R266" s="94"/>
      <c r="S266" s="94"/>
      <c r="T266" s="94"/>
      <c r="U266" s="94"/>
      <c r="V266" s="94"/>
      <c r="W266" s="94">
        <f>'II_Inkunabeln+'!BA266</f>
        <v>0</v>
      </c>
      <c r="X266" s="108"/>
      <c r="Y266" s="93">
        <f>'II_Inkunabeln+'!BI266</f>
        <v>0</v>
      </c>
      <c r="Z266" s="81">
        <f>'II_Inkunabeln+'!BJ266</f>
        <v>0</v>
      </c>
    </row>
    <row r="267" spans="1:26" x14ac:dyDescent="0.25">
      <c r="A267" s="63">
        <f>'II_Inkunabeln+'!A267</f>
        <v>258</v>
      </c>
      <c r="B267" s="63" t="str">
        <f>'II_Inkunabeln+'!B267</f>
        <v>L-1496-31550000X</v>
      </c>
      <c r="C267" s="63">
        <f>'II_Inkunabeln+'!C267</f>
        <v>1066969663</v>
      </c>
      <c r="D267" s="84" t="str">
        <f>'II_Inkunabeln+'!D267</f>
        <v>https://portal.dnb.de/opac.htm?method=simpleSearch&amp;cqlMode=true&amp;query=idn%3D1066969663</v>
      </c>
      <c r="E267" s="65" t="str">
        <f>'II_Inkunabeln+'!E267</f>
        <v>II 18,4a</v>
      </c>
      <c r="F267" s="65">
        <f>'II_Inkunabeln+'!H267</f>
        <v>0</v>
      </c>
      <c r="G267" s="93">
        <f>'II_Inkunabeln+'!X267</f>
        <v>0</v>
      </c>
      <c r="H267" s="93">
        <f>'II_Inkunabeln+'!AA267</f>
        <v>0</v>
      </c>
      <c r="I267" s="93">
        <f>'II_Inkunabeln+'!AC267</f>
        <v>0</v>
      </c>
      <c r="J267" s="94"/>
      <c r="K267" s="93">
        <f>'II_Inkunabeln+'!AD267</f>
        <v>0</v>
      </c>
      <c r="L267" s="94"/>
      <c r="M267" s="94"/>
      <c r="N267" s="94"/>
      <c r="O267" s="94"/>
      <c r="P267" s="94"/>
      <c r="Q267" s="94"/>
      <c r="R267" s="94"/>
      <c r="S267" s="94"/>
      <c r="T267" s="94"/>
      <c r="U267" s="94"/>
      <c r="V267" s="94"/>
      <c r="W267" s="94">
        <f>'II_Inkunabeln+'!BA267</f>
        <v>0</v>
      </c>
      <c r="X267" s="108"/>
      <c r="Y267" s="93">
        <f>'II_Inkunabeln+'!BI267</f>
        <v>0</v>
      </c>
      <c r="Z267" s="81">
        <f>'II_Inkunabeln+'!BJ267</f>
        <v>0</v>
      </c>
    </row>
    <row r="268" spans="1:26" x14ac:dyDescent="0.25">
      <c r="A268" s="63">
        <f>'II_Inkunabeln+'!A268</f>
        <v>259</v>
      </c>
      <c r="B268" s="63" t="str">
        <f>'II_Inkunabeln+'!B268</f>
        <v>L-1497-315503602</v>
      </c>
      <c r="C268" s="63">
        <f>'II_Inkunabeln+'!C268</f>
        <v>1066973210</v>
      </c>
      <c r="D268" s="84" t="str">
        <f>'II_Inkunabeln+'!D268</f>
        <v>https://portal.dnb.de/opac.htm?method=simpleSearch&amp;cqlMode=true&amp;query=idn%3D1066973210</v>
      </c>
      <c r="E268" s="65" t="str">
        <f>'II_Inkunabeln+'!E268</f>
        <v>II 18,4b</v>
      </c>
      <c r="F268" s="65">
        <f>'II_Inkunabeln+'!H268</f>
        <v>0</v>
      </c>
      <c r="G268" s="93">
        <f>'II_Inkunabeln+'!X268</f>
        <v>0</v>
      </c>
      <c r="H268" s="93">
        <f>'II_Inkunabeln+'!AA268</f>
        <v>0</v>
      </c>
      <c r="I268" s="93">
        <f>'II_Inkunabeln+'!AC268</f>
        <v>0</v>
      </c>
      <c r="J268" s="94"/>
      <c r="K268" s="93">
        <f>'II_Inkunabeln+'!AD268</f>
        <v>0</v>
      </c>
      <c r="L268" s="94"/>
      <c r="M268" s="94"/>
      <c r="N268" s="94"/>
      <c r="O268" s="94"/>
      <c r="P268" s="94"/>
      <c r="Q268" s="94"/>
      <c r="R268" s="94"/>
      <c r="S268" s="94"/>
      <c r="T268" s="94"/>
      <c r="U268" s="94"/>
      <c r="V268" s="94"/>
      <c r="W268" s="94">
        <f>'II_Inkunabeln+'!BA268</f>
        <v>0</v>
      </c>
      <c r="X268" s="108"/>
      <c r="Y268" s="93">
        <f>'II_Inkunabeln+'!BI268</f>
        <v>0</v>
      </c>
      <c r="Z268" s="81">
        <f>'II_Inkunabeln+'!BJ268</f>
        <v>0</v>
      </c>
    </row>
    <row r="269" spans="1:26" x14ac:dyDescent="0.25">
      <c r="A269" s="63">
        <f>'II_Inkunabeln+'!A269</f>
        <v>260</v>
      </c>
      <c r="B269" s="63" t="str">
        <f>'II_Inkunabeln+'!B269</f>
        <v>L-1498-327280026</v>
      </c>
      <c r="C269" s="63">
        <f>'II_Inkunabeln+'!C269</f>
        <v>1072320371</v>
      </c>
      <c r="D269" s="84" t="str">
        <f>'II_Inkunabeln+'!D269</f>
        <v>https://portal.dnb.de/opac.htm?method=simpleSearch&amp;cqlMode=true&amp;query=idn%3D1072320371</v>
      </c>
      <c r="E269" s="65" t="str">
        <f>'II_Inkunabeln+'!E269</f>
        <v>II 18,5a</v>
      </c>
      <c r="F269" s="65">
        <f>'II_Inkunabeln+'!H269</f>
        <v>0</v>
      </c>
      <c r="G269" s="93">
        <f>'II_Inkunabeln+'!X269</f>
        <v>0</v>
      </c>
      <c r="H269" s="93">
        <f>'II_Inkunabeln+'!AA269</f>
        <v>0</v>
      </c>
      <c r="I269" s="93">
        <f>'II_Inkunabeln+'!AC269</f>
        <v>0</v>
      </c>
      <c r="J269" s="94"/>
      <c r="K269" s="93">
        <f>'II_Inkunabeln+'!AD269</f>
        <v>0</v>
      </c>
      <c r="L269" s="94"/>
      <c r="M269" s="94"/>
      <c r="N269" s="94"/>
      <c r="O269" s="94"/>
      <c r="P269" s="94"/>
      <c r="Q269" s="94"/>
      <c r="R269" s="94"/>
      <c r="S269" s="94"/>
      <c r="T269" s="94"/>
      <c r="U269" s="94"/>
      <c r="V269" s="94"/>
      <c r="W269" s="94">
        <f>'II_Inkunabeln+'!BA269</f>
        <v>0</v>
      </c>
      <c r="X269" s="108"/>
      <c r="Y269" s="93">
        <f>'II_Inkunabeln+'!BI269</f>
        <v>0</v>
      </c>
      <c r="Z269" s="81">
        <f>'II_Inkunabeln+'!BJ269</f>
        <v>0</v>
      </c>
    </row>
    <row r="270" spans="1:26" x14ac:dyDescent="0.25">
      <c r="A270" s="63">
        <f>'II_Inkunabeln+'!A270</f>
        <v>261</v>
      </c>
      <c r="B270" s="63" t="str">
        <f>'II_Inkunabeln+'!B270</f>
        <v>L-1499-327280115</v>
      </c>
      <c r="C270" s="63">
        <f>'II_Inkunabeln+'!C270</f>
        <v>1072320568</v>
      </c>
      <c r="D270" s="84" t="str">
        <f>'II_Inkunabeln+'!D270</f>
        <v>https://portal.dnb.de/opac.htm?method=simpleSearch&amp;cqlMode=true&amp;query=idn%3D1072320568</v>
      </c>
      <c r="E270" s="65" t="str">
        <f>'II_Inkunabeln+'!E270</f>
        <v>II 18,5b</v>
      </c>
      <c r="F270" s="65">
        <f>'II_Inkunabeln+'!H270</f>
        <v>0</v>
      </c>
      <c r="G270" s="93">
        <f>'II_Inkunabeln+'!X270</f>
        <v>0</v>
      </c>
      <c r="H270" s="93">
        <f>'II_Inkunabeln+'!AA270</f>
        <v>0</v>
      </c>
      <c r="I270" s="93">
        <f>'II_Inkunabeln+'!AC270</f>
        <v>0</v>
      </c>
      <c r="J270" s="94"/>
      <c r="K270" s="93">
        <f>'II_Inkunabeln+'!AD270</f>
        <v>0</v>
      </c>
      <c r="L270" s="94"/>
      <c r="M270" s="94"/>
      <c r="N270" s="94"/>
      <c r="O270" s="94"/>
      <c r="P270" s="94"/>
      <c r="Q270" s="94"/>
      <c r="R270" s="94"/>
      <c r="S270" s="94"/>
      <c r="T270" s="94"/>
      <c r="U270" s="94"/>
      <c r="V270" s="94"/>
      <c r="W270" s="94">
        <f>'II_Inkunabeln+'!BA270</f>
        <v>0</v>
      </c>
      <c r="X270" s="108"/>
      <c r="Y270" s="93">
        <f>'II_Inkunabeln+'!BI270</f>
        <v>0</v>
      </c>
      <c r="Z270" s="81">
        <f>'II_Inkunabeln+'!BJ270</f>
        <v>0</v>
      </c>
    </row>
    <row r="271" spans="1:26" x14ac:dyDescent="0.25">
      <c r="A271" s="63">
        <f>'II_Inkunabeln+'!A271</f>
        <v>262</v>
      </c>
      <c r="B271" s="63" t="str">
        <f>'II_Inkunabeln+'!B271</f>
        <v>L-1476-32685570X</v>
      </c>
      <c r="C271" s="63">
        <f>'II_Inkunabeln+'!C271</f>
        <v>1072059312</v>
      </c>
      <c r="D271" s="84" t="str">
        <f>'II_Inkunabeln+'!D271</f>
        <v>https://portal.dnb.de/opac.htm?method=simpleSearch&amp;cqlMode=true&amp;query=idn%3D1072059312</v>
      </c>
      <c r="E271" s="65" t="str">
        <f>'II_Inkunabeln+'!E271</f>
        <v>II 19,1a</v>
      </c>
      <c r="F271" s="65">
        <f>'II_Inkunabeln+'!H271</f>
        <v>0</v>
      </c>
      <c r="G271" s="93">
        <f>'II_Inkunabeln+'!X271</f>
        <v>0</v>
      </c>
      <c r="H271" s="93">
        <f>'II_Inkunabeln+'!AA271</f>
        <v>0</v>
      </c>
      <c r="I271" s="93">
        <f>'II_Inkunabeln+'!AC271</f>
        <v>0</v>
      </c>
      <c r="J271" s="94"/>
      <c r="K271" s="93">
        <f>'II_Inkunabeln+'!AD271</f>
        <v>0</v>
      </c>
      <c r="L271" s="94"/>
      <c r="M271" s="94"/>
      <c r="N271" s="94"/>
      <c r="O271" s="94"/>
      <c r="P271" s="94"/>
      <c r="Q271" s="94"/>
      <c r="R271" s="94"/>
      <c r="S271" s="94"/>
      <c r="T271" s="94"/>
      <c r="U271" s="94"/>
      <c r="V271" s="94"/>
      <c r="W271" s="94">
        <f>'II_Inkunabeln+'!BA271</f>
        <v>0</v>
      </c>
      <c r="X271" s="108"/>
      <c r="Y271" s="93">
        <f>'II_Inkunabeln+'!BI271</f>
        <v>0</v>
      </c>
      <c r="Z271" s="81">
        <f>'II_Inkunabeln+'!BJ271</f>
        <v>0</v>
      </c>
    </row>
    <row r="272" spans="1:26" x14ac:dyDescent="0.25">
      <c r="A272" s="63">
        <f>'II_Inkunabeln+'!A272</f>
        <v>263</v>
      </c>
      <c r="B272" s="63" t="str">
        <f>'II_Inkunabeln+'!B272</f>
        <v>L-1488-316402206</v>
      </c>
      <c r="C272" s="63">
        <f>'II_Inkunabeln+'!C272</f>
        <v>1067438289</v>
      </c>
      <c r="D272" s="84" t="str">
        <f>'II_Inkunabeln+'!D272</f>
        <v>https://portal.dnb.de/opac.htm?method=simpleSearch&amp;cqlMode=true&amp;query=idn%3D1067438289</v>
      </c>
      <c r="E272" s="65" t="str">
        <f>'II_Inkunabeln+'!E272</f>
        <v>II 19,2a - Fragm.</v>
      </c>
      <c r="F272" s="65">
        <f>'II_Inkunabeln+'!H272</f>
        <v>0</v>
      </c>
      <c r="G272" s="93">
        <f>'II_Inkunabeln+'!X272</f>
        <v>0</v>
      </c>
      <c r="H272" s="93">
        <f>'II_Inkunabeln+'!AA272</f>
        <v>0</v>
      </c>
      <c r="I272" s="93">
        <f>'II_Inkunabeln+'!AC272</f>
        <v>0</v>
      </c>
      <c r="J272" s="94"/>
      <c r="K272" s="93">
        <f>'II_Inkunabeln+'!AD272</f>
        <v>0</v>
      </c>
      <c r="L272" s="94"/>
      <c r="M272" s="94"/>
      <c r="N272" s="94"/>
      <c r="O272" s="94"/>
      <c r="P272" s="94"/>
      <c r="Q272" s="94"/>
      <c r="R272" s="94"/>
      <c r="S272" s="94"/>
      <c r="T272" s="94"/>
      <c r="U272" s="94"/>
      <c r="V272" s="94"/>
      <c r="W272" s="94">
        <f>'II_Inkunabeln+'!BA272</f>
        <v>0</v>
      </c>
      <c r="X272" s="108"/>
      <c r="Y272" s="93">
        <f>'II_Inkunabeln+'!BI272</f>
        <v>0</v>
      </c>
      <c r="Z272" s="81">
        <f>'II_Inkunabeln+'!BJ272</f>
        <v>0</v>
      </c>
    </row>
    <row r="273" spans="1:26" x14ac:dyDescent="0.25">
      <c r="A273" s="63">
        <f>'II_Inkunabeln+'!A273</f>
        <v>264</v>
      </c>
      <c r="B273" s="63" t="str">
        <f>'II_Inkunabeln+'!B273</f>
        <v>L-1487-316402281</v>
      </c>
      <c r="C273" s="63">
        <f>'II_Inkunabeln+'!C273</f>
        <v>1067438548</v>
      </c>
      <c r="D273" s="84" t="str">
        <f>'II_Inkunabeln+'!D273</f>
        <v>https://portal.dnb.de/opac.htm?method=simpleSearch&amp;cqlMode=true&amp;query=idn%3D1067438548</v>
      </c>
      <c r="E273" s="65" t="str">
        <f>'II_Inkunabeln+'!E273</f>
        <v>II 19,2c - Fragm.</v>
      </c>
      <c r="F273" s="65">
        <f>'II_Inkunabeln+'!H273</f>
        <v>0</v>
      </c>
      <c r="G273" s="93">
        <f>'II_Inkunabeln+'!X273</f>
        <v>0</v>
      </c>
      <c r="H273" s="93">
        <f>'II_Inkunabeln+'!AA273</f>
        <v>0</v>
      </c>
      <c r="I273" s="93">
        <f>'II_Inkunabeln+'!AC273</f>
        <v>0</v>
      </c>
      <c r="J273" s="94"/>
      <c r="K273" s="93">
        <f>'II_Inkunabeln+'!AD273</f>
        <v>0</v>
      </c>
      <c r="L273" s="94"/>
      <c r="M273" s="94"/>
      <c r="N273" s="94"/>
      <c r="O273" s="94"/>
      <c r="P273" s="94"/>
      <c r="Q273" s="94"/>
      <c r="R273" s="94"/>
      <c r="S273" s="94"/>
      <c r="T273" s="94"/>
      <c r="U273" s="94"/>
      <c r="V273" s="94"/>
      <c r="W273" s="94">
        <f>'II_Inkunabeln+'!BA273</f>
        <v>0</v>
      </c>
      <c r="X273" s="108"/>
      <c r="Y273" s="93">
        <f>'II_Inkunabeln+'!BI273</f>
        <v>0</v>
      </c>
      <c r="Z273" s="81">
        <f>'II_Inkunabeln+'!BJ273</f>
        <v>0</v>
      </c>
    </row>
    <row r="274" spans="1:26" x14ac:dyDescent="0.25">
      <c r="A274" s="63">
        <f>'II_Inkunabeln+'!A274</f>
        <v>265</v>
      </c>
      <c r="B274" s="63" t="str">
        <f>'II_Inkunabeln+'!B274</f>
        <v>L-1487-316402540</v>
      </c>
      <c r="C274" s="63">
        <f>'II_Inkunabeln+'!C274</f>
        <v>1067439005</v>
      </c>
      <c r="D274" s="84" t="str">
        <f>'II_Inkunabeln+'!D274</f>
        <v>https://portal.dnb.de/opac.htm?method=simpleSearch&amp;cqlMode=true&amp;query=idn%3D1067439005</v>
      </c>
      <c r="E274" s="65" t="str">
        <f>'II_Inkunabeln+'!E274</f>
        <v>II 19,2d - Fragm.</v>
      </c>
      <c r="F274" s="65">
        <f>'II_Inkunabeln+'!H274</f>
        <v>0</v>
      </c>
      <c r="G274" s="93">
        <f>'II_Inkunabeln+'!X274</f>
        <v>0</v>
      </c>
      <c r="H274" s="93">
        <f>'II_Inkunabeln+'!AA274</f>
        <v>0</v>
      </c>
      <c r="I274" s="93">
        <f>'II_Inkunabeln+'!AC274</f>
        <v>0</v>
      </c>
      <c r="J274" s="94"/>
      <c r="K274" s="93">
        <f>'II_Inkunabeln+'!AD274</f>
        <v>0</v>
      </c>
      <c r="L274" s="94"/>
      <c r="M274" s="94"/>
      <c r="N274" s="94"/>
      <c r="O274" s="94"/>
      <c r="P274" s="94"/>
      <c r="Q274" s="94"/>
      <c r="R274" s="94"/>
      <c r="S274" s="94"/>
      <c r="T274" s="94"/>
      <c r="U274" s="94"/>
      <c r="V274" s="94"/>
      <c r="W274" s="94">
        <f>'II_Inkunabeln+'!BA274</f>
        <v>0</v>
      </c>
      <c r="X274" s="108"/>
      <c r="Y274" s="93">
        <f>'II_Inkunabeln+'!BI274</f>
        <v>0</v>
      </c>
      <c r="Z274" s="81">
        <f>'II_Inkunabeln+'!BJ274</f>
        <v>0</v>
      </c>
    </row>
    <row r="275" spans="1:26" x14ac:dyDescent="0.25">
      <c r="A275" s="63">
        <f>'II_Inkunabeln+'!A275</f>
        <v>266</v>
      </c>
      <c r="B275" s="63" t="str">
        <f>'II_Inkunabeln+'!B275</f>
        <v>L-1493-326855874</v>
      </c>
      <c r="C275" s="63">
        <f>'II_Inkunabeln+'!C275</f>
        <v>1072059665</v>
      </c>
      <c r="D275" s="84" t="str">
        <f>'II_Inkunabeln+'!D275</f>
        <v>https://portal.dnb.de/opac.htm?method=simpleSearch&amp;cqlMode=true&amp;query=idn%3D1072059665</v>
      </c>
      <c r="E275" s="65" t="str">
        <f>'II_Inkunabeln+'!E275</f>
        <v>II 20,1a</v>
      </c>
      <c r="F275" s="65">
        <f>'II_Inkunabeln+'!H275</f>
        <v>0</v>
      </c>
      <c r="G275" s="93">
        <f>'II_Inkunabeln+'!X275</f>
        <v>0</v>
      </c>
      <c r="H275" s="93">
        <f>'II_Inkunabeln+'!AA275</f>
        <v>0</v>
      </c>
      <c r="I275" s="93">
        <f>'II_Inkunabeln+'!AC275</f>
        <v>0</v>
      </c>
      <c r="J275" s="94"/>
      <c r="K275" s="93">
        <f>'II_Inkunabeln+'!AD275</f>
        <v>0</v>
      </c>
      <c r="L275" s="94"/>
      <c r="M275" s="94"/>
      <c r="N275" s="94"/>
      <c r="O275" s="94"/>
      <c r="P275" s="94"/>
      <c r="Q275" s="94"/>
      <c r="R275" s="94"/>
      <c r="S275" s="94"/>
      <c r="T275" s="94"/>
      <c r="U275" s="94"/>
      <c r="V275" s="94"/>
      <c r="W275" s="94">
        <f>'II_Inkunabeln+'!BA275</f>
        <v>0</v>
      </c>
      <c r="X275" s="108"/>
      <c r="Y275" s="93">
        <f>'II_Inkunabeln+'!BI275</f>
        <v>0</v>
      </c>
      <c r="Z275" s="81">
        <f>'II_Inkunabeln+'!BJ275</f>
        <v>0</v>
      </c>
    </row>
    <row r="276" spans="1:26" x14ac:dyDescent="0.25">
      <c r="A276" s="63">
        <f>'II_Inkunabeln+'!A276</f>
        <v>267</v>
      </c>
      <c r="B276" s="63" t="str">
        <f>'II_Inkunabeln+'!B276</f>
        <v>L-1474-315497467</v>
      </c>
      <c r="C276" s="63">
        <f>'II_Inkunabeln+'!C276</f>
        <v>1066967202</v>
      </c>
      <c r="D276" s="84" t="str">
        <f>'II_Inkunabeln+'!D276</f>
        <v>https://portal.dnb.de/opac.htm?method=simpleSearch&amp;cqlMode=true&amp;query=idn%3D1066967202</v>
      </c>
      <c r="E276" s="65" t="str">
        <f>'II_Inkunabeln+'!E276</f>
        <v>II 21,1a</v>
      </c>
      <c r="F276" s="65">
        <f>'II_Inkunabeln+'!H276</f>
        <v>0</v>
      </c>
      <c r="G276" s="93">
        <f>'II_Inkunabeln+'!X276</f>
        <v>0</v>
      </c>
      <c r="H276" s="93">
        <f>'II_Inkunabeln+'!AA276</f>
        <v>0</v>
      </c>
      <c r="I276" s="93">
        <f>'II_Inkunabeln+'!AC276</f>
        <v>0</v>
      </c>
      <c r="J276" s="94"/>
      <c r="K276" s="93">
        <f>'II_Inkunabeln+'!AD276</f>
        <v>0</v>
      </c>
      <c r="L276" s="94"/>
      <c r="M276" s="94"/>
      <c r="N276" s="94"/>
      <c r="O276" s="94"/>
      <c r="P276" s="94"/>
      <c r="Q276" s="94"/>
      <c r="R276" s="94"/>
      <c r="S276" s="94"/>
      <c r="T276" s="94"/>
      <c r="U276" s="94"/>
      <c r="V276" s="94"/>
      <c r="W276" s="94">
        <f>'II_Inkunabeln+'!BA276</f>
        <v>0</v>
      </c>
      <c r="X276" s="108"/>
      <c r="Y276" s="93">
        <f>'II_Inkunabeln+'!BI276</f>
        <v>0</v>
      </c>
      <c r="Z276" s="81">
        <f>'II_Inkunabeln+'!BJ276</f>
        <v>0</v>
      </c>
    </row>
    <row r="277" spans="1:26" x14ac:dyDescent="0.25">
      <c r="A277" s="63">
        <f>'II_Inkunabeln+'!A277</f>
        <v>268</v>
      </c>
      <c r="B277" s="63" t="str">
        <f>'II_Inkunabeln+'!B277</f>
        <v>L-1476-316067881</v>
      </c>
      <c r="C277" s="63">
        <f>'II_Inkunabeln+'!C277</f>
        <v>1066967202</v>
      </c>
      <c r="D277" s="84" t="str">
        <f>'II_Inkunabeln+'!D277</f>
        <v>https://portal.dnb.de/opac.htm?method=simpleSearch&amp;cqlMode=true&amp;query=idn%3D1066967202</v>
      </c>
      <c r="E277" s="65" t="str">
        <f>'II_Inkunabeln+'!E277</f>
        <v>II 21,1b - Fragm.</v>
      </c>
      <c r="F277" s="65">
        <f>'II_Inkunabeln+'!H277</f>
        <v>0</v>
      </c>
      <c r="G277" s="93">
        <f>'II_Inkunabeln+'!X277</f>
        <v>0</v>
      </c>
      <c r="H277" s="93">
        <f>'II_Inkunabeln+'!AA277</f>
        <v>0</v>
      </c>
      <c r="I277" s="93">
        <f>'II_Inkunabeln+'!AC277</f>
        <v>0</v>
      </c>
      <c r="J277" s="94"/>
      <c r="K277" s="93">
        <f>'II_Inkunabeln+'!AD277</f>
        <v>0</v>
      </c>
      <c r="L277" s="94"/>
      <c r="M277" s="94"/>
      <c r="N277" s="94"/>
      <c r="O277" s="94"/>
      <c r="P277" s="94"/>
      <c r="Q277" s="94"/>
      <c r="R277" s="94"/>
      <c r="S277" s="94"/>
      <c r="T277" s="94"/>
      <c r="U277" s="94"/>
      <c r="V277" s="94"/>
      <c r="W277" s="94">
        <f>'II_Inkunabeln+'!BA277</f>
        <v>0</v>
      </c>
      <c r="X277" s="108"/>
      <c r="Y277" s="93">
        <f>'II_Inkunabeln+'!BI277</f>
        <v>0</v>
      </c>
      <c r="Z277" s="81">
        <f>'II_Inkunabeln+'!BJ277</f>
        <v>0</v>
      </c>
    </row>
    <row r="278" spans="1:26" x14ac:dyDescent="0.25">
      <c r="A278" s="63">
        <f>'II_Inkunabeln+'!A278</f>
        <v>269</v>
      </c>
      <c r="B278" s="63" t="str">
        <f>'II_Inkunabeln+'!B278</f>
        <v>L-1474-315497882</v>
      </c>
      <c r="C278" s="63">
        <f>'II_Inkunabeln+'!C278</f>
        <v>1066967636</v>
      </c>
      <c r="D278" s="84" t="str">
        <f>'II_Inkunabeln+'!D278</f>
        <v>https://portal.dnb.de/opac.htm?method=simpleSearch&amp;cqlMode=true&amp;query=idn%3D1066967636</v>
      </c>
      <c r="E278" s="65" t="str">
        <f>'II_Inkunabeln+'!E278</f>
        <v>II 21,1c</v>
      </c>
      <c r="F278" s="65">
        <f>'II_Inkunabeln+'!H278</f>
        <v>0</v>
      </c>
      <c r="G278" s="93">
        <f>'II_Inkunabeln+'!X278</f>
        <v>0</v>
      </c>
      <c r="H278" s="93">
        <f>'II_Inkunabeln+'!AA278</f>
        <v>0</v>
      </c>
      <c r="I278" s="93">
        <f>'II_Inkunabeln+'!AC278</f>
        <v>0</v>
      </c>
      <c r="J278" s="94"/>
      <c r="K278" s="93">
        <f>'II_Inkunabeln+'!AD278</f>
        <v>0</v>
      </c>
      <c r="L278" s="94"/>
      <c r="M278" s="94"/>
      <c r="N278" s="94"/>
      <c r="O278" s="94"/>
      <c r="P278" s="94"/>
      <c r="Q278" s="94"/>
      <c r="R278" s="94"/>
      <c r="S278" s="94"/>
      <c r="T278" s="94"/>
      <c r="U278" s="94"/>
      <c r="V278" s="94"/>
      <c r="W278" s="94">
        <f>'II_Inkunabeln+'!BA278</f>
        <v>0</v>
      </c>
      <c r="X278" s="108"/>
      <c r="Y278" s="93">
        <f>'II_Inkunabeln+'!BI278</f>
        <v>0</v>
      </c>
      <c r="Z278" s="81">
        <f>'II_Inkunabeln+'!BJ278</f>
        <v>0</v>
      </c>
    </row>
    <row r="279" spans="1:26" x14ac:dyDescent="0.25">
      <c r="A279" s="63">
        <f>'II_Inkunabeln+'!A279</f>
        <v>270</v>
      </c>
      <c r="B279" s="63" t="str">
        <f>'II_Inkunabeln+'!B279</f>
        <v>L-1475-316068217</v>
      </c>
      <c r="C279" s="63">
        <f>'II_Inkunabeln+'!C279</f>
        <v>1067300287</v>
      </c>
      <c r="D279" s="84" t="str">
        <f>'II_Inkunabeln+'!D279</f>
        <v>https://portal.dnb.de/opac.htm?method=simpleSearch&amp;cqlMode=true&amp;query=idn%3D1067300287</v>
      </c>
      <c r="E279" s="65" t="str">
        <f>'II_Inkunabeln+'!E279</f>
        <v>II 21,1d - Fragm.</v>
      </c>
      <c r="F279" s="65">
        <f>'II_Inkunabeln+'!H279</f>
        <v>0</v>
      </c>
      <c r="G279" s="93">
        <f>'II_Inkunabeln+'!X279</f>
        <v>0</v>
      </c>
      <c r="H279" s="93">
        <f>'II_Inkunabeln+'!AA279</f>
        <v>0</v>
      </c>
      <c r="I279" s="93">
        <f>'II_Inkunabeln+'!AC279</f>
        <v>0</v>
      </c>
      <c r="J279" s="94"/>
      <c r="K279" s="93">
        <f>'II_Inkunabeln+'!AD279</f>
        <v>0</v>
      </c>
      <c r="L279" s="94"/>
      <c r="M279" s="94"/>
      <c r="N279" s="94"/>
      <c r="O279" s="94"/>
      <c r="P279" s="94"/>
      <c r="Q279" s="94"/>
      <c r="R279" s="94"/>
      <c r="S279" s="94"/>
      <c r="T279" s="94"/>
      <c r="U279" s="94"/>
      <c r="V279" s="94"/>
      <c r="W279" s="94">
        <f>'II_Inkunabeln+'!BA279</f>
        <v>0</v>
      </c>
      <c r="X279" s="108"/>
      <c r="Y279" s="93">
        <f>'II_Inkunabeln+'!BI279</f>
        <v>0</v>
      </c>
      <c r="Z279" s="81">
        <f>'II_Inkunabeln+'!BJ279</f>
        <v>0</v>
      </c>
    </row>
    <row r="280" spans="1:26" x14ac:dyDescent="0.25">
      <c r="A280" s="63">
        <f>'II_Inkunabeln+'!A280</f>
        <v>271</v>
      </c>
      <c r="B280" s="63" t="str">
        <f>'II_Inkunabeln+'!B280</f>
        <v>L-1483-315494964</v>
      </c>
      <c r="C280" s="63">
        <f>'II_Inkunabeln+'!C280</f>
        <v>1066964777</v>
      </c>
      <c r="D280" s="84" t="str">
        <f>'II_Inkunabeln+'!D280</f>
        <v>https://portal.dnb.de/opac.htm?method=simpleSearch&amp;cqlMode=true&amp;query=idn%3D1066964777</v>
      </c>
      <c r="E280" s="65" t="str">
        <f>'II_Inkunabeln+'!E280</f>
        <v>II 22,1b</v>
      </c>
      <c r="F280" s="65">
        <f>'II_Inkunabeln+'!H280</f>
        <v>0</v>
      </c>
      <c r="G280" s="93">
        <f>'II_Inkunabeln+'!X280</f>
        <v>0</v>
      </c>
      <c r="H280" s="93">
        <f>'II_Inkunabeln+'!AA280</f>
        <v>0</v>
      </c>
      <c r="I280" s="93">
        <f>'II_Inkunabeln+'!AC280</f>
        <v>0</v>
      </c>
      <c r="J280" s="94"/>
      <c r="K280" s="93">
        <f>'II_Inkunabeln+'!AD280</f>
        <v>0</v>
      </c>
      <c r="L280" s="94"/>
      <c r="M280" s="94"/>
      <c r="N280" s="94"/>
      <c r="O280" s="94"/>
      <c r="P280" s="94"/>
      <c r="Q280" s="94"/>
      <c r="R280" s="94"/>
      <c r="S280" s="94"/>
      <c r="T280" s="94"/>
      <c r="U280" s="94"/>
      <c r="V280" s="94"/>
      <c r="W280" s="94">
        <f>'II_Inkunabeln+'!BA280</f>
        <v>0</v>
      </c>
      <c r="X280" s="108"/>
      <c r="Y280" s="93">
        <f>'II_Inkunabeln+'!BI280</f>
        <v>0</v>
      </c>
      <c r="Z280" s="81">
        <f>'II_Inkunabeln+'!BJ280</f>
        <v>0</v>
      </c>
    </row>
    <row r="281" spans="1:26" x14ac:dyDescent="0.25">
      <c r="A281" s="63">
        <f>'II_Inkunabeln+'!A281</f>
        <v>272</v>
      </c>
      <c r="B281" s="63" t="str">
        <f>'II_Inkunabeln+'!B281</f>
        <v>L-1483-343704935</v>
      </c>
      <c r="C281" s="63">
        <f>'II_Inkunabeln+'!C281</f>
        <v>1079554416</v>
      </c>
      <c r="D281" s="84" t="str">
        <f>'II_Inkunabeln+'!D281</f>
        <v>https://portal.dnb.de/opac.htm?method=simpleSearch&amp;cqlMode=true&amp;query=idn%3D1079554416</v>
      </c>
      <c r="E281" s="65" t="str">
        <f>'II_Inkunabeln+'!E281</f>
        <v>II 22,1b (angebundenes Werk)</v>
      </c>
      <c r="F281" s="65">
        <f>'II_Inkunabeln+'!H281</f>
        <v>0</v>
      </c>
      <c r="G281" s="93">
        <f>'II_Inkunabeln+'!X281</f>
        <v>0</v>
      </c>
      <c r="H281" s="93">
        <f>'II_Inkunabeln+'!AA281</f>
        <v>0</v>
      </c>
      <c r="I281" s="93">
        <f>'II_Inkunabeln+'!AC281</f>
        <v>0</v>
      </c>
      <c r="J281" s="94"/>
      <c r="K281" s="93">
        <f>'II_Inkunabeln+'!AD281</f>
        <v>0</v>
      </c>
      <c r="L281" s="94"/>
      <c r="M281" s="94"/>
      <c r="N281" s="94"/>
      <c r="O281" s="94"/>
      <c r="P281" s="94"/>
      <c r="Q281" s="94"/>
      <c r="R281" s="94"/>
      <c r="S281" s="94"/>
      <c r="T281" s="94"/>
      <c r="U281" s="94"/>
      <c r="V281" s="94"/>
      <c r="W281" s="94">
        <f>'II_Inkunabeln+'!BA281</f>
        <v>0</v>
      </c>
      <c r="X281" s="108"/>
      <c r="Y281" s="93">
        <f>'II_Inkunabeln+'!BI281</f>
        <v>0</v>
      </c>
      <c r="Z281" s="81">
        <f>'II_Inkunabeln+'!BJ281</f>
        <v>0</v>
      </c>
    </row>
    <row r="282" spans="1:26" x14ac:dyDescent="0.25">
      <c r="A282" s="63">
        <f>'II_Inkunabeln+'!A282</f>
        <v>273</v>
      </c>
      <c r="B282" s="63" t="str">
        <f>'II_Inkunabeln+'!B282</f>
        <v>L-1492-315501537</v>
      </c>
      <c r="C282" s="63">
        <f>'II_Inkunabeln+'!C282</f>
        <v>1066971161</v>
      </c>
      <c r="D282" s="84" t="str">
        <f>'II_Inkunabeln+'!D282</f>
        <v>https://portal.dnb.de/opac.htm?method=simpleSearch&amp;cqlMode=true&amp;query=idn%3D1066971161</v>
      </c>
      <c r="E282" s="65" t="str">
        <f>'II_Inkunabeln+'!E282</f>
        <v>II 22,1d</v>
      </c>
      <c r="F282" s="65">
        <f>'II_Inkunabeln+'!H282</f>
        <v>0</v>
      </c>
      <c r="G282" s="93">
        <f>'II_Inkunabeln+'!X282</f>
        <v>0</v>
      </c>
      <c r="H282" s="93">
        <f>'II_Inkunabeln+'!AA282</f>
        <v>0</v>
      </c>
      <c r="I282" s="93">
        <f>'II_Inkunabeln+'!AC282</f>
        <v>0</v>
      </c>
      <c r="J282" s="94"/>
      <c r="K282" s="93">
        <f>'II_Inkunabeln+'!AD282</f>
        <v>0</v>
      </c>
      <c r="L282" s="94"/>
      <c r="M282" s="94"/>
      <c r="N282" s="94"/>
      <c r="O282" s="94"/>
      <c r="P282" s="94"/>
      <c r="Q282" s="94"/>
      <c r="R282" s="94"/>
      <c r="S282" s="94"/>
      <c r="T282" s="94"/>
      <c r="U282" s="94"/>
      <c r="V282" s="94"/>
      <c r="W282" s="94">
        <f>'II_Inkunabeln+'!BA282</f>
        <v>0</v>
      </c>
      <c r="X282" s="108"/>
      <c r="Y282" s="93">
        <f>'II_Inkunabeln+'!BI282</f>
        <v>0</v>
      </c>
      <c r="Z282" s="81">
        <f>'II_Inkunabeln+'!BJ282</f>
        <v>0</v>
      </c>
    </row>
    <row r="283" spans="1:26" x14ac:dyDescent="0.25">
      <c r="A283" s="63">
        <f>'II_Inkunabeln+'!A283</f>
        <v>274</v>
      </c>
      <c r="B283" s="63" t="str">
        <f>'II_Inkunabeln+'!B283</f>
        <v>L-1488-326856064</v>
      </c>
      <c r="C283" s="63">
        <f>'II_Inkunabeln+'!C283</f>
        <v>1072060000</v>
      </c>
      <c r="D283" s="84" t="str">
        <f>'II_Inkunabeln+'!D283</f>
        <v>https://portal.dnb.de/opac.htm?method=simpleSearch&amp;cqlMode=true&amp;query=idn%3D1072060000</v>
      </c>
      <c r="E283" s="65" t="str">
        <f>'II_Inkunabeln+'!E283</f>
        <v>II 23,1a</v>
      </c>
      <c r="F283" s="65">
        <f>'II_Inkunabeln+'!H283</f>
        <v>0</v>
      </c>
      <c r="G283" s="93">
        <f>'II_Inkunabeln+'!X283</f>
        <v>0</v>
      </c>
      <c r="H283" s="93">
        <f>'II_Inkunabeln+'!AA283</f>
        <v>0</v>
      </c>
      <c r="I283" s="93">
        <f>'II_Inkunabeln+'!AC283</f>
        <v>0</v>
      </c>
      <c r="J283" s="94"/>
      <c r="K283" s="93">
        <f>'II_Inkunabeln+'!AD283</f>
        <v>0</v>
      </c>
      <c r="L283" s="94"/>
      <c r="M283" s="94"/>
      <c r="N283" s="94"/>
      <c r="O283" s="94"/>
      <c r="P283" s="94"/>
      <c r="Q283" s="94"/>
      <c r="R283" s="94"/>
      <c r="S283" s="94"/>
      <c r="T283" s="94"/>
      <c r="U283" s="94"/>
      <c r="V283" s="94"/>
      <c r="W283" s="94">
        <f>'II_Inkunabeln+'!BA283</f>
        <v>0</v>
      </c>
      <c r="X283" s="108"/>
      <c r="Y283" s="93">
        <f>'II_Inkunabeln+'!BI283</f>
        <v>0</v>
      </c>
      <c r="Z283" s="81">
        <f>'II_Inkunabeln+'!BJ283</f>
        <v>0</v>
      </c>
    </row>
    <row r="284" spans="1:26" x14ac:dyDescent="0.25">
      <c r="A284" s="63">
        <f>'II_Inkunabeln+'!A284</f>
        <v>275</v>
      </c>
      <c r="B284" s="63" t="str">
        <f>'II_Inkunabeln+'!B284</f>
        <v>L-1500-343707918</v>
      </c>
      <c r="C284" s="63">
        <f>'II_Inkunabeln+'!C284</f>
        <v>1079559167</v>
      </c>
      <c r="D284" s="84" t="str">
        <f>'II_Inkunabeln+'!D284</f>
        <v>https://portal.dnb.de/opac.htm?method=simpleSearch&amp;cqlMode=true&amp;query=idn%3D1079559167</v>
      </c>
      <c r="E284" s="65" t="str">
        <f>'II_Inkunabeln+'!E284</f>
        <v>II 23,2a</v>
      </c>
      <c r="F284" s="65">
        <f>'II_Inkunabeln+'!H284</f>
        <v>0</v>
      </c>
      <c r="G284" s="93">
        <f>'II_Inkunabeln+'!X284</f>
        <v>0</v>
      </c>
      <c r="H284" s="93">
        <f>'II_Inkunabeln+'!AA284</f>
        <v>0</v>
      </c>
      <c r="I284" s="93">
        <f>'II_Inkunabeln+'!AC284</f>
        <v>0</v>
      </c>
      <c r="J284" s="94"/>
      <c r="K284" s="93">
        <f>'II_Inkunabeln+'!AD284</f>
        <v>0</v>
      </c>
      <c r="L284" s="94"/>
      <c r="M284" s="94"/>
      <c r="N284" s="94"/>
      <c r="O284" s="94"/>
      <c r="P284" s="94"/>
      <c r="Q284" s="94"/>
      <c r="R284" s="94"/>
      <c r="S284" s="94"/>
      <c r="T284" s="94"/>
      <c r="U284" s="94"/>
      <c r="V284" s="94"/>
      <c r="W284" s="94">
        <f>'II_Inkunabeln+'!BA284</f>
        <v>0</v>
      </c>
      <c r="X284" s="108"/>
      <c r="Y284" s="93">
        <f>'II_Inkunabeln+'!BI284</f>
        <v>0</v>
      </c>
      <c r="Z284" s="81">
        <f>'II_Inkunabeln+'!BJ284</f>
        <v>0</v>
      </c>
    </row>
    <row r="285" spans="1:26" x14ac:dyDescent="0.25">
      <c r="A285" s="63">
        <f>'II_Inkunabeln+'!A285</f>
        <v>276</v>
      </c>
      <c r="B285" s="63" t="str">
        <f>'II_Inkunabeln+'!B285</f>
        <v>L-1470-315498706</v>
      </c>
      <c r="C285" s="63">
        <f>'II_Inkunabeln+'!C285</f>
        <v>1066968454</v>
      </c>
      <c r="D285" s="84" t="str">
        <f>'II_Inkunabeln+'!D285</f>
        <v>https://portal.dnb.de/opac.htm?method=simpleSearch&amp;cqlMode=true&amp;query=idn%3D1066968454</v>
      </c>
      <c r="E285" s="65" t="str">
        <f>'II_Inkunabeln+'!E285</f>
        <v>II 24,1a</v>
      </c>
      <c r="F285" s="65" t="str">
        <f>'II_Inkunabeln+'!H285</f>
        <v>bis 35 cm</v>
      </c>
      <c r="G285" s="93">
        <f>'II_Inkunabeln+'!X285</f>
        <v>0</v>
      </c>
      <c r="H285" s="93">
        <f>'II_Inkunabeln+'!AA285</f>
        <v>0</v>
      </c>
      <c r="I285" s="93">
        <f>'II_Inkunabeln+'!AC285</f>
        <v>0</v>
      </c>
      <c r="J285" s="94"/>
      <c r="K285" s="93">
        <f>'II_Inkunabeln+'!AD285</f>
        <v>0</v>
      </c>
      <c r="L285" s="94"/>
      <c r="M285" s="94"/>
      <c r="N285" s="94"/>
      <c r="O285" s="94"/>
      <c r="P285" s="94"/>
      <c r="Q285" s="94"/>
      <c r="R285" s="94"/>
      <c r="S285" s="94"/>
      <c r="T285" s="94"/>
      <c r="U285" s="94"/>
      <c r="V285" s="94"/>
      <c r="W285" s="94">
        <f>'II_Inkunabeln+'!BA285</f>
        <v>0</v>
      </c>
      <c r="X285" s="108"/>
      <c r="Y285" s="93">
        <f>'II_Inkunabeln+'!BI285</f>
        <v>0</v>
      </c>
      <c r="Z285" s="81">
        <f>'II_Inkunabeln+'!BJ285</f>
        <v>0</v>
      </c>
    </row>
    <row r="286" spans="1:26" x14ac:dyDescent="0.25">
      <c r="A286" s="63">
        <f>'II_Inkunabeln+'!A286</f>
        <v>0</v>
      </c>
      <c r="B286" s="63">
        <f>'II_Inkunabeln+'!B286</f>
        <v>0</v>
      </c>
      <c r="C286" s="63">
        <f>'II_Inkunabeln+'!C286</f>
        <v>0</v>
      </c>
      <c r="D286" s="84">
        <f>'II_Inkunabeln+'!D286</f>
        <v>0</v>
      </c>
      <c r="E286" s="65" t="str">
        <f>'II_Inkunabeln+'!E286</f>
        <v>II 24,1a</v>
      </c>
      <c r="F286" s="65">
        <f>'II_Inkunabeln+'!H286</f>
        <v>0</v>
      </c>
      <c r="G286" s="93">
        <f>'II_Inkunabeln+'!X286</f>
        <v>0</v>
      </c>
      <c r="H286" s="93">
        <f>'II_Inkunabeln+'!AA286</f>
        <v>0</v>
      </c>
      <c r="I286" s="93">
        <f>'II_Inkunabeln+'!AC286</f>
        <v>0</v>
      </c>
      <c r="J286" s="94"/>
      <c r="K286" s="93">
        <f>'II_Inkunabeln+'!AD286</f>
        <v>0</v>
      </c>
      <c r="L286" s="94"/>
      <c r="M286" s="94"/>
      <c r="N286" s="94"/>
      <c r="O286" s="94"/>
      <c r="P286" s="94"/>
      <c r="Q286" s="94"/>
      <c r="R286" s="94"/>
      <c r="S286" s="94"/>
      <c r="T286" s="94"/>
      <c r="U286" s="94"/>
      <c r="V286" s="94"/>
      <c r="W286" s="94">
        <f>'II_Inkunabeln+'!BA286</f>
        <v>0</v>
      </c>
      <c r="X286" s="108"/>
      <c r="Y286" s="93">
        <f>'II_Inkunabeln+'!BI286</f>
        <v>0</v>
      </c>
      <c r="Z286" s="81">
        <f>'II_Inkunabeln+'!BJ286</f>
        <v>0</v>
      </c>
    </row>
    <row r="287" spans="1:26" x14ac:dyDescent="0.25">
      <c r="A287" s="63">
        <f>'II_Inkunabeln+'!A287</f>
        <v>277</v>
      </c>
      <c r="B287" s="63" t="str">
        <f>'II_Inkunabeln+'!B287</f>
        <v>L-1472-315497181</v>
      </c>
      <c r="C287" s="63">
        <f>'II_Inkunabeln+'!C287</f>
        <v>1066966885</v>
      </c>
      <c r="D287" s="84" t="str">
        <f>'II_Inkunabeln+'!D287</f>
        <v>https://portal.dnb.de/opac.htm?method=simpleSearch&amp;cqlMode=true&amp;query=idn%3D1066966885</v>
      </c>
      <c r="E287" s="65" t="str">
        <f>'II_Inkunabeln+'!E287</f>
        <v>II 24,1b</v>
      </c>
      <c r="F287" s="65">
        <f>'II_Inkunabeln+'!H287</f>
        <v>0</v>
      </c>
      <c r="G287" s="93">
        <f>'II_Inkunabeln+'!X287</f>
        <v>0</v>
      </c>
      <c r="H287" s="93">
        <f>'II_Inkunabeln+'!AA287</f>
        <v>0</v>
      </c>
      <c r="I287" s="93">
        <f>'II_Inkunabeln+'!AC287</f>
        <v>0</v>
      </c>
      <c r="J287" s="94"/>
      <c r="K287" s="93">
        <f>'II_Inkunabeln+'!AD287</f>
        <v>0</v>
      </c>
      <c r="L287" s="94"/>
      <c r="M287" s="94"/>
      <c r="N287" s="94"/>
      <c r="O287" s="94"/>
      <c r="P287" s="94"/>
      <c r="Q287" s="94"/>
      <c r="R287" s="94"/>
      <c r="S287" s="94"/>
      <c r="T287" s="94"/>
      <c r="U287" s="94"/>
      <c r="V287" s="94"/>
      <c r="W287" s="94">
        <f>'II_Inkunabeln+'!BA287</f>
        <v>0</v>
      </c>
      <c r="X287" s="108"/>
      <c r="Y287" s="93">
        <f>'II_Inkunabeln+'!BI287</f>
        <v>0</v>
      </c>
      <c r="Z287" s="81">
        <f>'II_Inkunabeln+'!BJ287</f>
        <v>0</v>
      </c>
    </row>
    <row r="288" spans="1:26" x14ac:dyDescent="0.25">
      <c r="A288" s="63">
        <f>'II_Inkunabeln+'!A288</f>
        <v>278</v>
      </c>
      <c r="B288" s="63" t="str">
        <f>'II_Inkunabeln+'!B288</f>
        <v>L-1473-287114600</v>
      </c>
      <c r="C288" s="63">
        <f>'II_Inkunabeln+'!C288</f>
        <v>1048306054</v>
      </c>
      <c r="D288" s="84" t="str">
        <f>'II_Inkunabeln+'!D288</f>
        <v>https://portal.dnb.de/opac.htm?method=simpleSearch&amp;cqlMode=true&amp;query=idn%3D1048306054</v>
      </c>
      <c r="E288" s="65" t="str">
        <f>'II_Inkunabeln+'!E288</f>
        <v>II 24,1c -1</v>
      </c>
      <c r="F288" s="65" t="str">
        <f>'II_Inkunabeln+'!H288</f>
        <v>bis 42 cm</v>
      </c>
      <c r="G288" s="93">
        <f>'II_Inkunabeln+'!X288</f>
        <v>0</v>
      </c>
      <c r="H288" s="93">
        <f>'II_Inkunabeln+'!AA288</f>
        <v>0</v>
      </c>
      <c r="I288" s="93">
        <f>'II_Inkunabeln+'!AC288</f>
        <v>0</v>
      </c>
      <c r="J288" s="94"/>
      <c r="K288" s="93">
        <f>'II_Inkunabeln+'!AD288</f>
        <v>0</v>
      </c>
      <c r="L288" s="94"/>
      <c r="M288" s="94"/>
      <c r="N288" s="94"/>
      <c r="O288" s="94"/>
      <c r="P288" s="94"/>
      <c r="Q288" s="94"/>
      <c r="R288" s="94"/>
      <c r="S288" s="94"/>
      <c r="T288" s="94"/>
      <c r="U288" s="94"/>
      <c r="V288" s="94"/>
      <c r="W288" s="94">
        <f>'II_Inkunabeln+'!BA288</f>
        <v>0</v>
      </c>
      <c r="X288" s="108"/>
      <c r="Y288" s="93">
        <f>'II_Inkunabeln+'!BI288</f>
        <v>0</v>
      </c>
      <c r="Z288" s="81">
        <f>'II_Inkunabeln+'!BJ288</f>
        <v>0</v>
      </c>
    </row>
    <row r="289" spans="1:26" x14ac:dyDescent="0.25">
      <c r="A289" s="63">
        <f>'II_Inkunabeln+'!A289</f>
        <v>0</v>
      </c>
      <c r="B289" s="63">
        <f>'II_Inkunabeln+'!B289</f>
        <v>0</v>
      </c>
      <c r="C289" s="63">
        <f>'II_Inkunabeln+'!C289</f>
        <v>0</v>
      </c>
      <c r="D289" s="84">
        <f>'II_Inkunabeln+'!D289</f>
        <v>0</v>
      </c>
      <c r="E289" s="65" t="str">
        <f>'II_Inkunabeln+'!E289</f>
        <v>II 24,1c -2</v>
      </c>
      <c r="F289" s="65" t="str">
        <f>'II_Inkunabeln+'!H289</f>
        <v>bis 42 cm</v>
      </c>
      <c r="G289" s="93">
        <f>'II_Inkunabeln+'!X289</f>
        <v>0</v>
      </c>
      <c r="H289" s="93">
        <f>'II_Inkunabeln+'!AA289</f>
        <v>0</v>
      </c>
      <c r="I289" s="93">
        <f>'II_Inkunabeln+'!AC289</f>
        <v>0</v>
      </c>
      <c r="J289" s="94"/>
      <c r="K289" s="93">
        <f>'II_Inkunabeln+'!AD289</f>
        <v>0</v>
      </c>
      <c r="L289" s="94"/>
      <c r="M289" s="94"/>
      <c r="N289" s="94"/>
      <c r="O289" s="94"/>
      <c r="P289" s="94"/>
      <c r="Q289" s="94"/>
      <c r="R289" s="94"/>
      <c r="S289" s="94"/>
      <c r="T289" s="94"/>
      <c r="U289" s="94"/>
      <c r="V289" s="94"/>
      <c r="W289" s="94">
        <f>'II_Inkunabeln+'!BA289</f>
        <v>0</v>
      </c>
      <c r="X289" s="108"/>
      <c r="Y289" s="93">
        <f>'II_Inkunabeln+'!BI289</f>
        <v>0</v>
      </c>
      <c r="Z289" s="81">
        <f>'II_Inkunabeln+'!BJ289</f>
        <v>0</v>
      </c>
    </row>
    <row r="290" spans="1:26" x14ac:dyDescent="0.25">
      <c r="A290" s="63">
        <f>'II_Inkunabeln+'!A290</f>
        <v>279</v>
      </c>
      <c r="B290" s="63" t="str">
        <f>'II_Inkunabeln+'!B290</f>
        <v>L-1471-315498668</v>
      </c>
      <c r="C290" s="63">
        <f>'II_Inkunabeln+'!C290</f>
        <v>1066968411</v>
      </c>
      <c r="D290" s="84" t="str">
        <f>'II_Inkunabeln+'!D290</f>
        <v>https://portal.dnb.de/opac.htm?method=simpleSearch&amp;cqlMode=true&amp;query=idn%3D1066968411</v>
      </c>
      <c r="E290" s="65" t="str">
        <f>'II_Inkunabeln+'!E290</f>
        <v>II 24,1d</v>
      </c>
      <c r="F290" s="65" t="str">
        <f>'II_Inkunabeln+'!H290</f>
        <v>bis 35 cm</v>
      </c>
      <c r="G290" s="93">
        <f>'II_Inkunabeln+'!X290</f>
        <v>0</v>
      </c>
      <c r="H290" s="93">
        <f>'II_Inkunabeln+'!AA290</f>
        <v>0</v>
      </c>
      <c r="I290" s="93">
        <f>'II_Inkunabeln+'!AC290</f>
        <v>0</v>
      </c>
      <c r="J290" s="94"/>
      <c r="K290" s="93">
        <f>'II_Inkunabeln+'!AD290</f>
        <v>0</v>
      </c>
      <c r="L290" s="94"/>
      <c r="M290" s="94"/>
      <c r="N290" s="94"/>
      <c r="O290" s="94"/>
      <c r="P290" s="94"/>
      <c r="Q290" s="94"/>
      <c r="R290" s="94"/>
      <c r="S290" s="94"/>
      <c r="T290" s="94"/>
      <c r="U290" s="94"/>
      <c r="V290" s="94"/>
      <c r="W290" s="94">
        <f>'II_Inkunabeln+'!BA290</f>
        <v>0</v>
      </c>
      <c r="X290" s="108"/>
      <c r="Y290" s="93">
        <f>'II_Inkunabeln+'!BI290</f>
        <v>0</v>
      </c>
      <c r="Z290" s="81">
        <f>'II_Inkunabeln+'!BJ290</f>
        <v>0</v>
      </c>
    </row>
    <row r="291" spans="1:26" x14ac:dyDescent="0.25">
      <c r="A291" s="63">
        <f>'II_Inkunabeln+'!A291</f>
        <v>280</v>
      </c>
      <c r="B291" s="63" t="str">
        <f>'II_Inkunabeln+'!B291</f>
        <v>L-1474-315502959</v>
      </c>
      <c r="C291" s="63">
        <f>'II_Inkunabeln+'!C291</f>
        <v>1066972532</v>
      </c>
      <c r="D291" s="84" t="str">
        <f>'II_Inkunabeln+'!D291</f>
        <v>https://portal.dnb.de/opac.htm?method=simpleSearch&amp;cqlMode=true&amp;query=idn%3D1066972532</v>
      </c>
      <c r="E291" s="65" t="str">
        <f>'II_Inkunabeln+'!E291</f>
        <v>II 24,2a</v>
      </c>
      <c r="F291" s="65" t="str">
        <f>'II_Inkunabeln+'!H291</f>
        <v>bis 42 cm</v>
      </c>
      <c r="G291" s="93">
        <f>'II_Inkunabeln+'!X291</f>
        <v>0</v>
      </c>
      <c r="H291" s="93">
        <f>'II_Inkunabeln+'!AA291</f>
        <v>0</v>
      </c>
      <c r="I291" s="93">
        <f>'II_Inkunabeln+'!AC291</f>
        <v>0</v>
      </c>
      <c r="J291" s="94"/>
      <c r="K291" s="93">
        <f>'II_Inkunabeln+'!AD291</f>
        <v>0</v>
      </c>
      <c r="L291" s="94"/>
      <c r="M291" s="94"/>
      <c r="N291" s="94"/>
      <c r="O291" s="94"/>
      <c r="P291" s="94"/>
      <c r="Q291" s="94"/>
      <c r="R291" s="94"/>
      <c r="S291" s="94"/>
      <c r="T291" s="94"/>
      <c r="U291" s="94"/>
      <c r="V291" s="94"/>
      <c r="W291" s="94">
        <f>'II_Inkunabeln+'!BA291</f>
        <v>0</v>
      </c>
      <c r="X291" s="108"/>
      <c r="Y291" s="93">
        <f>'II_Inkunabeln+'!BI291</f>
        <v>0</v>
      </c>
      <c r="Z291" s="81">
        <f>'II_Inkunabeln+'!BJ291</f>
        <v>0</v>
      </c>
    </row>
    <row r="292" spans="1:26" x14ac:dyDescent="0.25">
      <c r="A292" s="63">
        <f>'II_Inkunabeln+'!A292</f>
        <v>281</v>
      </c>
      <c r="B292" s="63" t="str">
        <f>'II_Inkunabeln+'!B292</f>
        <v>L-1475-316068608</v>
      </c>
      <c r="C292" s="63">
        <f>'II_Inkunabeln+'!C292</f>
        <v>1067300988</v>
      </c>
      <c r="D292" s="84" t="str">
        <f>'II_Inkunabeln+'!D292</f>
        <v>https://portal.dnb.de/opac.htm?method=simpleSearch&amp;cqlMode=true&amp;query=idn%3D1067300988</v>
      </c>
      <c r="E292" s="65" t="str">
        <f>'II_Inkunabeln+'!E292</f>
        <v>II 24,2ba - Fragm.</v>
      </c>
      <c r="F292" s="65">
        <f>'II_Inkunabeln+'!H292</f>
        <v>0</v>
      </c>
      <c r="G292" s="93">
        <f>'II_Inkunabeln+'!X292</f>
        <v>0</v>
      </c>
      <c r="H292" s="93">
        <f>'II_Inkunabeln+'!AA292</f>
        <v>0</v>
      </c>
      <c r="I292" s="93">
        <f>'II_Inkunabeln+'!AC292</f>
        <v>0</v>
      </c>
      <c r="J292" s="94"/>
      <c r="K292" s="93">
        <f>'II_Inkunabeln+'!AD292</f>
        <v>0</v>
      </c>
      <c r="L292" s="94"/>
      <c r="M292" s="94"/>
      <c r="N292" s="94"/>
      <c r="O292" s="94"/>
      <c r="P292" s="94"/>
      <c r="Q292" s="94"/>
      <c r="R292" s="94"/>
      <c r="S292" s="94"/>
      <c r="T292" s="94"/>
      <c r="U292" s="94"/>
      <c r="V292" s="94"/>
      <c r="W292" s="94">
        <f>'II_Inkunabeln+'!BA292</f>
        <v>0</v>
      </c>
      <c r="X292" s="108"/>
      <c r="Y292" s="93">
        <f>'II_Inkunabeln+'!BI292</f>
        <v>0</v>
      </c>
      <c r="Z292" s="81">
        <f>'II_Inkunabeln+'!BJ292</f>
        <v>0</v>
      </c>
    </row>
    <row r="293" spans="1:26" x14ac:dyDescent="0.25">
      <c r="A293" s="63">
        <f>'II_Inkunabeln+'!A293</f>
        <v>282</v>
      </c>
      <c r="B293" s="63" t="str">
        <f>'II_Inkunabeln+'!B293</f>
        <v>L-1476-315500859</v>
      </c>
      <c r="C293" s="63">
        <f>'II_Inkunabeln+'!C293</f>
        <v>1066970491</v>
      </c>
      <c r="D293" s="84" t="str">
        <f>'II_Inkunabeln+'!D293</f>
        <v>https://portal.dnb.de/opac.htm?method=simpleSearch&amp;cqlMode=true&amp;query=idn%3D1066970491</v>
      </c>
      <c r="E293" s="65" t="str">
        <f>'II_Inkunabeln+'!E293</f>
        <v>II 24,2c</v>
      </c>
      <c r="F293" s="65" t="str">
        <f>'II_Inkunabeln+'!H293</f>
        <v>bis 42 cm</v>
      </c>
      <c r="G293" s="93">
        <f>'II_Inkunabeln+'!X293</f>
        <v>0</v>
      </c>
      <c r="H293" s="93">
        <f>'II_Inkunabeln+'!AA293</f>
        <v>0</v>
      </c>
      <c r="I293" s="93">
        <f>'II_Inkunabeln+'!AC293</f>
        <v>0</v>
      </c>
      <c r="J293" s="94"/>
      <c r="K293" s="93">
        <f>'II_Inkunabeln+'!AD293</f>
        <v>0</v>
      </c>
      <c r="L293" s="94"/>
      <c r="M293" s="94"/>
      <c r="N293" s="94"/>
      <c r="O293" s="94"/>
      <c r="P293" s="94"/>
      <c r="Q293" s="94"/>
      <c r="R293" s="94"/>
      <c r="S293" s="94"/>
      <c r="T293" s="94"/>
      <c r="U293" s="94"/>
      <c r="V293" s="94"/>
      <c r="W293" s="94">
        <f>'II_Inkunabeln+'!BA293</f>
        <v>0</v>
      </c>
      <c r="X293" s="108"/>
      <c r="Y293" s="93">
        <f>'II_Inkunabeln+'!BI293</f>
        <v>0</v>
      </c>
      <c r="Z293" s="81">
        <f>'II_Inkunabeln+'!BJ293</f>
        <v>0</v>
      </c>
    </row>
    <row r="294" spans="1:26" x14ac:dyDescent="0.25">
      <c r="A294" s="63">
        <f>'II_Inkunabeln+'!A294</f>
        <v>283</v>
      </c>
      <c r="B294" s="63" t="str">
        <f>'II_Inkunabeln+'!B294</f>
        <v>L-1475-315496754</v>
      </c>
      <c r="C294" s="63" t="str">
        <f>'II_Inkunabeln+'!C294</f>
        <v>106696646X</v>
      </c>
      <c r="D294" s="84" t="str">
        <f>'II_Inkunabeln+'!D294</f>
        <v>https://portal.dnb.de/opac.htm?method=simpleSearch&amp;cqlMode=true&amp;query=idn%3D106696646X</v>
      </c>
      <c r="E294" s="65" t="str">
        <f>'II_Inkunabeln+'!E294</f>
        <v>II 24,3 a</v>
      </c>
      <c r="F294" s="65" t="str">
        <f>'II_Inkunabeln+'!H294</f>
        <v>bis 42 cm</v>
      </c>
      <c r="G294" s="93">
        <f>'II_Inkunabeln+'!X294</f>
        <v>0</v>
      </c>
      <c r="H294" s="93">
        <f>'II_Inkunabeln+'!AA294</f>
        <v>0</v>
      </c>
      <c r="I294" s="93">
        <f>'II_Inkunabeln+'!AC294</f>
        <v>0</v>
      </c>
      <c r="J294" s="94"/>
      <c r="K294" s="93">
        <f>'II_Inkunabeln+'!AD294</f>
        <v>0</v>
      </c>
      <c r="L294" s="94"/>
      <c r="M294" s="94"/>
      <c r="N294" s="94"/>
      <c r="O294" s="94"/>
      <c r="P294" s="94"/>
      <c r="Q294" s="94"/>
      <c r="R294" s="94"/>
      <c r="S294" s="94"/>
      <c r="T294" s="94"/>
      <c r="U294" s="94"/>
      <c r="V294" s="94"/>
      <c r="W294" s="94">
        <f>'II_Inkunabeln+'!BA294</f>
        <v>0</v>
      </c>
      <c r="X294" s="108"/>
      <c r="Y294" s="93">
        <f>'II_Inkunabeln+'!BI294</f>
        <v>0</v>
      </c>
      <c r="Z294" s="81">
        <f>'II_Inkunabeln+'!BJ294</f>
        <v>0</v>
      </c>
    </row>
    <row r="295" spans="1:26" x14ac:dyDescent="0.25">
      <c r="A295" s="63">
        <f>'II_Inkunabeln+'!A295</f>
        <v>284</v>
      </c>
      <c r="B295" s="63" t="str">
        <f>'II_Inkunabeln+'!B295</f>
        <v>L-1481-315498129</v>
      </c>
      <c r="C295" s="63">
        <f>'II_Inkunabeln+'!C295</f>
        <v>1066967873</v>
      </c>
      <c r="D295" s="84" t="str">
        <f>'II_Inkunabeln+'!D295</f>
        <v>https://portal.dnb.de/opac.htm?method=simpleSearch&amp;cqlMode=true&amp;query=idn%3D1066967873</v>
      </c>
      <c r="E295" s="65" t="str">
        <f>'II_Inkunabeln+'!E295</f>
        <v>II 24,3 k</v>
      </c>
      <c r="F295" s="65" t="str">
        <f>'II_Inkunabeln+'!H295</f>
        <v>bis 42 cm</v>
      </c>
      <c r="G295" s="93">
        <f>'II_Inkunabeln+'!X295</f>
        <v>0</v>
      </c>
      <c r="H295" s="93">
        <f>'II_Inkunabeln+'!AA295</f>
        <v>0</v>
      </c>
      <c r="I295" s="93">
        <f>'II_Inkunabeln+'!AC295</f>
        <v>0</v>
      </c>
      <c r="J295" s="94"/>
      <c r="K295" s="93">
        <f>'II_Inkunabeln+'!AD295</f>
        <v>0</v>
      </c>
      <c r="L295" s="94"/>
      <c r="M295" s="94"/>
      <c r="N295" s="94"/>
      <c r="O295" s="94"/>
      <c r="P295" s="94"/>
      <c r="Q295" s="94"/>
      <c r="R295" s="94"/>
      <c r="S295" s="94"/>
      <c r="T295" s="94"/>
      <c r="U295" s="94"/>
      <c r="V295" s="94"/>
      <c r="W295" s="94">
        <f>'II_Inkunabeln+'!BA295</f>
        <v>0</v>
      </c>
      <c r="X295" s="108"/>
      <c r="Y295" s="93">
        <f>'II_Inkunabeln+'!BI295</f>
        <v>0</v>
      </c>
      <c r="Z295" s="81">
        <f>'II_Inkunabeln+'!BJ295</f>
        <v>0</v>
      </c>
    </row>
    <row r="296" spans="1:26" x14ac:dyDescent="0.25">
      <c r="A296" s="63">
        <f>'II_Inkunabeln+'!A296</f>
        <v>285</v>
      </c>
      <c r="B296" s="63" t="str">
        <f>'II_Inkunabeln+'!B296</f>
        <v>L-1498-315495499</v>
      </c>
      <c r="C296" s="63">
        <f>'II_Inkunabeln+'!C296</f>
        <v>1066965315</v>
      </c>
      <c r="D296" s="84" t="str">
        <f>'II_Inkunabeln+'!D296</f>
        <v>https://portal.dnb.de/opac.htm?method=simpleSearch&amp;cqlMode=true&amp;query=idn%3D1066965315</v>
      </c>
      <c r="E296" s="65" t="str">
        <f>'II_Inkunabeln+'!E296</f>
        <v>II 24,3a kursiv</v>
      </c>
      <c r="F296" s="65">
        <f>'II_Inkunabeln+'!H296</f>
        <v>0</v>
      </c>
      <c r="G296" s="93">
        <f>'II_Inkunabeln+'!X296</f>
        <v>0</v>
      </c>
      <c r="H296" s="93">
        <f>'II_Inkunabeln+'!AA296</f>
        <v>0</v>
      </c>
      <c r="I296" s="93">
        <f>'II_Inkunabeln+'!AC296</f>
        <v>0</v>
      </c>
      <c r="J296" s="94"/>
      <c r="K296" s="93">
        <f>'II_Inkunabeln+'!AD296</f>
        <v>0</v>
      </c>
      <c r="L296" s="94"/>
      <c r="M296" s="94"/>
      <c r="N296" s="94"/>
      <c r="O296" s="94"/>
      <c r="P296" s="94"/>
      <c r="Q296" s="94"/>
      <c r="R296" s="94"/>
      <c r="S296" s="94"/>
      <c r="T296" s="94"/>
      <c r="U296" s="94"/>
      <c r="V296" s="94"/>
      <c r="W296" s="94">
        <f>'II_Inkunabeln+'!BA296</f>
        <v>0</v>
      </c>
      <c r="X296" s="108"/>
      <c r="Y296" s="93">
        <f>'II_Inkunabeln+'!BI296</f>
        <v>0</v>
      </c>
      <c r="Z296" s="81">
        <f>'II_Inkunabeln+'!BJ296</f>
        <v>0</v>
      </c>
    </row>
    <row r="297" spans="1:26" x14ac:dyDescent="0.25">
      <c r="A297" s="63">
        <f>'II_Inkunabeln+'!A297</f>
        <v>286</v>
      </c>
      <c r="B297" s="63" t="str">
        <f>'II_Inkunabeln+'!B297</f>
        <v>L-1478-315495537</v>
      </c>
      <c r="C297" s="63">
        <f>'II_Inkunabeln+'!C297</f>
        <v>1067336133</v>
      </c>
      <c r="D297" s="84" t="str">
        <f>'II_Inkunabeln+'!D297</f>
        <v>https://portal.dnb.de/opac.htm?method=simpleSearch&amp;cqlMode=true&amp;query=idn%3D1067336133</v>
      </c>
      <c r="E297" s="65" t="str">
        <f>'II_Inkunabeln+'!E297</f>
        <v>II 24,3b</v>
      </c>
      <c r="F297" s="65" t="str">
        <f>'II_Inkunabeln+'!H297</f>
        <v>&gt; 42 cm</v>
      </c>
      <c r="G297" s="93">
        <f>'II_Inkunabeln+'!X297</f>
        <v>0</v>
      </c>
      <c r="H297" s="93">
        <f>'II_Inkunabeln+'!AA297</f>
        <v>0</v>
      </c>
      <c r="I297" s="93">
        <f>'II_Inkunabeln+'!AC297</f>
        <v>0</v>
      </c>
      <c r="J297" s="94"/>
      <c r="K297" s="93">
        <f>'II_Inkunabeln+'!AD297</f>
        <v>0</v>
      </c>
      <c r="L297" s="94"/>
      <c r="M297" s="94"/>
      <c r="N297" s="94"/>
      <c r="O297" s="94"/>
      <c r="P297" s="94"/>
      <c r="Q297" s="94"/>
      <c r="R297" s="94"/>
      <c r="S297" s="94"/>
      <c r="T297" s="94"/>
      <c r="U297" s="94"/>
      <c r="V297" s="94"/>
      <c r="W297" s="94">
        <f>'II_Inkunabeln+'!BA297</f>
        <v>0</v>
      </c>
      <c r="X297" s="108"/>
      <c r="Y297" s="93">
        <f>'II_Inkunabeln+'!BI297</f>
        <v>0</v>
      </c>
      <c r="Z297" s="81">
        <f>'II_Inkunabeln+'!BJ297</f>
        <v>0</v>
      </c>
    </row>
    <row r="298" spans="1:26" x14ac:dyDescent="0.25">
      <c r="A298" s="63">
        <f>'II_Inkunabeln+'!A298</f>
        <v>287</v>
      </c>
      <c r="B298" s="63" t="str">
        <f>'II_Inkunabeln+'!B298</f>
        <v>L-1478-315495545</v>
      </c>
      <c r="C298" s="63">
        <f>'II_Inkunabeln+'!C298</f>
        <v>1067336222</v>
      </c>
      <c r="D298" s="84" t="str">
        <f>'II_Inkunabeln+'!D298</f>
        <v>https://portal.dnb.de/opac.htm?method=simpleSearch&amp;cqlMode=true&amp;query=idn%3D1067336222</v>
      </c>
      <c r="E298" s="65" t="str">
        <f>'II_Inkunabeln+'!E298</f>
        <v>II 24,3c</v>
      </c>
      <c r="F298" s="65" t="str">
        <f>'II_Inkunabeln+'!H298</f>
        <v>&gt; 42 cm</v>
      </c>
      <c r="G298" s="93">
        <f>'II_Inkunabeln+'!X298</f>
        <v>0</v>
      </c>
      <c r="H298" s="93">
        <f>'II_Inkunabeln+'!AA298</f>
        <v>0</v>
      </c>
      <c r="I298" s="93">
        <f>'II_Inkunabeln+'!AC298</f>
        <v>0</v>
      </c>
      <c r="J298" s="94"/>
      <c r="K298" s="93">
        <f>'II_Inkunabeln+'!AD298</f>
        <v>0</v>
      </c>
      <c r="L298" s="94"/>
      <c r="M298" s="94"/>
      <c r="N298" s="94"/>
      <c r="O298" s="94"/>
      <c r="P298" s="94"/>
      <c r="Q298" s="94"/>
      <c r="R298" s="94"/>
      <c r="S298" s="94"/>
      <c r="T298" s="94"/>
      <c r="U298" s="94"/>
      <c r="V298" s="94"/>
      <c r="W298" s="94">
        <f>'II_Inkunabeln+'!BA298</f>
        <v>0</v>
      </c>
      <c r="X298" s="108"/>
      <c r="Y298" s="93">
        <f>'II_Inkunabeln+'!BI298</f>
        <v>0</v>
      </c>
      <c r="Z298" s="81">
        <f>'II_Inkunabeln+'!BJ298</f>
        <v>0</v>
      </c>
    </row>
    <row r="299" spans="1:26" x14ac:dyDescent="0.25">
      <c r="A299" s="63">
        <f>'II_Inkunabeln+'!A299</f>
        <v>288</v>
      </c>
      <c r="B299" s="63" t="str">
        <f>'II_Inkunabeln+'!B299</f>
        <v>L-1473-31549753X</v>
      </c>
      <c r="C299" s="63" t="str">
        <f>'II_Inkunabeln+'!C299</f>
        <v>106696727X</v>
      </c>
      <c r="D299" s="84" t="str">
        <f>'II_Inkunabeln+'!D299</f>
        <v>https://portal.dnb.de/opac.htm?method=simpleSearch&amp;cqlMode=true&amp;query=idn%3D106696727X</v>
      </c>
      <c r="E299" s="65" t="str">
        <f>'II_Inkunabeln+'!E299</f>
        <v>II 24,3c kursiv</v>
      </c>
      <c r="F299" s="65">
        <f>'II_Inkunabeln+'!H299</f>
        <v>0</v>
      </c>
      <c r="G299" s="93">
        <f>'II_Inkunabeln+'!X299</f>
        <v>0</v>
      </c>
      <c r="H299" s="93">
        <f>'II_Inkunabeln+'!AA299</f>
        <v>0</v>
      </c>
      <c r="I299" s="93">
        <f>'II_Inkunabeln+'!AC299</f>
        <v>0</v>
      </c>
      <c r="J299" s="94"/>
      <c r="K299" s="93">
        <f>'II_Inkunabeln+'!AD299</f>
        <v>0</v>
      </c>
      <c r="L299" s="94"/>
      <c r="M299" s="94"/>
      <c r="N299" s="94"/>
      <c r="O299" s="94"/>
      <c r="P299" s="94"/>
      <c r="Q299" s="94"/>
      <c r="R299" s="94"/>
      <c r="S299" s="94"/>
      <c r="T299" s="94"/>
      <c r="U299" s="94"/>
      <c r="V299" s="94"/>
      <c r="W299" s="94">
        <f>'II_Inkunabeln+'!BA299</f>
        <v>0</v>
      </c>
      <c r="X299" s="108"/>
      <c r="Y299" s="93">
        <f>'II_Inkunabeln+'!BI299</f>
        <v>0</v>
      </c>
      <c r="Z299" s="81">
        <f>'II_Inkunabeln+'!BJ299</f>
        <v>0</v>
      </c>
    </row>
    <row r="300" spans="1:26" x14ac:dyDescent="0.25">
      <c r="A300" s="63">
        <f>'II_Inkunabeln+'!A300</f>
        <v>289</v>
      </c>
      <c r="B300" s="63" t="str">
        <f>'II_Inkunabeln+'!B300</f>
        <v>L-1472-343956888</v>
      </c>
      <c r="C300" s="63">
        <f>'II_Inkunabeln+'!C300</f>
        <v>1079733698</v>
      </c>
      <c r="D300" s="84" t="str">
        <f>'II_Inkunabeln+'!D300</f>
        <v>https://portal.dnb.de/opac.htm?method=simpleSearch&amp;cqlMode=true&amp;query=idn%3D1079733698</v>
      </c>
      <c r="E300" s="65" t="str">
        <f>'II_Inkunabeln+'!E300</f>
        <v>II 24,3c kursiv (angebunden)</v>
      </c>
      <c r="F300" s="65">
        <f>'II_Inkunabeln+'!H300</f>
        <v>0</v>
      </c>
      <c r="G300" s="93">
        <f>'II_Inkunabeln+'!X300</f>
        <v>0</v>
      </c>
      <c r="H300" s="93">
        <f>'II_Inkunabeln+'!AA300</f>
        <v>0</v>
      </c>
      <c r="I300" s="93">
        <f>'II_Inkunabeln+'!AC300</f>
        <v>0</v>
      </c>
      <c r="J300" s="94"/>
      <c r="K300" s="93">
        <f>'II_Inkunabeln+'!AD300</f>
        <v>0</v>
      </c>
      <c r="L300" s="94"/>
      <c r="M300" s="94"/>
      <c r="N300" s="94"/>
      <c r="O300" s="94"/>
      <c r="P300" s="94"/>
      <c r="Q300" s="94"/>
      <c r="R300" s="94"/>
      <c r="S300" s="94"/>
      <c r="T300" s="94"/>
      <c r="U300" s="94"/>
      <c r="V300" s="94"/>
      <c r="W300" s="94">
        <f>'II_Inkunabeln+'!BA300</f>
        <v>0</v>
      </c>
      <c r="X300" s="108"/>
      <c r="Y300" s="93">
        <f>'II_Inkunabeln+'!BI300</f>
        <v>0</v>
      </c>
      <c r="Z300" s="81">
        <f>'II_Inkunabeln+'!BJ300</f>
        <v>0</v>
      </c>
    </row>
    <row r="301" spans="1:26" x14ac:dyDescent="0.25">
      <c r="A301" s="63">
        <f>'II_Inkunabeln+'!A301</f>
        <v>290</v>
      </c>
      <c r="B301" s="63" t="str">
        <f>'II_Inkunabeln+'!B301</f>
        <v>L-1478-315495553</v>
      </c>
      <c r="C301" s="63">
        <f>'II_Inkunabeln+'!C301</f>
        <v>1067336257</v>
      </c>
      <c r="D301" s="84" t="str">
        <f>'II_Inkunabeln+'!D301</f>
        <v>https://portal.dnb.de/opac.htm?method=simpleSearch&amp;cqlMode=true&amp;query=idn%3D1067336257</v>
      </c>
      <c r="E301" s="65" t="str">
        <f>'II_Inkunabeln+'!E301</f>
        <v>II 24,3d</v>
      </c>
      <c r="F301" s="65" t="str">
        <f>'II_Inkunabeln+'!H301</f>
        <v>&gt; 42 cm</v>
      </c>
      <c r="G301" s="93">
        <f>'II_Inkunabeln+'!X301</f>
        <v>0</v>
      </c>
      <c r="H301" s="93">
        <f>'II_Inkunabeln+'!AA301</f>
        <v>0</v>
      </c>
      <c r="I301" s="93">
        <f>'II_Inkunabeln+'!AC301</f>
        <v>0</v>
      </c>
      <c r="J301" s="94"/>
      <c r="K301" s="93">
        <f>'II_Inkunabeln+'!AD301</f>
        <v>0</v>
      </c>
      <c r="L301" s="94"/>
      <c r="M301" s="94"/>
      <c r="N301" s="94"/>
      <c r="O301" s="94"/>
      <c r="P301" s="94"/>
      <c r="Q301" s="94"/>
      <c r="R301" s="94"/>
      <c r="S301" s="94"/>
      <c r="T301" s="94"/>
      <c r="U301" s="94"/>
      <c r="V301" s="94"/>
      <c r="W301" s="94">
        <f>'II_Inkunabeln+'!BA301</f>
        <v>0</v>
      </c>
      <c r="X301" s="108"/>
      <c r="Y301" s="93">
        <f>'II_Inkunabeln+'!BI301</f>
        <v>0</v>
      </c>
      <c r="Z301" s="81">
        <f>'II_Inkunabeln+'!BJ301</f>
        <v>0</v>
      </c>
    </row>
    <row r="302" spans="1:26" x14ac:dyDescent="0.25">
      <c r="A302" s="63">
        <f>'II_Inkunabeln+'!A302</f>
        <v>291</v>
      </c>
      <c r="B302" s="63" t="str">
        <f>'II_Inkunabeln+'!B302</f>
        <v>L-1480-316101710</v>
      </c>
      <c r="C302" s="63">
        <f>'II_Inkunabeln+'!C302</f>
        <v>1067339086</v>
      </c>
      <c r="D302" s="84" t="str">
        <f>'II_Inkunabeln+'!D302</f>
        <v>https://portal.dnb.de/opac.htm?method=simpleSearch&amp;cqlMode=true&amp;query=idn%3D1067339086</v>
      </c>
      <c r="E302" s="65" t="str">
        <f>'II_Inkunabeln+'!E302</f>
        <v>II 24,3d kursiv</v>
      </c>
      <c r="F302" s="65">
        <f>'II_Inkunabeln+'!H302</f>
        <v>0</v>
      </c>
      <c r="G302" s="93">
        <f>'II_Inkunabeln+'!X302</f>
        <v>0</v>
      </c>
      <c r="H302" s="93">
        <f>'II_Inkunabeln+'!AA302</f>
        <v>0</v>
      </c>
      <c r="I302" s="93">
        <f>'II_Inkunabeln+'!AC302</f>
        <v>0</v>
      </c>
      <c r="J302" s="94"/>
      <c r="K302" s="93">
        <f>'II_Inkunabeln+'!AD302</f>
        <v>0</v>
      </c>
      <c r="L302" s="94"/>
      <c r="M302" s="94"/>
      <c r="N302" s="94"/>
      <c r="O302" s="94"/>
      <c r="P302" s="94"/>
      <c r="Q302" s="94"/>
      <c r="R302" s="94"/>
      <c r="S302" s="94"/>
      <c r="T302" s="94"/>
      <c r="U302" s="94"/>
      <c r="V302" s="94"/>
      <c r="W302" s="94">
        <f>'II_Inkunabeln+'!BA302</f>
        <v>0</v>
      </c>
      <c r="X302" s="108"/>
      <c r="Y302" s="93">
        <f>'II_Inkunabeln+'!BI302</f>
        <v>0</v>
      </c>
      <c r="Z302" s="81">
        <f>'II_Inkunabeln+'!BJ302</f>
        <v>0</v>
      </c>
    </row>
    <row r="303" spans="1:26" x14ac:dyDescent="0.25">
      <c r="A303" s="63">
        <f>'II_Inkunabeln+'!A303</f>
        <v>292</v>
      </c>
      <c r="B303" s="63" t="str">
        <f>'II_Inkunabeln+'!B303</f>
        <v>L-1478-315495561</v>
      </c>
      <c r="C303" s="63">
        <f>'II_Inkunabeln+'!C303</f>
        <v>1067336257</v>
      </c>
      <c r="D303" s="84" t="str">
        <f>'II_Inkunabeln+'!D303</f>
        <v>https://portal.dnb.de/opac.htm?method=simpleSearch&amp;cqlMode=true&amp;query=idn%3D1067336257</v>
      </c>
      <c r="E303" s="65" t="str">
        <f>'II_Inkunabeln+'!E303</f>
        <v>II 24,3da - Fragm.</v>
      </c>
      <c r="F303" s="65">
        <f>'II_Inkunabeln+'!H303</f>
        <v>0</v>
      </c>
      <c r="G303" s="93">
        <f>'II_Inkunabeln+'!X303</f>
        <v>0</v>
      </c>
      <c r="H303" s="93">
        <f>'II_Inkunabeln+'!AA303</f>
        <v>0</v>
      </c>
      <c r="I303" s="93">
        <f>'II_Inkunabeln+'!AC303</f>
        <v>0</v>
      </c>
      <c r="J303" s="94"/>
      <c r="K303" s="93">
        <f>'II_Inkunabeln+'!AD303</f>
        <v>0</v>
      </c>
      <c r="L303" s="94"/>
      <c r="M303" s="94"/>
      <c r="N303" s="94"/>
      <c r="O303" s="94"/>
      <c r="P303" s="94"/>
      <c r="Q303" s="94"/>
      <c r="R303" s="94"/>
      <c r="S303" s="94"/>
      <c r="T303" s="94"/>
      <c r="U303" s="94"/>
      <c r="V303" s="94"/>
      <c r="W303" s="94">
        <f>'II_Inkunabeln+'!BA303</f>
        <v>0</v>
      </c>
      <c r="X303" s="108"/>
      <c r="Y303" s="93">
        <f>'II_Inkunabeln+'!BI303</f>
        <v>0</v>
      </c>
      <c r="Z303" s="81">
        <f>'II_Inkunabeln+'!BJ303</f>
        <v>0</v>
      </c>
    </row>
    <row r="304" spans="1:26" x14ac:dyDescent="0.25">
      <c r="A304" s="63">
        <f>'II_Inkunabeln+'!A304</f>
        <v>293</v>
      </c>
      <c r="B304" s="63" t="str">
        <f>'II_Inkunabeln+'!B304</f>
        <v>L-1478-31549557X</v>
      </c>
      <c r="C304" s="63">
        <f>'II_Inkunabeln+'!C304</f>
        <v>1067336281</v>
      </c>
      <c r="D304" s="84" t="str">
        <f>'II_Inkunabeln+'!D304</f>
        <v>https://portal.dnb.de/opac.htm?method=simpleSearch&amp;cqlMode=true&amp;query=idn%3D1067336281</v>
      </c>
      <c r="E304" s="65" t="str">
        <f>'II_Inkunabeln+'!E304</f>
        <v>II 24,3e</v>
      </c>
      <c r="F304" s="65" t="str">
        <f>'II_Inkunabeln+'!H304</f>
        <v>&gt; 42 cm</v>
      </c>
      <c r="G304" s="93">
        <f>'II_Inkunabeln+'!X304</f>
        <v>0</v>
      </c>
      <c r="H304" s="93">
        <f>'II_Inkunabeln+'!AA304</f>
        <v>0</v>
      </c>
      <c r="I304" s="93">
        <f>'II_Inkunabeln+'!AC304</f>
        <v>0</v>
      </c>
      <c r="J304" s="94"/>
      <c r="K304" s="93">
        <f>'II_Inkunabeln+'!AD304</f>
        <v>0</v>
      </c>
      <c r="L304" s="94"/>
      <c r="M304" s="94"/>
      <c r="N304" s="94"/>
      <c r="O304" s="94"/>
      <c r="P304" s="94"/>
      <c r="Q304" s="94"/>
      <c r="R304" s="94"/>
      <c r="S304" s="94"/>
      <c r="T304" s="94"/>
      <c r="U304" s="94"/>
      <c r="V304" s="94"/>
      <c r="W304" s="94">
        <f>'II_Inkunabeln+'!BA304</f>
        <v>0</v>
      </c>
      <c r="X304" s="108"/>
      <c r="Y304" s="93">
        <f>'II_Inkunabeln+'!BI304</f>
        <v>0</v>
      </c>
      <c r="Z304" s="81">
        <f>'II_Inkunabeln+'!BJ304</f>
        <v>0</v>
      </c>
    </row>
    <row r="305" spans="1:26" x14ac:dyDescent="0.25">
      <c r="A305" s="63">
        <f>'II_Inkunabeln+'!A305</f>
        <v>294</v>
      </c>
      <c r="B305" s="63" t="str">
        <f>'II_Inkunabeln+'!B305</f>
        <v>L-1481-315501928</v>
      </c>
      <c r="C305" s="63">
        <f>'II_Inkunabeln+'!C305</f>
        <v>1066971544</v>
      </c>
      <c r="D305" s="84" t="str">
        <f>'II_Inkunabeln+'!D305</f>
        <v>https://portal.dnb.de/opac.htm?method=simpleSearch&amp;cqlMode=true&amp;query=idn%3D1066971544</v>
      </c>
      <c r="E305" s="65" t="str">
        <f>'II_Inkunabeln+'!E305</f>
        <v>II 24,3e kursiv</v>
      </c>
      <c r="F305" s="65" t="str">
        <f>'II_Inkunabeln+'!H305</f>
        <v>bis 35 cm</v>
      </c>
      <c r="G305" s="93">
        <f>'II_Inkunabeln+'!X305</f>
        <v>0</v>
      </c>
      <c r="H305" s="93">
        <f>'II_Inkunabeln+'!AA305</f>
        <v>0</v>
      </c>
      <c r="I305" s="93">
        <f>'II_Inkunabeln+'!AC305</f>
        <v>0</v>
      </c>
      <c r="J305" s="94"/>
      <c r="K305" s="93">
        <f>'II_Inkunabeln+'!AD305</f>
        <v>0</v>
      </c>
      <c r="L305" s="94"/>
      <c r="M305" s="94"/>
      <c r="N305" s="94"/>
      <c r="O305" s="94"/>
      <c r="P305" s="94"/>
      <c r="Q305" s="94"/>
      <c r="R305" s="94"/>
      <c r="S305" s="94"/>
      <c r="T305" s="94"/>
      <c r="U305" s="94"/>
      <c r="V305" s="94"/>
      <c r="W305" s="94">
        <f>'II_Inkunabeln+'!BA305</f>
        <v>0</v>
      </c>
      <c r="X305" s="108"/>
      <c r="Y305" s="93">
        <f>'II_Inkunabeln+'!BI305</f>
        <v>0</v>
      </c>
      <c r="Z305" s="81">
        <f>'II_Inkunabeln+'!BJ305</f>
        <v>0</v>
      </c>
    </row>
    <row r="306" spans="1:26" x14ac:dyDescent="0.25">
      <c r="A306" s="63">
        <f>'II_Inkunabeln+'!A306</f>
        <v>295</v>
      </c>
      <c r="B306" s="63" t="str">
        <f>'II_Inkunabeln+'!B306</f>
        <v>L-1480-315498226</v>
      </c>
      <c r="C306" s="63">
        <f>'II_Inkunabeln+'!C306</f>
        <v>1066967954</v>
      </c>
      <c r="D306" s="84" t="str">
        <f>'II_Inkunabeln+'!D306</f>
        <v>https://portal.dnb.de/opac.htm?method=simpleSearch&amp;cqlMode=true&amp;query=idn%3D1066967954</v>
      </c>
      <c r="E306" s="65" t="str">
        <f>'II_Inkunabeln+'!E306</f>
        <v>II 24,3ea</v>
      </c>
      <c r="F306" s="65">
        <f>'II_Inkunabeln+'!H306</f>
        <v>0</v>
      </c>
      <c r="G306" s="93">
        <f>'II_Inkunabeln+'!X306</f>
        <v>0</v>
      </c>
      <c r="H306" s="93">
        <f>'II_Inkunabeln+'!AA306</f>
        <v>0</v>
      </c>
      <c r="I306" s="93">
        <f>'II_Inkunabeln+'!AC306</f>
        <v>0</v>
      </c>
      <c r="J306" s="94"/>
      <c r="K306" s="93">
        <f>'II_Inkunabeln+'!AD306</f>
        <v>0</v>
      </c>
      <c r="L306" s="94"/>
      <c r="M306" s="94"/>
      <c r="N306" s="94"/>
      <c r="O306" s="94"/>
      <c r="P306" s="94"/>
      <c r="Q306" s="94"/>
      <c r="R306" s="94"/>
      <c r="S306" s="94"/>
      <c r="T306" s="94"/>
      <c r="U306" s="94"/>
      <c r="V306" s="94"/>
      <c r="W306" s="94">
        <f>'II_Inkunabeln+'!BA306</f>
        <v>0</v>
      </c>
      <c r="X306" s="108"/>
      <c r="Y306" s="93">
        <f>'II_Inkunabeln+'!BI306</f>
        <v>0</v>
      </c>
      <c r="Z306" s="81">
        <f>'II_Inkunabeln+'!BJ306</f>
        <v>0</v>
      </c>
    </row>
    <row r="307" spans="1:26" x14ac:dyDescent="0.25">
      <c r="A307" s="63">
        <f>'II_Inkunabeln+'!A307</f>
        <v>296</v>
      </c>
      <c r="B307" s="63" t="str">
        <f>'II_Inkunabeln+'!B307</f>
        <v>L-1481-315501472</v>
      </c>
      <c r="C307" s="63">
        <f>'II_Inkunabeln+'!C307</f>
        <v>1066971110</v>
      </c>
      <c r="D307" s="84" t="str">
        <f>'II_Inkunabeln+'!D307</f>
        <v>https://portal.dnb.de/opac.htm?method=simpleSearch&amp;cqlMode=true&amp;query=idn%3D1066971110</v>
      </c>
      <c r="E307" s="65" t="str">
        <f>'II_Inkunabeln+'!E307</f>
        <v>II 24,3f -1</v>
      </c>
      <c r="F307" s="65" t="str">
        <f>'II_Inkunabeln+'!H307</f>
        <v>bis 42 cm</v>
      </c>
      <c r="G307" s="93">
        <f>'II_Inkunabeln+'!X307</f>
        <v>0</v>
      </c>
      <c r="H307" s="93">
        <f>'II_Inkunabeln+'!AA307</f>
        <v>0</v>
      </c>
      <c r="I307" s="93">
        <f>'II_Inkunabeln+'!AC307</f>
        <v>0</v>
      </c>
      <c r="J307" s="94"/>
      <c r="K307" s="93">
        <f>'II_Inkunabeln+'!AD307</f>
        <v>0</v>
      </c>
      <c r="L307" s="94"/>
      <c r="M307" s="94"/>
      <c r="N307" s="94"/>
      <c r="O307" s="94"/>
      <c r="P307" s="94"/>
      <c r="Q307" s="94"/>
      <c r="R307" s="94"/>
      <c r="S307" s="94"/>
      <c r="T307" s="94"/>
      <c r="U307" s="94"/>
      <c r="V307" s="94"/>
      <c r="W307" s="94">
        <f>'II_Inkunabeln+'!BA307</f>
        <v>0</v>
      </c>
      <c r="X307" s="108"/>
      <c r="Y307" s="93">
        <f>'II_Inkunabeln+'!BI307</f>
        <v>0</v>
      </c>
      <c r="Z307" s="81">
        <f>'II_Inkunabeln+'!BJ307</f>
        <v>0</v>
      </c>
    </row>
    <row r="308" spans="1:26" x14ac:dyDescent="0.25">
      <c r="A308" s="63">
        <f>'II_Inkunabeln+'!A308</f>
        <v>0</v>
      </c>
      <c r="B308" s="63">
        <f>'II_Inkunabeln+'!B308</f>
        <v>0</v>
      </c>
      <c r="C308" s="63">
        <f>'II_Inkunabeln+'!C308</f>
        <v>0</v>
      </c>
      <c r="D308" s="84">
        <f>'II_Inkunabeln+'!D308</f>
        <v>0</v>
      </c>
      <c r="E308" s="65" t="str">
        <f>'II_Inkunabeln+'!E308</f>
        <v>II 24,3f -2</v>
      </c>
      <c r="F308" s="65" t="str">
        <f>'II_Inkunabeln+'!H308</f>
        <v>bis 42 cm</v>
      </c>
      <c r="G308" s="93">
        <f>'II_Inkunabeln+'!X308</f>
        <v>0</v>
      </c>
      <c r="H308" s="93">
        <f>'II_Inkunabeln+'!AA308</f>
        <v>0</v>
      </c>
      <c r="I308" s="93">
        <f>'II_Inkunabeln+'!AC308</f>
        <v>0</v>
      </c>
      <c r="J308" s="94"/>
      <c r="K308" s="93">
        <f>'II_Inkunabeln+'!AD308</f>
        <v>0</v>
      </c>
      <c r="L308" s="94"/>
      <c r="M308" s="94"/>
      <c r="N308" s="94"/>
      <c r="O308" s="94"/>
      <c r="P308" s="94"/>
      <c r="Q308" s="94"/>
      <c r="R308" s="94"/>
      <c r="S308" s="94"/>
      <c r="T308" s="94"/>
      <c r="U308" s="94"/>
      <c r="V308" s="94"/>
      <c r="W308" s="94">
        <f>'II_Inkunabeln+'!BA308</f>
        <v>0</v>
      </c>
      <c r="X308" s="108"/>
      <c r="Y308" s="93">
        <f>'II_Inkunabeln+'!BI308</f>
        <v>0</v>
      </c>
      <c r="Z308" s="81">
        <f>'II_Inkunabeln+'!BJ308</f>
        <v>0</v>
      </c>
    </row>
    <row r="309" spans="1:26" x14ac:dyDescent="0.25">
      <c r="A309" s="63">
        <f>'II_Inkunabeln+'!A309</f>
        <v>0</v>
      </c>
      <c r="B309" s="63">
        <f>'II_Inkunabeln+'!B309</f>
        <v>0</v>
      </c>
      <c r="C309" s="63">
        <f>'II_Inkunabeln+'!C309</f>
        <v>0</v>
      </c>
      <c r="D309" s="84">
        <f>'II_Inkunabeln+'!D309</f>
        <v>0</v>
      </c>
      <c r="E309" s="65" t="str">
        <f>'II_Inkunabeln+'!E309</f>
        <v>II 24,3f -3</v>
      </c>
      <c r="F309" s="65" t="str">
        <f>'II_Inkunabeln+'!H309</f>
        <v>bis 42 cm</v>
      </c>
      <c r="G309" s="93">
        <f>'II_Inkunabeln+'!X309</f>
        <v>0</v>
      </c>
      <c r="H309" s="93">
        <f>'II_Inkunabeln+'!AA309</f>
        <v>0</v>
      </c>
      <c r="I309" s="93">
        <f>'II_Inkunabeln+'!AC309</f>
        <v>0</v>
      </c>
      <c r="J309" s="94"/>
      <c r="K309" s="93">
        <f>'II_Inkunabeln+'!AD309</f>
        <v>0</v>
      </c>
      <c r="L309" s="94"/>
      <c r="M309" s="94"/>
      <c r="N309" s="94"/>
      <c r="O309" s="94"/>
      <c r="P309" s="94"/>
      <c r="Q309" s="94"/>
      <c r="R309" s="94"/>
      <c r="S309" s="94"/>
      <c r="T309" s="94"/>
      <c r="U309" s="94"/>
      <c r="V309" s="94"/>
      <c r="W309" s="94">
        <f>'II_Inkunabeln+'!BA309</f>
        <v>0</v>
      </c>
      <c r="X309" s="108"/>
      <c r="Y309" s="93">
        <f>'II_Inkunabeln+'!BI309</f>
        <v>0</v>
      </c>
      <c r="Z309" s="81">
        <f>'II_Inkunabeln+'!BJ309</f>
        <v>0</v>
      </c>
    </row>
    <row r="310" spans="1:26" x14ac:dyDescent="0.25">
      <c r="A310" s="63">
        <f>'II_Inkunabeln+'!A310</f>
        <v>297</v>
      </c>
      <c r="B310" s="63" t="str">
        <f>'II_Inkunabeln+'!B310</f>
        <v>L-1497-315496916</v>
      </c>
      <c r="C310" s="63">
        <f>'II_Inkunabeln+'!C310</f>
        <v>1066966621</v>
      </c>
      <c r="D310" s="84" t="str">
        <f>'II_Inkunabeln+'!D310</f>
        <v>https://portal.dnb.de/opac.htm?method=simpleSearch&amp;cqlMode=true&amp;query=idn%3D1066966621</v>
      </c>
      <c r="E310" s="65" t="str">
        <f>'II_Inkunabeln+'!E310</f>
        <v>II 24,3f kursiv - P1</v>
      </c>
      <c r="F310" s="65" t="str">
        <f>'II_Inkunabeln+'!H310</f>
        <v>bis 25 cm</v>
      </c>
      <c r="G310" s="93">
        <f>'II_Inkunabeln+'!X310</f>
        <v>0</v>
      </c>
      <c r="H310" s="93">
        <f>'II_Inkunabeln+'!AA310</f>
        <v>0</v>
      </c>
      <c r="I310" s="93">
        <f>'II_Inkunabeln+'!AC310</f>
        <v>0</v>
      </c>
      <c r="J310" s="94"/>
      <c r="K310" s="93">
        <f>'II_Inkunabeln+'!AD310</f>
        <v>0</v>
      </c>
      <c r="L310" s="94"/>
      <c r="M310" s="94"/>
      <c r="N310" s="94"/>
      <c r="O310" s="94"/>
      <c r="P310" s="94"/>
      <c r="Q310" s="94"/>
      <c r="R310" s="94"/>
      <c r="S310" s="94"/>
      <c r="T310" s="94"/>
      <c r="U310" s="94"/>
      <c r="V310" s="94"/>
      <c r="W310" s="94">
        <f>'II_Inkunabeln+'!BA310</f>
        <v>0</v>
      </c>
      <c r="X310" s="108"/>
      <c r="Y310" s="93">
        <f>'II_Inkunabeln+'!BI310</f>
        <v>0</v>
      </c>
      <c r="Z310" s="81">
        <f>'II_Inkunabeln+'!BJ310</f>
        <v>0</v>
      </c>
    </row>
    <row r="311" spans="1:26" x14ac:dyDescent="0.25">
      <c r="A311" s="63">
        <f>'II_Inkunabeln+'!A311</f>
        <v>298</v>
      </c>
      <c r="B311" s="63" t="str">
        <f>'II_Inkunabeln+'!B311</f>
        <v>L-1481-315498234</v>
      </c>
      <c r="C311" s="63">
        <f>'II_Inkunabeln+'!C311</f>
        <v>1066967962</v>
      </c>
      <c r="D311" s="84" t="str">
        <f>'II_Inkunabeln+'!D311</f>
        <v>https://portal.dnb.de/opac.htm?method=simpleSearch&amp;cqlMode=true&amp;query=idn%3D1066967962</v>
      </c>
      <c r="E311" s="65" t="str">
        <f>'II_Inkunabeln+'!E311</f>
        <v>II 24,3i</v>
      </c>
      <c r="F311" s="65" t="str">
        <f>'II_Inkunabeln+'!H311</f>
        <v>bis 35 cm</v>
      </c>
      <c r="G311" s="93">
        <f>'II_Inkunabeln+'!X311</f>
        <v>0</v>
      </c>
      <c r="H311" s="93">
        <f>'II_Inkunabeln+'!AA311</f>
        <v>0</v>
      </c>
      <c r="I311" s="93">
        <f>'II_Inkunabeln+'!AC311</f>
        <v>0</v>
      </c>
      <c r="J311" s="94"/>
      <c r="K311" s="93">
        <f>'II_Inkunabeln+'!AD311</f>
        <v>0</v>
      </c>
      <c r="L311" s="94"/>
      <c r="M311" s="94"/>
      <c r="N311" s="94"/>
      <c r="O311" s="94"/>
      <c r="P311" s="94"/>
      <c r="Q311" s="94"/>
      <c r="R311" s="94"/>
      <c r="S311" s="94"/>
      <c r="T311" s="94"/>
      <c r="U311" s="94"/>
      <c r="V311" s="94"/>
      <c r="W311" s="94">
        <f>'II_Inkunabeln+'!BA311</f>
        <v>0</v>
      </c>
      <c r="X311" s="108"/>
      <c r="Y311" s="93">
        <f>'II_Inkunabeln+'!BI311</f>
        <v>0</v>
      </c>
      <c r="Z311" s="81">
        <f>'II_Inkunabeln+'!BJ311</f>
        <v>0</v>
      </c>
    </row>
    <row r="312" spans="1:26" x14ac:dyDescent="0.25">
      <c r="A312" s="63">
        <f>'II_Inkunabeln+'!A312</f>
        <v>299</v>
      </c>
      <c r="B312" s="63" t="str">
        <f>'II_Inkunabeln+'!B312</f>
        <v>L-1483-315500573</v>
      </c>
      <c r="C312" s="63">
        <f>'II_Inkunabeln+'!C312</f>
        <v>1066970238</v>
      </c>
      <c r="D312" s="84" t="str">
        <f>'II_Inkunabeln+'!D312</f>
        <v>https://portal.dnb.de/opac.htm?method=simpleSearch&amp;cqlMode=true&amp;query=idn%3D1066970238</v>
      </c>
      <c r="E312" s="65" t="str">
        <f>'II_Inkunabeln+'!E312</f>
        <v>II 24,3o</v>
      </c>
      <c r="F312" s="65" t="str">
        <f>'II_Inkunabeln+'!H312</f>
        <v>bis 35 cm</v>
      </c>
      <c r="G312" s="93">
        <f>'II_Inkunabeln+'!X312</f>
        <v>0</v>
      </c>
      <c r="H312" s="93">
        <f>'II_Inkunabeln+'!AA312</f>
        <v>0</v>
      </c>
      <c r="I312" s="93">
        <f>'II_Inkunabeln+'!AC312</f>
        <v>0</v>
      </c>
      <c r="J312" s="94"/>
      <c r="K312" s="93">
        <f>'II_Inkunabeln+'!AD312</f>
        <v>0</v>
      </c>
      <c r="L312" s="94"/>
      <c r="M312" s="94"/>
      <c r="N312" s="94"/>
      <c r="O312" s="94"/>
      <c r="P312" s="94"/>
      <c r="Q312" s="94"/>
      <c r="R312" s="94"/>
      <c r="S312" s="94"/>
      <c r="T312" s="94"/>
      <c r="U312" s="94"/>
      <c r="V312" s="94"/>
      <c r="W312" s="94">
        <f>'II_Inkunabeln+'!BA312</f>
        <v>0</v>
      </c>
      <c r="X312" s="108"/>
      <c r="Y312" s="93">
        <f>'II_Inkunabeln+'!BI312</f>
        <v>0</v>
      </c>
      <c r="Z312" s="81">
        <f>'II_Inkunabeln+'!BJ312</f>
        <v>0</v>
      </c>
    </row>
    <row r="313" spans="1:26" x14ac:dyDescent="0.25">
      <c r="A313" s="63">
        <f>'II_Inkunabeln+'!A313</f>
        <v>300</v>
      </c>
      <c r="B313" s="63" t="str">
        <f>'II_Inkunabeln+'!B313</f>
        <v>L-1485-315495073</v>
      </c>
      <c r="C313" s="63">
        <f>'II_Inkunabeln+'!C313</f>
        <v>1066964912</v>
      </c>
      <c r="D313" s="84" t="str">
        <f>'II_Inkunabeln+'!D313</f>
        <v>https://portal.dnb.de/opac.htm?method=simpleSearch&amp;cqlMode=true&amp;query=idn%3D1066964912</v>
      </c>
      <c r="E313" s="65" t="str">
        <f>'II_Inkunabeln+'!E313</f>
        <v>II 24,3q</v>
      </c>
      <c r="F313" s="65" t="str">
        <f>'II_Inkunabeln+'!H313</f>
        <v>bis 35 cm</v>
      </c>
      <c r="G313" s="93">
        <f>'II_Inkunabeln+'!X313</f>
        <v>0</v>
      </c>
      <c r="H313" s="93">
        <f>'II_Inkunabeln+'!AA313</f>
        <v>0</v>
      </c>
      <c r="I313" s="93">
        <f>'II_Inkunabeln+'!AC313</f>
        <v>0</v>
      </c>
      <c r="J313" s="94"/>
      <c r="K313" s="93">
        <f>'II_Inkunabeln+'!AD313</f>
        <v>0</v>
      </c>
      <c r="L313" s="94"/>
      <c r="M313" s="94"/>
      <c r="N313" s="94"/>
      <c r="O313" s="94"/>
      <c r="P313" s="94"/>
      <c r="Q313" s="94"/>
      <c r="R313" s="94"/>
      <c r="S313" s="94"/>
      <c r="T313" s="94"/>
      <c r="U313" s="94"/>
      <c r="V313" s="94"/>
      <c r="W313" s="94">
        <f>'II_Inkunabeln+'!BA313</f>
        <v>0</v>
      </c>
      <c r="X313" s="108"/>
      <c r="Y313" s="93">
        <f>'II_Inkunabeln+'!BI313</f>
        <v>0</v>
      </c>
      <c r="Z313" s="81">
        <f>'II_Inkunabeln+'!BJ313</f>
        <v>0</v>
      </c>
    </row>
    <row r="314" spans="1:26" x14ac:dyDescent="0.25">
      <c r="A314" s="63">
        <f>'II_Inkunabeln+'!A314</f>
        <v>301</v>
      </c>
      <c r="B314" s="63" t="str">
        <f>'II_Inkunabeln+'!B314</f>
        <v>L-1486-315500565</v>
      </c>
      <c r="C314" s="63" t="str">
        <f>'II_Inkunabeln+'!C314</f>
        <v>106697022X</v>
      </c>
      <c r="D314" s="84" t="str">
        <f>'II_Inkunabeln+'!D314</f>
        <v>https://portal.dnb.de/opac.htm?method=simpleSearch&amp;cqlMode=true&amp;query=idn%3D106697022X</v>
      </c>
      <c r="E314" s="65" t="str">
        <f>'II_Inkunabeln+'!E314</f>
        <v>II 24,3r</v>
      </c>
      <c r="F314" s="65" t="str">
        <f>'II_Inkunabeln+'!H314</f>
        <v>bis 42 cm</v>
      </c>
      <c r="G314" s="93">
        <f>'II_Inkunabeln+'!X314</f>
        <v>0</v>
      </c>
      <c r="H314" s="93">
        <f>'II_Inkunabeln+'!AA314</f>
        <v>0</v>
      </c>
      <c r="I314" s="93">
        <f>'II_Inkunabeln+'!AC314</f>
        <v>0</v>
      </c>
      <c r="J314" s="94"/>
      <c r="K314" s="93">
        <f>'II_Inkunabeln+'!AD314</f>
        <v>0</v>
      </c>
      <c r="L314" s="94"/>
      <c r="M314" s="94"/>
      <c r="N314" s="94"/>
      <c r="O314" s="94"/>
      <c r="P314" s="94"/>
      <c r="Q314" s="94"/>
      <c r="R314" s="94"/>
      <c r="S314" s="94"/>
      <c r="T314" s="94"/>
      <c r="U314" s="94"/>
      <c r="V314" s="94"/>
      <c r="W314" s="94">
        <f>'II_Inkunabeln+'!BA314</f>
        <v>0</v>
      </c>
      <c r="X314" s="108"/>
      <c r="Y314" s="93">
        <f>'II_Inkunabeln+'!BI314</f>
        <v>0</v>
      </c>
      <c r="Z314" s="81">
        <f>'II_Inkunabeln+'!BJ314</f>
        <v>0</v>
      </c>
    </row>
    <row r="315" spans="1:26" x14ac:dyDescent="0.25">
      <c r="A315" s="63">
        <f>'II_Inkunabeln+'!A315</f>
        <v>302</v>
      </c>
      <c r="B315" s="63" t="str">
        <f>'II_Inkunabeln+'!B315</f>
        <v>L-1487-315501227</v>
      </c>
      <c r="C315" s="63">
        <f>'II_Inkunabeln+'!C315</f>
        <v>1066970866</v>
      </c>
      <c r="D315" s="84" t="str">
        <f>'II_Inkunabeln+'!D315</f>
        <v>https://portal.dnb.de/opac.htm?method=simpleSearch&amp;cqlMode=true&amp;query=idn%3D1066970866</v>
      </c>
      <c r="E315" s="65" t="str">
        <f>'II_Inkunabeln+'!E315</f>
        <v>II 24,3s</v>
      </c>
      <c r="F315" s="65" t="str">
        <f>'II_Inkunabeln+'!H315</f>
        <v>bis 42 cm</v>
      </c>
      <c r="G315" s="93">
        <f>'II_Inkunabeln+'!X315</f>
        <v>0</v>
      </c>
      <c r="H315" s="93">
        <f>'II_Inkunabeln+'!AA315</f>
        <v>0</v>
      </c>
      <c r="I315" s="93">
        <f>'II_Inkunabeln+'!AC315</f>
        <v>0</v>
      </c>
      <c r="J315" s="94"/>
      <c r="K315" s="93">
        <f>'II_Inkunabeln+'!AD315</f>
        <v>0</v>
      </c>
      <c r="L315" s="94"/>
      <c r="M315" s="94"/>
      <c r="N315" s="94"/>
      <c r="O315" s="94"/>
      <c r="P315" s="94"/>
      <c r="Q315" s="94"/>
      <c r="R315" s="94"/>
      <c r="S315" s="94"/>
      <c r="T315" s="94"/>
      <c r="U315" s="94"/>
      <c r="V315" s="94"/>
      <c r="W315" s="94">
        <f>'II_Inkunabeln+'!BA315</f>
        <v>0</v>
      </c>
      <c r="X315" s="108"/>
      <c r="Y315" s="93">
        <f>'II_Inkunabeln+'!BI315</f>
        <v>0</v>
      </c>
      <c r="Z315" s="81">
        <f>'II_Inkunabeln+'!BJ315</f>
        <v>0</v>
      </c>
    </row>
    <row r="316" spans="1:26" x14ac:dyDescent="0.25">
      <c r="A316" s="63">
        <f>'II_Inkunabeln+'!A316</f>
        <v>303</v>
      </c>
      <c r="B316" s="63" t="str">
        <f>'II_Inkunabeln+'!B316</f>
        <v>L-1492-315496320</v>
      </c>
      <c r="C316" s="63">
        <f>'II_Inkunabeln+'!C316</f>
        <v>1066966028</v>
      </c>
      <c r="D316" s="84" t="str">
        <f>'II_Inkunabeln+'!D316</f>
        <v>https://portal.dnb.de/opac.htm?method=simpleSearch&amp;cqlMode=true&amp;query=idn%3D1066966028</v>
      </c>
      <c r="E316" s="65" t="str">
        <f>'II_Inkunabeln+'!E316</f>
        <v>II 24,3ta</v>
      </c>
      <c r="F316" s="65" t="str">
        <f>'II_Inkunabeln+'!H316</f>
        <v>bis 35 cm</v>
      </c>
      <c r="G316" s="93">
        <f>'II_Inkunabeln+'!X316</f>
        <v>0</v>
      </c>
      <c r="H316" s="93">
        <f>'II_Inkunabeln+'!AA316</f>
        <v>0</v>
      </c>
      <c r="I316" s="93">
        <f>'II_Inkunabeln+'!AC316</f>
        <v>0</v>
      </c>
      <c r="J316" s="94"/>
      <c r="K316" s="93">
        <f>'II_Inkunabeln+'!AD316</f>
        <v>0</v>
      </c>
      <c r="L316" s="94"/>
      <c r="M316" s="94"/>
      <c r="N316" s="94"/>
      <c r="O316" s="94"/>
      <c r="P316" s="94"/>
      <c r="Q316" s="94"/>
      <c r="R316" s="94"/>
      <c r="S316" s="94"/>
      <c r="T316" s="94"/>
      <c r="U316" s="94"/>
      <c r="V316" s="94"/>
      <c r="W316" s="94">
        <f>'II_Inkunabeln+'!BA316</f>
        <v>0</v>
      </c>
      <c r="X316" s="108"/>
      <c r="Y316" s="93">
        <f>'II_Inkunabeln+'!BI316</f>
        <v>0</v>
      </c>
      <c r="Z316" s="81">
        <f>'II_Inkunabeln+'!BJ316</f>
        <v>0</v>
      </c>
    </row>
    <row r="317" spans="1:26" x14ac:dyDescent="0.25">
      <c r="A317" s="63">
        <f>'II_Inkunabeln+'!A317</f>
        <v>304</v>
      </c>
      <c r="B317" s="63" t="str">
        <f>'II_Inkunabeln+'!B317</f>
        <v>L-1492-315496339</v>
      </c>
      <c r="C317" s="63">
        <f>'II_Inkunabeln+'!C317</f>
        <v>1066966028</v>
      </c>
      <c r="D317" s="84" t="str">
        <f>'II_Inkunabeln+'!D317</f>
        <v>https://portal.dnb.de/opac.htm?method=simpleSearch&amp;cqlMode=true&amp;query=idn%3D1066966028</v>
      </c>
      <c r="E317" s="65" t="str">
        <f>'II_Inkunabeln+'!E317</f>
        <v>II 24,3tab</v>
      </c>
      <c r="F317" s="65">
        <f>'II_Inkunabeln+'!H317</f>
        <v>0</v>
      </c>
      <c r="G317" s="93">
        <f>'II_Inkunabeln+'!X317</f>
        <v>0</v>
      </c>
      <c r="H317" s="93">
        <f>'II_Inkunabeln+'!AA317</f>
        <v>0</v>
      </c>
      <c r="I317" s="93">
        <f>'II_Inkunabeln+'!AC317</f>
        <v>0</v>
      </c>
      <c r="J317" s="94"/>
      <c r="K317" s="93">
        <f>'II_Inkunabeln+'!AD317</f>
        <v>0</v>
      </c>
      <c r="L317" s="94"/>
      <c r="M317" s="94"/>
      <c r="N317" s="94"/>
      <c r="O317" s="94"/>
      <c r="P317" s="94"/>
      <c r="Q317" s="94"/>
      <c r="R317" s="94"/>
      <c r="S317" s="94"/>
      <c r="T317" s="94"/>
      <c r="U317" s="94"/>
      <c r="V317" s="94"/>
      <c r="W317" s="94">
        <f>'II_Inkunabeln+'!BA317</f>
        <v>0</v>
      </c>
      <c r="X317" s="108"/>
      <c r="Y317" s="93">
        <f>'II_Inkunabeln+'!BI317</f>
        <v>0</v>
      </c>
      <c r="Z317" s="81">
        <f>'II_Inkunabeln+'!BJ317</f>
        <v>0</v>
      </c>
    </row>
    <row r="318" spans="1:26" x14ac:dyDescent="0.25">
      <c r="A318" s="63">
        <f>'II_Inkunabeln+'!A318</f>
        <v>305</v>
      </c>
      <c r="B318" s="63" t="str">
        <f>'II_Inkunabeln+'!B318</f>
        <v>L-1492-315503386</v>
      </c>
      <c r="C318" s="63">
        <f>'II_Inkunabeln+'!C318</f>
        <v>1066973016</v>
      </c>
      <c r="D318" s="84" t="str">
        <f>'II_Inkunabeln+'!D318</f>
        <v>https://portal.dnb.de/opac.htm?method=simpleSearch&amp;cqlMode=true&amp;query=idn%3D1066973016</v>
      </c>
      <c r="E318" s="65" t="str">
        <f>'II_Inkunabeln+'!E318</f>
        <v>II 24,3u</v>
      </c>
      <c r="F318" s="65">
        <f>'II_Inkunabeln+'!H318</f>
        <v>0</v>
      </c>
      <c r="G318" s="93">
        <f>'II_Inkunabeln+'!X318</f>
        <v>0</v>
      </c>
      <c r="H318" s="93">
        <f>'II_Inkunabeln+'!AA318</f>
        <v>0</v>
      </c>
      <c r="I318" s="93">
        <f>'II_Inkunabeln+'!AC318</f>
        <v>0</v>
      </c>
      <c r="J318" s="94"/>
      <c r="K318" s="93">
        <f>'II_Inkunabeln+'!AD318</f>
        <v>0</v>
      </c>
      <c r="L318" s="94"/>
      <c r="M318" s="94"/>
      <c r="N318" s="94"/>
      <c r="O318" s="94"/>
      <c r="P318" s="94"/>
      <c r="Q318" s="94"/>
      <c r="R318" s="94"/>
      <c r="S318" s="94"/>
      <c r="T318" s="94"/>
      <c r="U318" s="94"/>
      <c r="V318" s="94"/>
      <c r="W318" s="94">
        <f>'II_Inkunabeln+'!BA318</f>
        <v>0</v>
      </c>
      <c r="X318" s="108"/>
      <c r="Y318" s="93">
        <f>'II_Inkunabeln+'!BI318</f>
        <v>0</v>
      </c>
      <c r="Z318" s="81">
        <f>'II_Inkunabeln+'!BJ318</f>
        <v>0</v>
      </c>
    </row>
    <row r="319" spans="1:26" x14ac:dyDescent="0.25">
      <c r="A319" s="63">
        <f>'II_Inkunabeln+'!A319</f>
        <v>306</v>
      </c>
      <c r="B319" s="63" t="str">
        <f>'II_Inkunabeln+'!B319</f>
        <v>L-1493-315502568</v>
      </c>
      <c r="C319" s="63">
        <f>'II_Inkunabeln+'!C319</f>
        <v>1066972141</v>
      </c>
      <c r="D319" s="84" t="str">
        <f>'II_Inkunabeln+'!D319</f>
        <v>https://portal.dnb.de/opac.htm?method=simpleSearch&amp;cqlMode=true&amp;query=idn%3D1066972141</v>
      </c>
      <c r="E319" s="65" t="str">
        <f>'II_Inkunabeln+'!E319</f>
        <v>II 24,3v</v>
      </c>
      <c r="F319" s="65" t="str">
        <f>'II_Inkunabeln+'!H319</f>
        <v>bis 42 cm</v>
      </c>
      <c r="G319" s="93">
        <f>'II_Inkunabeln+'!X319</f>
        <v>0</v>
      </c>
      <c r="H319" s="93">
        <f>'II_Inkunabeln+'!AA319</f>
        <v>0</v>
      </c>
      <c r="I319" s="93">
        <f>'II_Inkunabeln+'!AC319</f>
        <v>0</v>
      </c>
      <c r="J319" s="94"/>
      <c r="K319" s="93">
        <f>'II_Inkunabeln+'!AD319</f>
        <v>0</v>
      </c>
      <c r="L319" s="94"/>
      <c r="M319" s="94"/>
      <c r="N319" s="94"/>
      <c r="O319" s="94"/>
      <c r="P319" s="94"/>
      <c r="Q319" s="94"/>
      <c r="R319" s="94"/>
      <c r="S319" s="94"/>
      <c r="T319" s="94"/>
      <c r="U319" s="94"/>
      <c r="V319" s="94"/>
      <c r="W319" s="94">
        <f>'II_Inkunabeln+'!BA319</f>
        <v>0</v>
      </c>
      <c r="X319" s="108"/>
      <c r="Y319" s="93">
        <f>'II_Inkunabeln+'!BI319</f>
        <v>0</v>
      </c>
      <c r="Z319" s="81">
        <f>'II_Inkunabeln+'!BJ319</f>
        <v>0</v>
      </c>
    </row>
    <row r="320" spans="1:26" x14ac:dyDescent="0.25">
      <c r="A320" s="63">
        <f>'II_Inkunabeln+'!A320</f>
        <v>307</v>
      </c>
      <c r="B320" s="63" t="str">
        <f>'II_Inkunabeln+'!B320</f>
        <v>L-1494-315499745</v>
      </c>
      <c r="C320" s="63">
        <f>'II_Inkunabeln+'!C320</f>
        <v>1066969426</v>
      </c>
      <c r="D320" s="84" t="str">
        <f>'II_Inkunabeln+'!D320</f>
        <v>https://portal.dnb.de/opac.htm?method=simpleSearch&amp;cqlMode=true&amp;query=idn%3D1066969426</v>
      </c>
      <c r="E320" s="65" t="str">
        <f>'II_Inkunabeln+'!E320</f>
        <v>II 24,3w</v>
      </c>
      <c r="F320" s="65" t="str">
        <f>'II_Inkunabeln+'!H320</f>
        <v>bis 25 cm</v>
      </c>
      <c r="G320" s="93">
        <f>'II_Inkunabeln+'!X320</f>
        <v>0</v>
      </c>
      <c r="H320" s="93">
        <f>'II_Inkunabeln+'!AA320</f>
        <v>0</v>
      </c>
      <c r="I320" s="93">
        <f>'II_Inkunabeln+'!AC320</f>
        <v>0</v>
      </c>
      <c r="J320" s="94"/>
      <c r="K320" s="93">
        <f>'II_Inkunabeln+'!AD320</f>
        <v>0</v>
      </c>
      <c r="L320" s="94"/>
      <c r="M320" s="94"/>
      <c r="N320" s="94"/>
      <c r="O320" s="94"/>
      <c r="P320" s="94"/>
      <c r="Q320" s="94"/>
      <c r="R320" s="94"/>
      <c r="S320" s="94"/>
      <c r="T320" s="94"/>
      <c r="U320" s="94"/>
      <c r="V320" s="94"/>
      <c r="W320" s="94">
        <f>'II_Inkunabeln+'!BA320</f>
        <v>0</v>
      </c>
      <c r="X320" s="108"/>
      <c r="Y320" s="93">
        <f>'II_Inkunabeln+'!BI320</f>
        <v>0</v>
      </c>
      <c r="Z320" s="81">
        <f>'II_Inkunabeln+'!BJ320</f>
        <v>0</v>
      </c>
    </row>
    <row r="321" spans="1:26" x14ac:dyDescent="0.25">
      <c r="A321" s="63">
        <f>'II_Inkunabeln+'!A321</f>
        <v>308</v>
      </c>
      <c r="B321" s="63" t="str">
        <f>'II_Inkunabeln+'!B321</f>
        <v>L-1496-315501995</v>
      </c>
      <c r="C321" s="63">
        <f>'II_Inkunabeln+'!C321</f>
        <v>1066971617</v>
      </c>
      <c r="D321" s="84" t="str">
        <f>'II_Inkunabeln+'!D321</f>
        <v>https://portal.dnb.de/opac.htm?method=simpleSearch&amp;cqlMode=true&amp;query=idn%3D1066971617</v>
      </c>
      <c r="E321" s="65" t="str">
        <f>'II_Inkunabeln+'!E321</f>
        <v>II 24,3x</v>
      </c>
      <c r="F321" s="65" t="str">
        <f>'II_Inkunabeln+'!H321</f>
        <v>bis 25 cm</v>
      </c>
      <c r="G321" s="93">
        <f>'II_Inkunabeln+'!X321</f>
        <v>0</v>
      </c>
      <c r="H321" s="93">
        <f>'II_Inkunabeln+'!AA321</f>
        <v>0</v>
      </c>
      <c r="I321" s="93">
        <f>'II_Inkunabeln+'!AC321</f>
        <v>0</v>
      </c>
      <c r="J321" s="94"/>
      <c r="K321" s="93">
        <f>'II_Inkunabeln+'!AD321</f>
        <v>0</v>
      </c>
      <c r="L321" s="94"/>
      <c r="M321" s="94"/>
      <c r="N321" s="94"/>
      <c r="O321" s="94"/>
      <c r="P321" s="94"/>
      <c r="Q321" s="94"/>
      <c r="R321" s="94"/>
      <c r="S321" s="94"/>
      <c r="T321" s="94"/>
      <c r="U321" s="94"/>
      <c r="V321" s="94"/>
      <c r="W321" s="94">
        <f>'II_Inkunabeln+'!BA321</f>
        <v>0</v>
      </c>
      <c r="X321" s="108"/>
      <c r="Y321" s="93">
        <f>'II_Inkunabeln+'!BI321</f>
        <v>0</v>
      </c>
      <c r="Z321" s="81">
        <f>'II_Inkunabeln+'!BJ321</f>
        <v>0</v>
      </c>
    </row>
    <row r="322" spans="1:26" x14ac:dyDescent="0.25">
      <c r="A322" s="63">
        <f>'II_Inkunabeln+'!A322</f>
        <v>309</v>
      </c>
      <c r="B322" s="63" t="str">
        <f>'II_Inkunabeln+'!B322</f>
        <v>L-1496-315495332</v>
      </c>
      <c r="C322" s="63">
        <f>'II_Inkunabeln+'!C322</f>
        <v>1066965188</v>
      </c>
      <c r="D322" s="84" t="str">
        <f>'II_Inkunabeln+'!D322</f>
        <v>https://portal.dnb.de/opac.htm?method=simpleSearch&amp;cqlMode=true&amp;query=idn%3D1066965188</v>
      </c>
      <c r="E322" s="65" t="str">
        <f>'II_Inkunabeln+'!E322</f>
        <v>II 24,3y</v>
      </c>
      <c r="F322" s="65" t="str">
        <f>'II_Inkunabeln+'!H322</f>
        <v>bis 35 cm</v>
      </c>
      <c r="G322" s="93">
        <f>'II_Inkunabeln+'!X322</f>
        <v>0</v>
      </c>
      <c r="H322" s="93">
        <f>'II_Inkunabeln+'!AA322</f>
        <v>0</v>
      </c>
      <c r="I322" s="93">
        <f>'II_Inkunabeln+'!AC322</f>
        <v>0</v>
      </c>
      <c r="J322" s="94"/>
      <c r="K322" s="93">
        <f>'II_Inkunabeln+'!AD322</f>
        <v>0</v>
      </c>
      <c r="L322" s="94"/>
      <c r="M322" s="94"/>
      <c r="N322" s="94"/>
      <c r="O322" s="94"/>
      <c r="P322" s="94"/>
      <c r="Q322" s="94"/>
      <c r="R322" s="94"/>
      <c r="S322" s="94"/>
      <c r="T322" s="94"/>
      <c r="U322" s="94"/>
      <c r="V322" s="94"/>
      <c r="W322" s="94">
        <f>'II_Inkunabeln+'!BA322</f>
        <v>0</v>
      </c>
      <c r="X322" s="108"/>
      <c r="Y322" s="93">
        <f>'II_Inkunabeln+'!BI322</f>
        <v>0</v>
      </c>
      <c r="Z322" s="81">
        <f>'II_Inkunabeln+'!BJ322</f>
        <v>0</v>
      </c>
    </row>
    <row r="323" spans="1:26" x14ac:dyDescent="0.25">
      <c r="A323" s="63">
        <f>'II_Inkunabeln+'!A323</f>
        <v>310</v>
      </c>
      <c r="B323" s="63" t="str">
        <f>'II_Inkunabeln+'!B323</f>
        <v>L-1497-31549994X</v>
      </c>
      <c r="C323" s="63">
        <f>'II_Inkunabeln+'!C323</f>
        <v>1066969612</v>
      </c>
      <c r="D323" s="84" t="str">
        <f>'II_Inkunabeln+'!D323</f>
        <v>https://portal.dnb.de/opac.htm?method=simpleSearch&amp;cqlMode=true&amp;query=idn%3D1066969612</v>
      </c>
      <c r="E323" s="65" t="str">
        <f>'II_Inkunabeln+'!E323</f>
        <v>II 24,3z</v>
      </c>
      <c r="F323" s="65">
        <f>'II_Inkunabeln+'!H323</f>
        <v>0</v>
      </c>
      <c r="G323" s="93">
        <f>'II_Inkunabeln+'!X323</f>
        <v>0</v>
      </c>
      <c r="H323" s="93">
        <f>'II_Inkunabeln+'!AA323</f>
        <v>0</v>
      </c>
      <c r="I323" s="93">
        <f>'II_Inkunabeln+'!AC323</f>
        <v>0</v>
      </c>
      <c r="J323" s="94"/>
      <c r="K323" s="93">
        <f>'II_Inkunabeln+'!AD323</f>
        <v>0</v>
      </c>
      <c r="L323" s="94"/>
      <c r="M323" s="94"/>
      <c r="N323" s="94"/>
      <c r="O323" s="94"/>
      <c r="P323" s="94"/>
      <c r="Q323" s="94"/>
      <c r="R323" s="94"/>
      <c r="S323" s="94"/>
      <c r="T323" s="94"/>
      <c r="U323" s="94"/>
      <c r="V323" s="94"/>
      <c r="W323" s="94">
        <f>'II_Inkunabeln+'!BA323</f>
        <v>0</v>
      </c>
      <c r="X323" s="108"/>
      <c r="Y323" s="93">
        <f>'II_Inkunabeln+'!BI323</f>
        <v>0</v>
      </c>
      <c r="Z323" s="81">
        <f>'II_Inkunabeln+'!BJ323</f>
        <v>0</v>
      </c>
    </row>
    <row r="324" spans="1:26" x14ac:dyDescent="0.25">
      <c r="A324" s="63">
        <f>'II_Inkunabeln+'!A324</f>
        <v>311</v>
      </c>
      <c r="B324" s="63" t="str">
        <f>'II_Inkunabeln+'!B324</f>
        <v>L-1482-302645780</v>
      </c>
      <c r="C324" s="63">
        <f>'II_Inkunabeln+'!C324</f>
        <v>1060137496</v>
      </c>
      <c r="D324" s="84" t="str">
        <f>'II_Inkunabeln+'!D324</f>
        <v>https://portal.dnb.de/opac.htm?method=simpleSearch&amp;cqlMode=true&amp;query=idn%3D1060137496</v>
      </c>
      <c r="E324" s="65" t="str">
        <f>'II_Inkunabeln+'!E324</f>
        <v>II 24,4 f</v>
      </c>
      <c r="F324" s="65">
        <f>'II_Inkunabeln+'!H324</f>
        <v>0</v>
      </c>
      <c r="G324" s="93">
        <f>'II_Inkunabeln+'!X324</f>
        <v>0</v>
      </c>
      <c r="H324" s="93">
        <f>'II_Inkunabeln+'!AA324</f>
        <v>0</v>
      </c>
      <c r="I324" s="93">
        <f>'II_Inkunabeln+'!AC324</f>
        <v>0</v>
      </c>
      <c r="J324" s="94"/>
      <c r="K324" s="93">
        <f>'II_Inkunabeln+'!AD324</f>
        <v>0</v>
      </c>
      <c r="L324" s="94"/>
      <c r="M324" s="94"/>
      <c r="N324" s="94"/>
      <c r="O324" s="94"/>
      <c r="P324" s="94"/>
      <c r="Q324" s="94"/>
      <c r="R324" s="94"/>
      <c r="S324" s="94"/>
      <c r="T324" s="94"/>
      <c r="U324" s="94"/>
      <c r="V324" s="94"/>
      <c r="W324" s="94">
        <f>'II_Inkunabeln+'!BA324</f>
        <v>0</v>
      </c>
      <c r="X324" s="108"/>
      <c r="Y324" s="93">
        <f>'II_Inkunabeln+'!BI324</f>
        <v>0</v>
      </c>
      <c r="Z324" s="81">
        <f>'II_Inkunabeln+'!BJ324</f>
        <v>0</v>
      </c>
    </row>
    <row r="325" spans="1:26" x14ac:dyDescent="0.25">
      <c r="A325" s="63">
        <f>'II_Inkunabeln+'!A325</f>
        <v>312</v>
      </c>
      <c r="B325" s="63" t="str">
        <f>'II_Inkunabeln+'!B325</f>
        <v>L-1485-302645535</v>
      </c>
      <c r="C325" s="63">
        <f>'II_Inkunabeln+'!C325</f>
        <v>1060136910</v>
      </c>
      <c r="D325" s="84" t="str">
        <f>'II_Inkunabeln+'!D325</f>
        <v>https://portal.dnb.de/opac.htm?method=simpleSearch&amp;cqlMode=true&amp;query=idn%3D1060136910</v>
      </c>
      <c r="E325" s="65" t="str">
        <f>'II_Inkunabeln+'!E325</f>
        <v>II 24,4 h</v>
      </c>
      <c r="F325" s="65">
        <f>'II_Inkunabeln+'!H325</f>
        <v>0</v>
      </c>
      <c r="G325" s="93">
        <f>'II_Inkunabeln+'!X325</f>
        <v>0</v>
      </c>
      <c r="H325" s="93">
        <f>'II_Inkunabeln+'!AA325</f>
        <v>0</v>
      </c>
      <c r="I325" s="93">
        <f>'II_Inkunabeln+'!AC325</f>
        <v>0</v>
      </c>
      <c r="J325" s="94"/>
      <c r="K325" s="93">
        <f>'II_Inkunabeln+'!AD325</f>
        <v>0</v>
      </c>
      <c r="L325" s="94"/>
      <c r="M325" s="94"/>
      <c r="N325" s="94"/>
      <c r="O325" s="94"/>
      <c r="P325" s="94"/>
      <c r="Q325" s="94"/>
      <c r="R325" s="94"/>
      <c r="S325" s="94"/>
      <c r="T325" s="94"/>
      <c r="U325" s="94"/>
      <c r="V325" s="94"/>
      <c r="W325" s="94">
        <f>'II_Inkunabeln+'!BA325</f>
        <v>0</v>
      </c>
      <c r="X325" s="108"/>
      <c r="Y325" s="93">
        <f>'II_Inkunabeln+'!BI325</f>
        <v>0</v>
      </c>
      <c r="Z325" s="81">
        <f>'II_Inkunabeln+'!BJ325</f>
        <v>0</v>
      </c>
    </row>
    <row r="326" spans="1:26" x14ac:dyDescent="0.25">
      <c r="A326" s="63">
        <f>'II_Inkunabeln+'!A326</f>
        <v>313</v>
      </c>
      <c r="B326" s="63" t="str">
        <f>'II_Inkunabeln+'!B326</f>
        <v>L-1472-315495197</v>
      </c>
      <c r="C326" s="63">
        <f>'II_Inkunabeln+'!C326</f>
        <v>1066965056</v>
      </c>
      <c r="D326" s="84" t="str">
        <f>'II_Inkunabeln+'!D326</f>
        <v>https://portal.dnb.de/opac.htm?method=simpleSearch&amp;cqlMode=true&amp;query=idn%3D1066965056</v>
      </c>
      <c r="E326" s="65" t="str">
        <f>'II_Inkunabeln+'!E326</f>
        <v>II 24,4a</v>
      </c>
      <c r="F326" s="65" t="str">
        <f>'II_Inkunabeln+'!H326</f>
        <v>bis 25 cm</v>
      </c>
      <c r="G326" s="93">
        <f>'II_Inkunabeln+'!X326</f>
        <v>0</v>
      </c>
      <c r="H326" s="93">
        <f>'II_Inkunabeln+'!AA326</f>
        <v>0</v>
      </c>
      <c r="I326" s="93">
        <f>'II_Inkunabeln+'!AC326</f>
        <v>0</v>
      </c>
      <c r="J326" s="94"/>
      <c r="K326" s="93">
        <f>'II_Inkunabeln+'!AD326</f>
        <v>0</v>
      </c>
      <c r="L326" s="94"/>
      <c r="M326" s="94"/>
      <c r="N326" s="94"/>
      <c r="O326" s="94"/>
      <c r="P326" s="94"/>
      <c r="Q326" s="94"/>
      <c r="R326" s="94"/>
      <c r="S326" s="94"/>
      <c r="T326" s="94"/>
      <c r="U326" s="94"/>
      <c r="V326" s="94"/>
      <c r="W326" s="94">
        <f>'II_Inkunabeln+'!BA326</f>
        <v>0</v>
      </c>
      <c r="X326" s="108"/>
      <c r="Y326" s="93">
        <f>'II_Inkunabeln+'!BI326</f>
        <v>0</v>
      </c>
      <c r="Z326" s="81">
        <f>'II_Inkunabeln+'!BJ326</f>
        <v>0</v>
      </c>
    </row>
    <row r="327" spans="1:26" x14ac:dyDescent="0.25">
      <c r="A327" s="63">
        <f>'II_Inkunabeln+'!A327</f>
        <v>314</v>
      </c>
      <c r="B327" s="63" t="str">
        <f>'II_Inkunabeln+'!B327</f>
        <v>L-1476-315499397</v>
      </c>
      <c r="C327" s="63">
        <f>'II_Inkunabeln+'!C327</f>
        <v>1066969094</v>
      </c>
      <c r="D327" s="84" t="str">
        <f>'II_Inkunabeln+'!D327</f>
        <v>https://portal.dnb.de/opac.htm?method=simpleSearch&amp;cqlMode=true&amp;query=idn%3D1066969094</v>
      </c>
      <c r="E327" s="65" t="str">
        <f>'II_Inkunabeln+'!E327</f>
        <v>II 24,4b</v>
      </c>
      <c r="F327" s="65" t="str">
        <f>'II_Inkunabeln+'!H327</f>
        <v>bis 42 cm</v>
      </c>
      <c r="G327" s="93">
        <f>'II_Inkunabeln+'!X327</f>
        <v>0</v>
      </c>
      <c r="H327" s="93">
        <f>'II_Inkunabeln+'!AA327</f>
        <v>0</v>
      </c>
      <c r="I327" s="93">
        <f>'II_Inkunabeln+'!AC327</f>
        <v>0</v>
      </c>
      <c r="J327" s="94"/>
      <c r="K327" s="93">
        <f>'II_Inkunabeln+'!AD327</f>
        <v>0</v>
      </c>
      <c r="L327" s="94"/>
      <c r="M327" s="94"/>
      <c r="N327" s="94"/>
      <c r="O327" s="94"/>
      <c r="P327" s="94"/>
      <c r="Q327" s="94"/>
      <c r="R327" s="94"/>
      <c r="S327" s="94"/>
      <c r="T327" s="94"/>
      <c r="U327" s="94"/>
      <c r="V327" s="94"/>
      <c r="W327" s="94">
        <f>'II_Inkunabeln+'!BA327</f>
        <v>0</v>
      </c>
      <c r="X327" s="108"/>
      <c r="Y327" s="93">
        <f>'II_Inkunabeln+'!BI327</f>
        <v>0</v>
      </c>
      <c r="Z327" s="81">
        <f>'II_Inkunabeln+'!BJ327</f>
        <v>0</v>
      </c>
    </row>
    <row r="328" spans="1:26" x14ac:dyDescent="0.25">
      <c r="A328" s="63">
        <f>'II_Inkunabeln+'!A328</f>
        <v>315</v>
      </c>
      <c r="B328" s="63" t="str">
        <f>'II_Inkunabeln+'!B328</f>
        <v>L-1478-315500166</v>
      </c>
      <c r="C328" s="63">
        <f>'II_Inkunabeln+'!C328</f>
        <v>1066969825</v>
      </c>
      <c r="D328" s="84" t="str">
        <f>'II_Inkunabeln+'!D328</f>
        <v>https://portal.dnb.de/opac.htm?method=simpleSearch&amp;cqlMode=true&amp;query=idn%3D1066969825</v>
      </c>
      <c r="E328" s="65" t="str">
        <f>'II_Inkunabeln+'!E328</f>
        <v>II 24,4c</v>
      </c>
      <c r="F328" s="65">
        <f>'II_Inkunabeln+'!H328</f>
        <v>0</v>
      </c>
      <c r="G328" s="93">
        <f>'II_Inkunabeln+'!X328</f>
        <v>0</v>
      </c>
      <c r="H328" s="93">
        <f>'II_Inkunabeln+'!AA328</f>
        <v>0</v>
      </c>
      <c r="I328" s="93">
        <f>'II_Inkunabeln+'!AC328</f>
        <v>0</v>
      </c>
      <c r="J328" s="94"/>
      <c r="K328" s="93">
        <f>'II_Inkunabeln+'!AD328</f>
        <v>0</v>
      </c>
      <c r="L328" s="94"/>
      <c r="M328" s="94"/>
      <c r="N328" s="94"/>
      <c r="O328" s="94"/>
      <c r="P328" s="94"/>
      <c r="Q328" s="94"/>
      <c r="R328" s="94"/>
      <c r="S328" s="94"/>
      <c r="T328" s="94"/>
      <c r="U328" s="94"/>
      <c r="V328" s="94"/>
      <c r="W328" s="94">
        <f>'II_Inkunabeln+'!BA328</f>
        <v>0</v>
      </c>
      <c r="X328" s="108"/>
      <c r="Y328" s="93">
        <f>'II_Inkunabeln+'!BI328</f>
        <v>0</v>
      </c>
      <c r="Z328" s="81">
        <f>'II_Inkunabeln+'!BJ328</f>
        <v>0</v>
      </c>
    </row>
    <row r="329" spans="1:26" x14ac:dyDescent="0.25">
      <c r="A329" s="63">
        <f>'II_Inkunabeln+'!A329</f>
        <v>316</v>
      </c>
      <c r="B329" s="63" t="str">
        <f>'II_Inkunabeln+'!B329</f>
        <v>L-1481-315502290</v>
      </c>
      <c r="C329" s="63">
        <f>'II_Inkunabeln+'!C329</f>
        <v>1066971897</v>
      </c>
      <c r="D329" s="84" t="str">
        <f>'II_Inkunabeln+'!D329</f>
        <v>https://portal.dnb.de/opac.htm?method=simpleSearch&amp;cqlMode=true&amp;query=idn%3D1066971897</v>
      </c>
      <c r="E329" s="65" t="str">
        <f>'II_Inkunabeln+'!E329</f>
        <v>II 24,4d</v>
      </c>
      <c r="F329" s="65" t="str">
        <f>'II_Inkunabeln+'!H329</f>
        <v>bis 35 cm</v>
      </c>
      <c r="G329" s="93">
        <f>'II_Inkunabeln+'!X329</f>
        <v>0</v>
      </c>
      <c r="H329" s="93">
        <f>'II_Inkunabeln+'!AA329</f>
        <v>0</v>
      </c>
      <c r="I329" s="93">
        <f>'II_Inkunabeln+'!AC329</f>
        <v>0</v>
      </c>
      <c r="J329" s="94"/>
      <c r="K329" s="93">
        <f>'II_Inkunabeln+'!AD329</f>
        <v>0</v>
      </c>
      <c r="L329" s="94"/>
      <c r="M329" s="94"/>
      <c r="N329" s="94"/>
      <c r="O329" s="94"/>
      <c r="P329" s="94"/>
      <c r="Q329" s="94"/>
      <c r="R329" s="94"/>
      <c r="S329" s="94"/>
      <c r="T329" s="94"/>
      <c r="U329" s="94"/>
      <c r="V329" s="94"/>
      <c r="W329" s="94">
        <f>'II_Inkunabeln+'!BA329</f>
        <v>0</v>
      </c>
      <c r="X329" s="108"/>
      <c r="Y329" s="93">
        <f>'II_Inkunabeln+'!BI329</f>
        <v>0</v>
      </c>
      <c r="Z329" s="81">
        <f>'II_Inkunabeln+'!BJ329</f>
        <v>0</v>
      </c>
    </row>
    <row r="330" spans="1:26" x14ac:dyDescent="0.25">
      <c r="A330" s="63">
        <f>'II_Inkunabeln+'!A330</f>
        <v>317</v>
      </c>
      <c r="B330" s="63" t="str">
        <f>'II_Inkunabeln+'!B330</f>
        <v>L-1482-315503211</v>
      </c>
      <c r="C330" s="63" t="str">
        <f>'II_Inkunabeln+'!C330</f>
        <v>106697280X</v>
      </c>
      <c r="D330" s="84" t="str">
        <f>'II_Inkunabeln+'!D330</f>
        <v>https://portal.dnb.de/opac.htm?method=simpleSearch&amp;cqlMode=true&amp;query=idn%3D106697280X</v>
      </c>
      <c r="E330" s="65" t="str">
        <f>'II_Inkunabeln+'!E330</f>
        <v>II 24,4e</v>
      </c>
      <c r="F330" s="65" t="str">
        <f>'II_Inkunabeln+'!H330</f>
        <v>bis 35 cm</v>
      </c>
      <c r="G330" s="93">
        <f>'II_Inkunabeln+'!X330</f>
        <v>0</v>
      </c>
      <c r="H330" s="93">
        <f>'II_Inkunabeln+'!AA330</f>
        <v>0</v>
      </c>
      <c r="I330" s="93">
        <f>'II_Inkunabeln+'!AC330</f>
        <v>0</v>
      </c>
      <c r="J330" s="94"/>
      <c r="K330" s="93">
        <f>'II_Inkunabeln+'!AD330</f>
        <v>0</v>
      </c>
      <c r="L330" s="94"/>
      <c r="M330" s="94"/>
      <c r="N330" s="94"/>
      <c r="O330" s="94"/>
      <c r="P330" s="94"/>
      <c r="Q330" s="94"/>
      <c r="R330" s="94"/>
      <c r="S330" s="94"/>
      <c r="T330" s="94"/>
      <c r="U330" s="94"/>
      <c r="V330" s="94"/>
      <c r="W330" s="94">
        <f>'II_Inkunabeln+'!BA330</f>
        <v>0</v>
      </c>
      <c r="X330" s="108"/>
      <c r="Y330" s="93">
        <f>'II_Inkunabeln+'!BI330</f>
        <v>0</v>
      </c>
      <c r="Z330" s="81">
        <f>'II_Inkunabeln+'!BJ330</f>
        <v>0</v>
      </c>
    </row>
    <row r="331" spans="1:26" x14ac:dyDescent="0.25">
      <c r="A331" s="63">
        <f>'II_Inkunabeln+'!A331</f>
        <v>318</v>
      </c>
      <c r="B331" s="63" t="str">
        <f>'II_Inkunabeln+'!B331</f>
        <v>L-1474-315502304</v>
      </c>
      <c r="C331" s="63">
        <f>'II_Inkunabeln+'!C331</f>
        <v>1066971900</v>
      </c>
      <c r="D331" s="84" t="str">
        <f>'II_Inkunabeln+'!D331</f>
        <v>https://portal.dnb.de/opac.htm?method=simpleSearch&amp;cqlMode=true&amp;query=idn%3D1066971900</v>
      </c>
      <c r="E331" s="65" t="str">
        <f>'II_Inkunabeln+'!E331</f>
        <v>II 24,5a</v>
      </c>
      <c r="F331" s="65" t="str">
        <f>'II_Inkunabeln+'!H331</f>
        <v>bis 25 cm</v>
      </c>
      <c r="G331" s="93">
        <f>'II_Inkunabeln+'!X331</f>
        <v>0</v>
      </c>
      <c r="H331" s="93">
        <f>'II_Inkunabeln+'!AA331</f>
        <v>0</v>
      </c>
      <c r="I331" s="93">
        <f>'II_Inkunabeln+'!AC331</f>
        <v>0</v>
      </c>
      <c r="J331" s="94"/>
      <c r="K331" s="93">
        <f>'II_Inkunabeln+'!AD331</f>
        <v>0</v>
      </c>
      <c r="L331" s="94"/>
      <c r="M331" s="94"/>
      <c r="N331" s="94"/>
      <c r="O331" s="94"/>
      <c r="P331" s="94"/>
      <c r="Q331" s="94"/>
      <c r="R331" s="94"/>
      <c r="S331" s="94"/>
      <c r="T331" s="94"/>
      <c r="U331" s="94"/>
      <c r="V331" s="94"/>
      <c r="W331" s="94">
        <f>'II_Inkunabeln+'!BA331</f>
        <v>0</v>
      </c>
      <c r="X331" s="108"/>
      <c r="Y331" s="93">
        <f>'II_Inkunabeln+'!BI331</f>
        <v>0</v>
      </c>
      <c r="Z331" s="81">
        <f>'II_Inkunabeln+'!BJ331</f>
        <v>0</v>
      </c>
    </row>
    <row r="332" spans="1:26" x14ac:dyDescent="0.25">
      <c r="A332" s="63">
        <f>'II_Inkunabeln+'!A332</f>
        <v>319</v>
      </c>
      <c r="B332" s="63" t="str">
        <f>'II_Inkunabeln+'!B332</f>
        <v>L-1480-326856560</v>
      </c>
      <c r="C332" s="63">
        <f>'II_Inkunabeln+'!C332</f>
        <v>1072060566</v>
      </c>
      <c r="D332" s="84" t="str">
        <f>'II_Inkunabeln+'!D332</f>
        <v>https://portal.dnb.de/opac.htm?method=simpleSearch&amp;cqlMode=true&amp;query=idn%3D1072060566</v>
      </c>
      <c r="E332" s="65" t="str">
        <f>'II_Inkunabeln+'!E332</f>
        <v>II 24,6a</v>
      </c>
      <c r="F332" s="65" t="str">
        <f>'II_Inkunabeln+'!H332</f>
        <v>bis 25 cm</v>
      </c>
      <c r="G332" s="93">
        <f>'II_Inkunabeln+'!X332</f>
        <v>0</v>
      </c>
      <c r="H332" s="93">
        <f>'II_Inkunabeln+'!AA332</f>
        <v>0</v>
      </c>
      <c r="I332" s="93">
        <f>'II_Inkunabeln+'!AC332</f>
        <v>0</v>
      </c>
      <c r="J332" s="94"/>
      <c r="K332" s="93">
        <f>'II_Inkunabeln+'!AD332</f>
        <v>0</v>
      </c>
      <c r="L332" s="94"/>
      <c r="M332" s="94"/>
      <c r="N332" s="94"/>
      <c r="O332" s="94"/>
      <c r="P332" s="94"/>
      <c r="Q332" s="94"/>
      <c r="R332" s="94"/>
      <c r="S332" s="94"/>
      <c r="T332" s="94"/>
      <c r="U332" s="94"/>
      <c r="V332" s="94"/>
      <c r="W332" s="94">
        <f>'II_Inkunabeln+'!BA332</f>
        <v>0</v>
      </c>
      <c r="X332" s="108"/>
      <c r="Y332" s="93">
        <f>'II_Inkunabeln+'!BI332</f>
        <v>0</v>
      </c>
      <c r="Z332" s="81">
        <f>'II_Inkunabeln+'!BJ332</f>
        <v>0</v>
      </c>
    </row>
    <row r="333" spans="1:26" x14ac:dyDescent="0.25">
      <c r="A333" s="63">
        <f>'II_Inkunabeln+'!A333</f>
        <v>320</v>
      </c>
      <c r="B333" s="63" t="str">
        <f>'II_Inkunabeln+'!B333</f>
        <v>L-1483-315503483</v>
      </c>
      <c r="C333" s="63">
        <f>'II_Inkunabeln+'!C333</f>
        <v>1066973105</v>
      </c>
      <c r="D333" s="84" t="str">
        <f>'II_Inkunabeln+'!D333</f>
        <v>https://portal.dnb.de/opac.htm?method=simpleSearch&amp;cqlMode=true&amp;query=idn%3D1066973105</v>
      </c>
      <c r="E333" s="65" t="str">
        <f>'II_Inkunabeln+'!E333</f>
        <v>II 24,6b</v>
      </c>
      <c r="F333" s="65" t="str">
        <f>'II_Inkunabeln+'!H333</f>
        <v>bis 25 cm</v>
      </c>
      <c r="G333" s="93">
        <f>'II_Inkunabeln+'!X333</f>
        <v>0</v>
      </c>
      <c r="H333" s="93">
        <f>'II_Inkunabeln+'!AA333</f>
        <v>0</v>
      </c>
      <c r="I333" s="93">
        <f>'II_Inkunabeln+'!AC333</f>
        <v>0</v>
      </c>
      <c r="J333" s="94"/>
      <c r="K333" s="93">
        <f>'II_Inkunabeln+'!AD333</f>
        <v>0</v>
      </c>
      <c r="L333" s="94"/>
      <c r="M333" s="94"/>
      <c r="N333" s="94"/>
      <c r="O333" s="94"/>
      <c r="P333" s="94"/>
      <c r="Q333" s="94"/>
      <c r="R333" s="94"/>
      <c r="S333" s="94"/>
      <c r="T333" s="94"/>
      <c r="U333" s="94"/>
      <c r="V333" s="94"/>
      <c r="W333" s="94">
        <f>'II_Inkunabeln+'!BA333</f>
        <v>0</v>
      </c>
      <c r="X333" s="108"/>
      <c r="Y333" s="93">
        <f>'II_Inkunabeln+'!BI333</f>
        <v>0</v>
      </c>
      <c r="Z333" s="81">
        <f>'II_Inkunabeln+'!BJ333</f>
        <v>0</v>
      </c>
    </row>
    <row r="334" spans="1:26" x14ac:dyDescent="0.25">
      <c r="A334" s="63">
        <f>'II_Inkunabeln+'!A334</f>
        <v>321</v>
      </c>
      <c r="B334" s="63" t="str">
        <f>'II_Inkunabeln+'!B334</f>
        <v>L-1481-315503238</v>
      </c>
      <c r="C334" s="63">
        <f>'II_Inkunabeln+'!C334</f>
        <v>1066972834</v>
      </c>
      <c r="D334" s="84" t="str">
        <f>'II_Inkunabeln+'!D334</f>
        <v>https://portal.dnb.de/opac.htm?method=simpleSearch&amp;cqlMode=true&amp;query=idn%3D1066972834</v>
      </c>
      <c r="E334" s="65" t="str">
        <f>'II_Inkunabeln+'!E334</f>
        <v>II 24,7a</v>
      </c>
      <c r="F334" s="65" t="str">
        <f>'II_Inkunabeln+'!H334</f>
        <v>bis 25 cm</v>
      </c>
      <c r="G334" s="93">
        <f>'II_Inkunabeln+'!X334</f>
        <v>0</v>
      </c>
      <c r="H334" s="93">
        <f>'II_Inkunabeln+'!AA334</f>
        <v>0</v>
      </c>
      <c r="I334" s="93">
        <f>'II_Inkunabeln+'!AC334</f>
        <v>0</v>
      </c>
      <c r="J334" s="94"/>
      <c r="K334" s="93">
        <f>'II_Inkunabeln+'!AD334</f>
        <v>0</v>
      </c>
      <c r="L334" s="94"/>
      <c r="M334" s="94"/>
      <c r="N334" s="94"/>
      <c r="O334" s="94"/>
      <c r="P334" s="94"/>
      <c r="Q334" s="94"/>
      <c r="R334" s="94"/>
      <c r="S334" s="94"/>
      <c r="T334" s="94"/>
      <c r="U334" s="94"/>
      <c r="V334" s="94"/>
      <c r="W334" s="94">
        <f>'II_Inkunabeln+'!BA334</f>
        <v>0</v>
      </c>
      <c r="X334" s="108"/>
      <c r="Y334" s="93">
        <f>'II_Inkunabeln+'!BI334</f>
        <v>0</v>
      </c>
      <c r="Z334" s="81">
        <f>'II_Inkunabeln+'!BJ334</f>
        <v>0</v>
      </c>
    </row>
    <row r="335" spans="1:26" x14ac:dyDescent="0.25">
      <c r="A335" s="63">
        <f>'II_Inkunabeln+'!A335</f>
        <v>322</v>
      </c>
      <c r="B335" s="63" t="str">
        <f>'II_Inkunabeln+'!B335</f>
        <v>L-1481-315503475</v>
      </c>
      <c r="C335" s="63">
        <f>'II_Inkunabeln+'!C335</f>
        <v>1066973091</v>
      </c>
      <c r="D335" s="84" t="str">
        <f>'II_Inkunabeln+'!D335</f>
        <v>https://portal.dnb.de/opac.htm?method=simpleSearch&amp;cqlMode=true&amp;query=idn%3D1066973091</v>
      </c>
      <c r="E335" s="65" t="str">
        <f>'II_Inkunabeln+'!E335</f>
        <v>II 24,7b</v>
      </c>
      <c r="F335" s="65" t="str">
        <f>'II_Inkunabeln+'!H335</f>
        <v>bis 25 cm</v>
      </c>
      <c r="G335" s="93">
        <f>'II_Inkunabeln+'!X335</f>
        <v>0</v>
      </c>
      <c r="H335" s="93">
        <f>'II_Inkunabeln+'!AA335</f>
        <v>0</v>
      </c>
      <c r="I335" s="93">
        <f>'II_Inkunabeln+'!AC335</f>
        <v>0</v>
      </c>
      <c r="J335" s="94"/>
      <c r="K335" s="93">
        <f>'II_Inkunabeln+'!AD335</f>
        <v>0</v>
      </c>
      <c r="L335" s="94"/>
      <c r="M335" s="94"/>
      <c r="N335" s="94"/>
      <c r="O335" s="94"/>
      <c r="P335" s="94"/>
      <c r="Q335" s="94"/>
      <c r="R335" s="94"/>
      <c r="S335" s="94"/>
      <c r="T335" s="94"/>
      <c r="U335" s="94"/>
      <c r="V335" s="94"/>
      <c r="W335" s="94">
        <f>'II_Inkunabeln+'!BA335</f>
        <v>0</v>
      </c>
      <c r="X335" s="108"/>
      <c r="Y335" s="93">
        <f>'II_Inkunabeln+'!BI335</f>
        <v>0</v>
      </c>
      <c r="Z335" s="81">
        <f>'II_Inkunabeln+'!BJ335</f>
        <v>0</v>
      </c>
    </row>
    <row r="336" spans="1:26" x14ac:dyDescent="0.25">
      <c r="A336" s="63">
        <f>'II_Inkunabeln+'!A336</f>
        <v>323</v>
      </c>
      <c r="B336" s="63" t="str">
        <f>'II_Inkunabeln+'!B336</f>
        <v>L-1486-315503491</v>
      </c>
      <c r="C336" s="63">
        <f>'II_Inkunabeln+'!C336</f>
        <v>1066973113</v>
      </c>
      <c r="D336" s="84" t="str">
        <f>'II_Inkunabeln+'!D336</f>
        <v>https://portal.dnb.de/opac.htm?method=simpleSearch&amp;cqlMode=true&amp;query=idn%3D1066973113</v>
      </c>
      <c r="E336" s="65" t="str">
        <f>'II_Inkunabeln+'!E336</f>
        <v>II 24,7c</v>
      </c>
      <c r="F336" s="65" t="str">
        <f>'II_Inkunabeln+'!H336</f>
        <v>bis 25 cm</v>
      </c>
      <c r="G336" s="93">
        <f>'II_Inkunabeln+'!X336</f>
        <v>0</v>
      </c>
      <c r="H336" s="93">
        <f>'II_Inkunabeln+'!AA336</f>
        <v>0</v>
      </c>
      <c r="I336" s="93">
        <f>'II_Inkunabeln+'!AC336</f>
        <v>0</v>
      </c>
      <c r="J336" s="94"/>
      <c r="K336" s="93">
        <f>'II_Inkunabeln+'!AD336</f>
        <v>0</v>
      </c>
      <c r="L336" s="94"/>
      <c r="M336" s="94"/>
      <c r="N336" s="94"/>
      <c r="O336" s="94"/>
      <c r="P336" s="94"/>
      <c r="Q336" s="94"/>
      <c r="R336" s="94"/>
      <c r="S336" s="94"/>
      <c r="T336" s="94"/>
      <c r="U336" s="94"/>
      <c r="V336" s="94"/>
      <c r="W336" s="94">
        <f>'II_Inkunabeln+'!BA336</f>
        <v>0</v>
      </c>
      <c r="X336" s="108"/>
      <c r="Y336" s="93">
        <f>'II_Inkunabeln+'!BI336</f>
        <v>0</v>
      </c>
      <c r="Z336" s="81">
        <f>'II_Inkunabeln+'!BJ336</f>
        <v>0</v>
      </c>
    </row>
    <row r="337" spans="1:26" x14ac:dyDescent="0.25">
      <c r="A337" s="63">
        <f>'II_Inkunabeln+'!A337</f>
        <v>324</v>
      </c>
      <c r="B337" s="63" t="str">
        <f>'II_Inkunabeln+'!B337</f>
        <v>L-1483-315501235</v>
      </c>
      <c r="C337" s="63">
        <f>'II_Inkunabeln+'!C337</f>
        <v>1066970874</v>
      </c>
      <c r="D337" s="84" t="str">
        <f>'II_Inkunabeln+'!D337</f>
        <v>https://portal.dnb.de/opac.htm?method=simpleSearch&amp;cqlMode=true&amp;query=idn%3D1066970874</v>
      </c>
      <c r="E337" s="65" t="str">
        <f>'II_Inkunabeln+'!E337</f>
        <v>II 24,8a</v>
      </c>
      <c r="F337" s="65" t="str">
        <f>'II_Inkunabeln+'!H337</f>
        <v>bis 25 cm</v>
      </c>
      <c r="G337" s="93">
        <f>'II_Inkunabeln+'!X337</f>
        <v>0</v>
      </c>
      <c r="H337" s="93">
        <f>'II_Inkunabeln+'!AA337</f>
        <v>0</v>
      </c>
      <c r="I337" s="93">
        <f>'II_Inkunabeln+'!AC337</f>
        <v>0</v>
      </c>
      <c r="J337" s="94"/>
      <c r="K337" s="93">
        <f>'II_Inkunabeln+'!AD337</f>
        <v>0</v>
      </c>
      <c r="L337" s="94"/>
      <c r="M337" s="94"/>
      <c r="N337" s="94"/>
      <c r="O337" s="94"/>
      <c r="P337" s="94"/>
      <c r="Q337" s="94"/>
      <c r="R337" s="94"/>
      <c r="S337" s="94"/>
      <c r="T337" s="94"/>
      <c r="U337" s="94"/>
      <c r="V337" s="94"/>
      <c r="W337" s="94">
        <f>'II_Inkunabeln+'!BA337</f>
        <v>0</v>
      </c>
      <c r="X337" s="108"/>
      <c r="Y337" s="93">
        <f>'II_Inkunabeln+'!BI337</f>
        <v>0</v>
      </c>
      <c r="Z337" s="81">
        <f>'II_Inkunabeln+'!BJ337</f>
        <v>0</v>
      </c>
    </row>
    <row r="338" spans="1:26" x14ac:dyDescent="0.25">
      <c r="A338" s="63">
        <f>'II_Inkunabeln+'!A338</f>
        <v>325</v>
      </c>
      <c r="B338" s="63" t="str">
        <f>'II_Inkunabeln+'!B338</f>
        <v>L-1495-315498056</v>
      </c>
      <c r="C338" s="63">
        <f>'II_Inkunabeln+'!C338</f>
        <v>1066967784</v>
      </c>
      <c r="D338" s="84" t="str">
        <f>'II_Inkunabeln+'!D338</f>
        <v>https://portal.dnb.de/opac.htm?method=simpleSearch&amp;cqlMode=true&amp;query=idn%3D1066967784</v>
      </c>
      <c r="E338" s="65" t="str">
        <f>'II_Inkunabeln+'!E338</f>
        <v>II 24,8b</v>
      </c>
      <c r="F338" s="65" t="str">
        <f>'II_Inkunabeln+'!H338</f>
        <v>bis 25 cm</v>
      </c>
      <c r="G338" s="93">
        <f>'II_Inkunabeln+'!X338</f>
        <v>0</v>
      </c>
      <c r="H338" s="93">
        <f>'II_Inkunabeln+'!AA338</f>
        <v>0</v>
      </c>
      <c r="I338" s="93">
        <f>'II_Inkunabeln+'!AC338</f>
        <v>0</v>
      </c>
      <c r="J338" s="94"/>
      <c r="K338" s="93">
        <f>'II_Inkunabeln+'!AD338</f>
        <v>0</v>
      </c>
      <c r="L338" s="94"/>
      <c r="M338" s="94"/>
      <c r="N338" s="94"/>
      <c r="O338" s="94"/>
      <c r="P338" s="94"/>
      <c r="Q338" s="94"/>
      <c r="R338" s="94"/>
      <c r="S338" s="94"/>
      <c r="T338" s="94"/>
      <c r="U338" s="94"/>
      <c r="V338" s="94"/>
      <c r="W338" s="94">
        <f>'II_Inkunabeln+'!BA338</f>
        <v>0</v>
      </c>
      <c r="X338" s="108"/>
      <c r="Y338" s="93">
        <f>'II_Inkunabeln+'!BI338</f>
        <v>0</v>
      </c>
      <c r="Z338" s="81">
        <f>'II_Inkunabeln+'!BJ338</f>
        <v>0</v>
      </c>
    </row>
    <row r="339" spans="1:26" x14ac:dyDescent="0.25">
      <c r="A339" s="63">
        <f>'II_Inkunabeln+'!A339</f>
        <v>326</v>
      </c>
      <c r="B339" s="63" t="str">
        <f>'II_Inkunabeln+'!B339</f>
        <v>L-1489-315503394</v>
      </c>
      <c r="C339" s="63">
        <f>'II_Inkunabeln+'!C339</f>
        <v>1066973024</v>
      </c>
      <c r="D339" s="84" t="str">
        <f>'II_Inkunabeln+'!D339</f>
        <v>https://portal.dnb.de/opac.htm?method=simpleSearch&amp;cqlMode=true&amp;query=idn%3D1066973024</v>
      </c>
      <c r="E339" s="65" t="str">
        <f>'II_Inkunabeln+'!E339</f>
        <v>II 24,8c</v>
      </c>
      <c r="F339" s="65" t="str">
        <f>'II_Inkunabeln+'!H339</f>
        <v>bis 25 cm</v>
      </c>
      <c r="G339" s="93">
        <f>'II_Inkunabeln+'!X339</f>
        <v>0</v>
      </c>
      <c r="H339" s="93">
        <f>'II_Inkunabeln+'!AA339</f>
        <v>0</v>
      </c>
      <c r="I339" s="93">
        <f>'II_Inkunabeln+'!AC339</f>
        <v>0</v>
      </c>
      <c r="J339" s="94"/>
      <c r="K339" s="93">
        <f>'II_Inkunabeln+'!AD339</f>
        <v>0</v>
      </c>
      <c r="L339" s="94"/>
      <c r="M339" s="94"/>
      <c r="N339" s="94"/>
      <c r="O339" s="94"/>
      <c r="P339" s="94"/>
      <c r="Q339" s="94"/>
      <c r="R339" s="94"/>
      <c r="S339" s="94"/>
      <c r="T339" s="94"/>
      <c r="U339" s="94"/>
      <c r="V339" s="94"/>
      <c r="W339" s="94">
        <f>'II_Inkunabeln+'!BA339</f>
        <v>0</v>
      </c>
      <c r="X339" s="108"/>
      <c r="Y339" s="93">
        <f>'II_Inkunabeln+'!BI339</f>
        <v>0</v>
      </c>
      <c r="Z339" s="81">
        <f>'II_Inkunabeln+'!BJ339</f>
        <v>0</v>
      </c>
    </row>
    <row r="340" spans="1:26" x14ac:dyDescent="0.25">
      <c r="A340" s="63">
        <f>'II_Inkunabeln+'!A340</f>
        <v>327</v>
      </c>
      <c r="B340" s="63" t="str">
        <f>'II_Inkunabeln+'!B340</f>
        <v>L-1484-286786508</v>
      </c>
      <c r="C340" s="63">
        <f>'II_Inkunabeln+'!C340</f>
        <v>1048166694</v>
      </c>
      <c r="D340" s="84" t="str">
        <f>'II_Inkunabeln+'!D340</f>
        <v>https://portal.dnb.de/opac.htm?method=simpleSearch&amp;cqlMode=true&amp;query=idn%3D1048166694</v>
      </c>
      <c r="E340" s="65" t="str">
        <f>'II_Inkunabeln+'!E340</f>
        <v>II 24,9a</v>
      </c>
      <c r="F340" s="65" t="str">
        <f>'II_Inkunabeln+'!H340</f>
        <v>bis 25 cm</v>
      </c>
      <c r="G340" s="93">
        <f>'II_Inkunabeln+'!X340</f>
        <v>0</v>
      </c>
      <c r="H340" s="93">
        <f>'II_Inkunabeln+'!AA340</f>
        <v>0</v>
      </c>
      <c r="I340" s="93">
        <f>'II_Inkunabeln+'!AC340</f>
        <v>0</v>
      </c>
      <c r="J340" s="94"/>
      <c r="K340" s="93">
        <f>'II_Inkunabeln+'!AD340</f>
        <v>0</v>
      </c>
      <c r="L340" s="94"/>
      <c r="M340" s="94"/>
      <c r="N340" s="94"/>
      <c r="O340" s="94"/>
      <c r="P340" s="94"/>
      <c r="Q340" s="94"/>
      <c r="R340" s="94"/>
      <c r="S340" s="94"/>
      <c r="T340" s="94"/>
      <c r="U340" s="94"/>
      <c r="V340" s="94"/>
      <c r="W340" s="94">
        <f>'II_Inkunabeln+'!BA340</f>
        <v>0</v>
      </c>
      <c r="X340" s="108"/>
      <c r="Y340" s="93">
        <f>'II_Inkunabeln+'!BI340</f>
        <v>0</v>
      </c>
      <c r="Z340" s="81">
        <f>'II_Inkunabeln+'!BJ340</f>
        <v>0</v>
      </c>
    </row>
    <row r="341" spans="1:26" x14ac:dyDescent="0.25">
      <c r="A341" s="63">
        <f>'II_Inkunabeln+'!A341</f>
        <v>328</v>
      </c>
      <c r="B341" s="63" t="str">
        <f>'II_Inkunabeln+'!B341</f>
        <v>L-1489-31550062X</v>
      </c>
      <c r="C341" s="63">
        <f>'II_Inkunabeln+'!C341</f>
        <v>1066970289</v>
      </c>
      <c r="D341" s="84" t="str">
        <f>'II_Inkunabeln+'!D341</f>
        <v>https://portal.dnb.de/opac.htm?method=simpleSearch&amp;cqlMode=true&amp;query=idn%3D1066970289</v>
      </c>
      <c r="E341" s="65" t="str">
        <f>'II_Inkunabeln+'!E341</f>
        <v>II 24,9b</v>
      </c>
      <c r="F341" s="65" t="str">
        <f>'II_Inkunabeln+'!H341</f>
        <v>bis 25 cm</v>
      </c>
      <c r="G341" s="93">
        <f>'II_Inkunabeln+'!X341</f>
        <v>0</v>
      </c>
      <c r="H341" s="93">
        <f>'II_Inkunabeln+'!AA341</f>
        <v>0</v>
      </c>
      <c r="I341" s="93">
        <f>'II_Inkunabeln+'!AC341</f>
        <v>0</v>
      </c>
      <c r="J341" s="94"/>
      <c r="K341" s="93">
        <f>'II_Inkunabeln+'!AD341</f>
        <v>0</v>
      </c>
      <c r="L341" s="94"/>
      <c r="M341" s="94"/>
      <c r="N341" s="94"/>
      <c r="O341" s="94"/>
      <c r="P341" s="94"/>
      <c r="Q341" s="94"/>
      <c r="R341" s="94"/>
      <c r="S341" s="94"/>
      <c r="T341" s="94"/>
      <c r="U341" s="94"/>
      <c r="V341" s="94"/>
      <c r="W341" s="94">
        <f>'II_Inkunabeln+'!BA341</f>
        <v>0</v>
      </c>
      <c r="X341" s="108"/>
      <c r="Y341" s="93">
        <f>'II_Inkunabeln+'!BI341</f>
        <v>0</v>
      </c>
      <c r="Z341" s="81">
        <f>'II_Inkunabeln+'!BJ341</f>
        <v>0</v>
      </c>
    </row>
    <row r="342" spans="1:26" x14ac:dyDescent="0.25">
      <c r="A342" s="63">
        <f>'II_Inkunabeln+'!A342</f>
        <v>329</v>
      </c>
      <c r="B342" s="63" t="str">
        <f>'II_Inkunabeln+'!B342</f>
        <v>L-1492-32685682X</v>
      </c>
      <c r="C342" s="63">
        <f>'II_Inkunabeln+'!C342</f>
        <v>1072060930</v>
      </c>
      <c r="D342" s="84" t="str">
        <f>'II_Inkunabeln+'!D342</f>
        <v>https://portal.dnb.de/opac.htm?method=simpleSearch&amp;cqlMode=true&amp;query=idn%3D1072060930</v>
      </c>
      <c r="E342" s="65" t="str">
        <f>'II_Inkunabeln+'!E342</f>
        <v>II 24,9c</v>
      </c>
      <c r="F342" s="65" t="str">
        <f>'II_Inkunabeln+'!H342</f>
        <v>bis 42 cm</v>
      </c>
      <c r="G342" s="93">
        <f>'II_Inkunabeln+'!X342</f>
        <v>0</v>
      </c>
      <c r="H342" s="93">
        <f>'II_Inkunabeln+'!AA342</f>
        <v>0</v>
      </c>
      <c r="I342" s="93">
        <f>'II_Inkunabeln+'!AC342</f>
        <v>0</v>
      </c>
      <c r="J342" s="94"/>
      <c r="K342" s="93">
        <f>'II_Inkunabeln+'!AD342</f>
        <v>0</v>
      </c>
      <c r="L342" s="94"/>
      <c r="M342" s="94"/>
      <c r="N342" s="94"/>
      <c r="O342" s="94"/>
      <c r="P342" s="94"/>
      <c r="Q342" s="94"/>
      <c r="R342" s="94"/>
      <c r="S342" s="94"/>
      <c r="T342" s="94"/>
      <c r="U342" s="94"/>
      <c r="V342" s="94"/>
      <c r="W342" s="94">
        <f>'II_Inkunabeln+'!BA342</f>
        <v>0</v>
      </c>
      <c r="X342" s="108"/>
      <c r="Y342" s="93">
        <f>'II_Inkunabeln+'!BI342</f>
        <v>0</v>
      </c>
      <c r="Z342" s="81">
        <f>'II_Inkunabeln+'!BJ342</f>
        <v>0</v>
      </c>
    </row>
    <row r="343" spans="1:26" x14ac:dyDescent="0.25">
      <c r="A343" s="63">
        <f>'II_Inkunabeln+'!A343</f>
        <v>330</v>
      </c>
      <c r="B343" s="63" t="str">
        <f>'II_Inkunabeln+'!B343</f>
        <v>L-1493-316402567</v>
      </c>
      <c r="C343" s="63">
        <f>'II_Inkunabeln+'!C343</f>
        <v>1067439137</v>
      </c>
      <c r="D343" s="84" t="str">
        <f>'II_Inkunabeln+'!D343</f>
        <v>https://portal.dnb.de/opac.htm?method=simpleSearch&amp;cqlMode=true&amp;query=idn%3D1067439137</v>
      </c>
      <c r="E343" s="65" t="str">
        <f>'II_Inkunabeln+'!E343</f>
        <v>II 24,9d - Fragm.</v>
      </c>
      <c r="F343" s="65">
        <f>'II_Inkunabeln+'!H343</f>
        <v>0</v>
      </c>
      <c r="G343" s="93">
        <f>'II_Inkunabeln+'!X343</f>
        <v>0</v>
      </c>
      <c r="H343" s="93">
        <f>'II_Inkunabeln+'!AA343</f>
        <v>0</v>
      </c>
      <c r="I343" s="93">
        <f>'II_Inkunabeln+'!AC343</f>
        <v>0</v>
      </c>
      <c r="J343" s="94"/>
      <c r="K343" s="93">
        <f>'II_Inkunabeln+'!AD343</f>
        <v>0</v>
      </c>
      <c r="L343" s="94"/>
      <c r="M343" s="94"/>
      <c r="N343" s="94"/>
      <c r="O343" s="94"/>
      <c r="P343" s="94"/>
      <c r="Q343" s="94"/>
      <c r="R343" s="94"/>
      <c r="S343" s="94"/>
      <c r="T343" s="94"/>
      <c r="U343" s="94"/>
      <c r="V343" s="94"/>
      <c r="W343" s="94">
        <f>'II_Inkunabeln+'!BA343</f>
        <v>0</v>
      </c>
      <c r="X343" s="108"/>
      <c r="Y343" s="93">
        <f>'II_Inkunabeln+'!BI343</f>
        <v>0</v>
      </c>
      <c r="Z343" s="81">
        <f>'II_Inkunabeln+'!BJ343</f>
        <v>0</v>
      </c>
    </row>
    <row r="344" spans="1:26" x14ac:dyDescent="0.25">
      <c r="A344" s="63">
        <f>'II_Inkunabeln+'!A344</f>
        <v>331</v>
      </c>
      <c r="B344" s="63" t="str">
        <f>'II_Inkunabeln+'!B344</f>
        <v>L-1498-316402575</v>
      </c>
      <c r="C344" s="63">
        <f>'II_Inkunabeln+'!C344</f>
        <v>1067439188</v>
      </c>
      <c r="D344" s="84" t="str">
        <f>'II_Inkunabeln+'!D344</f>
        <v>https://portal.dnb.de/opac.htm?method=simpleSearch&amp;cqlMode=true&amp;query=idn%3D1067439188</v>
      </c>
      <c r="E344" s="65" t="str">
        <f>'II_Inkunabeln+'!E344</f>
        <v>II 24,9e - Fragm.</v>
      </c>
      <c r="F344" s="65">
        <f>'II_Inkunabeln+'!H344</f>
        <v>0</v>
      </c>
      <c r="G344" s="93">
        <f>'II_Inkunabeln+'!X344</f>
        <v>0</v>
      </c>
      <c r="H344" s="93">
        <f>'II_Inkunabeln+'!AA344</f>
        <v>0</v>
      </c>
      <c r="I344" s="93">
        <f>'II_Inkunabeln+'!AC344</f>
        <v>0</v>
      </c>
      <c r="J344" s="94"/>
      <c r="K344" s="93">
        <f>'II_Inkunabeln+'!AD344</f>
        <v>0</v>
      </c>
      <c r="L344" s="94"/>
      <c r="M344" s="94"/>
      <c r="N344" s="94"/>
      <c r="O344" s="94"/>
      <c r="P344" s="94"/>
      <c r="Q344" s="94"/>
      <c r="R344" s="94"/>
      <c r="S344" s="94"/>
      <c r="T344" s="94"/>
      <c r="U344" s="94"/>
      <c r="V344" s="94"/>
      <c r="W344" s="94">
        <f>'II_Inkunabeln+'!BA344</f>
        <v>0</v>
      </c>
      <c r="X344" s="108"/>
      <c r="Y344" s="93">
        <f>'II_Inkunabeln+'!BI344</f>
        <v>0</v>
      </c>
      <c r="Z344" s="81">
        <f>'II_Inkunabeln+'!BJ344</f>
        <v>0</v>
      </c>
    </row>
    <row r="345" spans="1:26" x14ac:dyDescent="0.25">
      <c r="A345" s="63">
        <f>'II_Inkunabeln+'!A345</f>
        <v>332</v>
      </c>
      <c r="B345" s="63" t="str">
        <f>'II_Inkunabeln+'!B345</f>
        <v>L-1496-315499184</v>
      </c>
      <c r="C345" s="63" t="str">
        <f>'II_Inkunabeln+'!C345</f>
        <v>106696890X</v>
      </c>
      <c r="D345" s="84" t="str">
        <f>'II_Inkunabeln+'!D345</f>
        <v>https://portal.dnb.de/opac.htm?method=simpleSearch&amp;cqlMode=true&amp;query=idn%3D106696890X</v>
      </c>
      <c r="E345" s="65" t="str">
        <f>'II_Inkunabeln+'!E345</f>
        <v>II 24,9f</v>
      </c>
      <c r="F345" s="65" t="str">
        <f>'II_Inkunabeln+'!H345</f>
        <v>bis 35 cm</v>
      </c>
      <c r="G345" s="93">
        <f>'II_Inkunabeln+'!X345</f>
        <v>0</v>
      </c>
      <c r="H345" s="93">
        <f>'II_Inkunabeln+'!AA345</f>
        <v>0</v>
      </c>
      <c r="I345" s="93">
        <f>'II_Inkunabeln+'!AC345</f>
        <v>0</v>
      </c>
      <c r="J345" s="94"/>
      <c r="K345" s="93">
        <f>'II_Inkunabeln+'!AD345</f>
        <v>0</v>
      </c>
      <c r="L345" s="94"/>
      <c r="M345" s="94"/>
      <c r="N345" s="94"/>
      <c r="O345" s="94"/>
      <c r="P345" s="94"/>
      <c r="Q345" s="94"/>
      <c r="R345" s="94"/>
      <c r="S345" s="94"/>
      <c r="T345" s="94"/>
      <c r="U345" s="94"/>
      <c r="V345" s="94"/>
      <c r="W345" s="94">
        <f>'II_Inkunabeln+'!BA345</f>
        <v>0</v>
      </c>
      <c r="X345" s="108"/>
      <c r="Y345" s="93">
        <f>'II_Inkunabeln+'!BI345</f>
        <v>0</v>
      </c>
      <c r="Z345" s="81">
        <f>'II_Inkunabeln+'!BJ345</f>
        <v>0</v>
      </c>
    </row>
    <row r="346" spans="1:26" x14ac:dyDescent="0.25">
      <c r="A346" s="63">
        <f>'II_Inkunabeln+'!A346</f>
        <v>333</v>
      </c>
      <c r="B346" s="63" t="str">
        <f>'II_Inkunabeln+'!B346</f>
        <v>L-1498-315495014</v>
      </c>
      <c r="C346" s="63" t="str">
        <f>'II_Inkunabeln+'!C346</f>
        <v>106696484X</v>
      </c>
      <c r="D346" s="84" t="str">
        <f>'II_Inkunabeln+'!D346</f>
        <v>https://portal.dnb.de/opac.htm?method=simpleSearch&amp;cqlMode=true&amp;query=idn%3D106696484X</v>
      </c>
      <c r="E346" s="65" t="str">
        <f>'II_Inkunabeln+'!E346</f>
        <v>II 24,10a</v>
      </c>
      <c r="F346" s="65" t="str">
        <f>'II_Inkunabeln+'!H346</f>
        <v>bis 25 cm</v>
      </c>
      <c r="G346" s="93">
        <f>'II_Inkunabeln+'!X346</f>
        <v>0</v>
      </c>
      <c r="H346" s="93">
        <f>'II_Inkunabeln+'!AA346</f>
        <v>0</v>
      </c>
      <c r="I346" s="93">
        <f>'II_Inkunabeln+'!AC346</f>
        <v>0</v>
      </c>
      <c r="J346" s="94"/>
      <c r="K346" s="93">
        <f>'II_Inkunabeln+'!AD346</f>
        <v>0</v>
      </c>
      <c r="L346" s="94"/>
      <c r="M346" s="94"/>
      <c r="N346" s="94"/>
      <c r="O346" s="94"/>
      <c r="P346" s="94"/>
      <c r="Q346" s="94"/>
      <c r="R346" s="94"/>
      <c r="S346" s="94"/>
      <c r="T346" s="94"/>
      <c r="U346" s="94"/>
      <c r="V346" s="94"/>
      <c r="W346" s="94">
        <f>'II_Inkunabeln+'!BA346</f>
        <v>0</v>
      </c>
      <c r="X346" s="108"/>
      <c r="Y346" s="93">
        <f>'II_Inkunabeln+'!BI346</f>
        <v>0</v>
      </c>
      <c r="Z346" s="81">
        <f>'II_Inkunabeln+'!BJ346</f>
        <v>0</v>
      </c>
    </row>
    <row r="347" spans="1:26" x14ac:dyDescent="0.25">
      <c r="A347" s="63">
        <f>'II_Inkunabeln+'!A347</f>
        <v>334</v>
      </c>
      <c r="B347" s="63" t="str">
        <f>'II_Inkunabeln+'!B347</f>
        <v>L-1497-315499516</v>
      </c>
      <c r="C347" s="63">
        <f>'II_Inkunabeln+'!C347</f>
        <v>1066969205</v>
      </c>
      <c r="D347" s="84" t="str">
        <f>'II_Inkunabeln+'!D347</f>
        <v>https://portal.dnb.de/opac.htm?method=simpleSearch&amp;cqlMode=true&amp;query=idn%3D1066969205</v>
      </c>
      <c r="E347" s="65" t="str">
        <f>'II_Inkunabeln+'!E347</f>
        <v>II 24,10b</v>
      </c>
      <c r="F347" s="65" t="str">
        <f>'II_Inkunabeln+'!H347</f>
        <v>bis 25 cm</v>
      </c>
      <c r="G347" s="93">
        <f>'II_Inkunabeln+'!X347</f>
        <v>0</v>
      </c>
      <c r="H347" s="93">
        <f>'II_Inkunabeln+'!AA347</f>
        <v>0</v>
      </c>
      <c r="I347" s="93">
        <f>'II_Inkunabeln+'!AC347</f>
        <v>0</v>
      </c>
      <c r="J347" s="94"/>
      <c r="K347" s="93">
        <f>'II_Inkunabeln+'!AD347</f>
        <v>0</v>
      </c>
      <c r="L347" s="94"/>
      <c r="M347" s="94"/>
      <c r="N347" s="94"/>
      <c r="O347" s="94"/>
      <c r="P347" s="94"/>
      <c r="Q347" s="94"/>
      <c r="R347" s="94"/>
      <c r="S347" s="94"/>
      <c r="T347" s="94"/>
      <c r="U347" s="94"/>
      <c r="V347" s="94"/>
      <c r="W347" s="94">
        <f>'II_Inkunabeln+'!BA347</f>
        <v>0</v>
      </c>
      <c r="X347" s="108"/>
      <c r="Y347" s="93">
        <f>'II_Inkunabeln+'!BI347</f>
        <v>0</v>
      </c>
      <c r="Z347" s="81">
        <f>'II_Inkunabeln+'!BJ347</f>
        <v>0</v>
      </c>
    </row>
    <row r="348" spans="1:26" x14ac:dyDescent="0.25">
      <c r="A348" s="63">
        <f>'II_Inkunabeln+'!A348</f>
        <v>335</v>
      </c>
      <c r="B348" s="63" t="str">
        <f>'II_Inkunabeln+'!B348</f>
        <v>L-1496-315497629</v>
      </c>
      <c r="C348" s="63">
        <f>'II_Inkunabeln+'!C348</f>
        <v>1066967377</v>
      </c>
      <c r="D348" s="84" t="str">
        <f>'II_Inkunabeln+'!D348</f>
        <v>https://portal.dnb.de/opac.htm?method=simpleSearch&amp;cqlMode=true&amp;query=idn%3D1066967377</v>
      </c>
      <c r="E348" s="65" t="str">
        <f>'II_Inkunabeln+'!E348</f>
        <v>II 25,1a</v>
      </c>
      <c r="F348" s="65" t="str">
        <f>'II_Inkunabeln+'!H348</f>
        <v>bis 25 cm</v>
      </c>
      <c r="G348" s="93">
        <f>'II_Inkunabeln+'!X348</f>
        <v>0</v>
      </c>
      <c r="H348" s="93">
        <f>'II_Inkunabeln+'!AA348</f>
        <v>0</v>
      </c>
      <c r="I348" s="93">
        <f>'II_Inkunabeln+'!AC348</f>
        <v>0</v>
      </c>
      <c r="J348" s="94"/>
      <c r="K348" s="93">
        <f>'II_Inkunabeln+'!AD348</f>
        <v>0</v>
      </c>
      <c r="L348" s="94"/>
      <c r="M348" s="94"/>
      <c r="N348" s="94"/>
      <c r="O348" s="94"/>
      <c r="P348" s="94"/>
      <c r="Q348" s="94"/>
      <c r="R348" s="94"/>
      <c r="S348" s="94"/>
      <c r="T348" s="94"/>
      <c r="U348" s="94"/>
      <c r="V348" s="94"/>
      <c r="W348" s="94">
        <f>'II_Inkunabeln+'!BA348</f>
        <v>0</v>
      </c>
      <c r="X348" s="108"/>
      <c r="Y348" s="93">
        <f>'II_Inkunabeln+'!BI348</f>
        <v>0</v>
      </c>
      <c r="Z348" s="81">
        <f>'II_Inkunabeln+'!BJ348</f>
        <v>0</v>
      </c>
    </row>
    <row r="349" spans="1:26" x14ac:dyDescent="0.25">
      <c r="A349" s="63">
        <f>'II_Inkunabeln+'!A349</f>
        <v>336</v>
      </c>
      <c r="B349" s="63" t="str">
        <f>'II_Inkunabeln+'!B349</f>
        <v>L-1482-315498390</v>
      </c>
      <c r="C349" s="63">
        <f>'II_Inkunabeln+'!C349</f>
        <v>1066968128</v>
      </c>
      <c r="D349" s="84" t="str">
        <f>'II_Inkunabeln+'!D349</f>
        <v>https://portal.dnb.de/opac.htm?method=simpleSearch&amp;cqlMode=true&amp;query=idn%3D1066968128</v>
      </c>
      <c r="E349" s="65" t="str">
        <f>'II_Inkunabeln+'!E349</f>
        <v>II 26,1a</v>
      </c>
      <c r="F349" s="65" t="str">
        <f>'II_Inkunabeln+'!H349</f>
        <v>bis 25 cm</v>
      </c>
      <c r="G349" s="93">
        <f>'II_Inkunabeln+'!X349</f>
        <v>0</v>
      </c>
      <c r="H349" s="93">
        <f>'II_Inkunabeln+'!AA349</f>
        <v>0</v>
      </c>
      <c r="I349" s="93">
        <f>'II_Inkunabeln+'!AC349</f>
        <v>0</v>
      </c>
      <c r="J349" s="94"/>
      <c r="K349" s="93">
        <f>'II_Inkunabeln+'!AD349</f>
        <v>0</v>
      </c>
      <c r="L349" s="94"/>
      <c r="M349" s="94"/>
      <c r="N349" s="94"/>
      <c r="O349" s="94"/>
      <c r="P349" s="94"/>
      <c r="Q349" s="94"/>
      <c r="R349" s="94"/>
      <c r="S349" s="94"/>
      <c r="T349" s="94"/>
      <c r="U349" s="94"/>
      <c r="V349" s="94"/>
      <c r="W349" s="94">
        <f>'II_Inkunabeln+'!BA349</f>
        <v>0</v>
      </c>
      <c r="X349" s="108"/>
      <c r="Y349" s="93">
        <f>'II_Inkunabeln+'!BI349</f>
        <v>0</v>
      </c>
      <c r="Z349" s="81">
        <f>'II_Inkunabeln+'!BJ349</f>
        <v>0</v>
      </c>
    </row>
    <row r="350" spans="1:26" x14ac:dyDescent="0.25">
      <c r="A350" s="63">
        <f>'II_Inkunabeln+'!A350</f>
        <v>337</v>
      </c>
      <c r="B350" s="63" t="str">
        <f>'II_Inkunabeln+'!B350</f>
        <v>L-1482-327280239</v>
      </c>
      <c r="C350" s="63">
        <f>'II_Inkunabeln+'!C350</f>
        <v>1072320673</v>
      </c>
      <c r="D350" s="84" t="str">
        <f>'II_Inkunabeln+'!D350</f>
        <v>https://portal.dnb.de/opac.htm?method=simpleSearch&amp;cqlMode=true&amp;query=idn%3D1072320673</v>
      </c>
      <c r="E350" s="65" t="str">
        <f>'II_Inkunabeln+'!E350</f>
        <v>II 26,1b</v>
      </c>
      <c r="F350" s="65" t="str">
        <f>'II_Inkunabeln+'!H350</f>
        <v>bis 25 cm</v>
      </c>
      <c r="G350" s="93">
        <f>'II_Inkunabeln+'!X350</f>
        <v>0</v>
      </c>
      <c r="H350" s="93">
        <f>'II_Inkunabeln+'!AA350</f>
        <v>0</v>
      </c>
      <c r="I350" s="93">
        <f>'II_Inkunabeln+'!AC350</f>
        <v>0</v>
      </c>
      <c r="J350" s="94"/>
      <c r="K350" s="93">
        <f>'II_Inkunabeln+'!AD350</f>
        <v>0</v>
      </c>
      <c r="L350" s="94"/>
      <c r="M350" s="94"/>
      <c r="N350" s="94"/>
      <c r="O350" s="94"/>
      <c r="P350" s="94"/>
      <c r="Q350" s="94"/>
      <c r="R350" s="94"/>
      <c r="S350" s="94"/>
      <c r="T350" s="94"/>
      <c r="U350" s="94"/>
      <c r="V350" s="94"/>
      <c r="W350" s="94">
        <f>'II_Inkunabeln+'!BA350</f>
        <v>0</v>
      </c>
      <c r="X350" s="108"/>
      <c r="Y350" s="93">
        <f>'II_Inkunabeln+'!BI350</f>
        <v>0</v>
      </c>
      <c r="Z350" s="81">
        <f>'II_Inkunabeln+'!BJ350</f>
        <v>0</v>
      </c>
    </row>
    <row r="351" spans="1:26" x14ac:dyDescent="0.25">
      <c r="A351" s="63">
        <f>'II_Inkunabeln+'!A351</f>
        <v>338</v>
      </c>
      <c r="B351" s="63" t="str">
        <f>'II_Inkunabeln+'!B351</f>
        <v>L-9999-343686457</v>
      </c>
      <c r="C351" s="63">
        <f>'II_Inkunabeln+'!C351</f>
        <v>1079531114</v>
      </c>
      <c r="D351" s="84" t="str">
        <f>'II_Inkunabeln+'!D351</f>
        <v>https://portal.dnb.de/opac.htm?method=simpleSearch&amp;cqlMode=true&amp;query=idn%3D1079531114</v>
      </c>
      <c r="E351" s="65" t="str">
        <f>'II_Inkunabeln+'!E351</f>
        <v>II 26,2a</v>
      </c>
      <c r="F351" s="65" t="str">
        <f>'II_Inkunabeln+'!H351</f>
        <v>bis 42 cm</v>
      </c>
      <c r="G351" s="93">
        <f>'II_Inkunabeln+'!X351</f>
        <v>0</v>
      </c>
      <c r="H351" s="93">
        <f>'II_Inkunabeln+'!AA351</f>
        <v>0</v>
      </c>
      <c r="I351" s="93">
        <f>'II_Inkunabeln+'!AC351</f>
        <v>0</v>
      </c>
      <c r="J351" s="94"/>
      <c r="K351" s="93">
        <f>'II_Inkunabeln+'!AD351</f>
        <v>0</v>
      </c>
      <c r="L351" s="94"/>
      <c r="M351" s="94"/>
      <c r="N351" s="94"/>
      <c r="O351" s="94"/>
      <c r="P351" s="94"/>
      <c r="Q351" s="94"/>
      <c r="R351" s="94"/>
      <c r="S351" s="94"/>
      <c r="T351" s="94"/>
      <c r="U351" s="94"/>
      <c r="V351" s="94"/>
      <c r="W351" s="94">
        <f>'II_Inkunabeln+'!BA351</f>
        <v>0</v>
      </c>
      <c r="X351" s="108"/>
      <c r="Y351" s="93">
        <f>'II_Inkunabeln+'!BI351</f>
        <v>0</v>
      </c>
      <c r="Z351" s="81">
        <f>'II_Inkunabeln+'!BJ351</f>
        <v>0</v>
      </c>
    </row>
    <row r="352" spans="1:26" x14ac:dyDescent="0.25">
      <c r="A352" s="63">
        <f>'II_Inkunabeln+'!A352</f>
        <v>339</v>
      </c>
      <c r="B352" s="63" t="str">
        <f>'II_Inkunabeln+'!B352</f>
        <v>L-1477-315498013</v>
      </c>
      <c r="C352" s="63" t="str">
        <f>'II_Inkunabeln+'!C352</f>
        <v>106696775X</v>
      </c>
      <c r="D352" s="84" t="str">
        <f>'II_Inkunabeln+'!D352</f>
        <v>https://portal.dnb.de/opac.htm?method=simpleSearch&amp;cqlMode=true&amp;query=idn%3D106696775X</v>
      </c>
      <c r="E352" s="65" t="str">
        <f>'II_Inkunabeln+'!E352</f>
        <v>II 27,1a</v>
      </c>
      <c r="F352" s="65" t="str">
        <f>'II_Inkunabeln+'!H352</f>
        <v>bis 35 cm</v>
      </c>
      <c r="G352" s="93">
        <f>'II_Inkunabeln+'!X352</f>
        <v>0</v>
      </c>
      <c r="H352" s="93">
        <f>'II_Inkunabeln+'!AA352</f>
        <v>0</v>
      </c>
      <c r="I352" s="93">
        <f>'II_Inkunabeln+'!AC352</f>
        <v>0</v>
      </c>
      <c r="J352" s="94"/>
      <c r="K352" s="93">
        <f>'II_Inkunabeln+'!AD352</f>
        <v>0</v>
      </c>
      <c r="L352" s="94"/>
      <c r="M352" s="94"/>
      <c r="N352" s="94"/>
      <c r="O352" s="94"/>
      <c r="P352" s="94"/>
      <c r="Q352" s="94"/>
      <c r="R352" s="94"/>
      <c r="S352" s="94"/>
      <c r="T352" s="94"/>
      <c r="U352" s="94"/>
      <c r="V352" s="94"/>
      <c r="W352" s="94">
        <f>'II_Inkunabeln+'!BA352</f>
        <v>0</v>
      </c>
      <c r="X352" s="108"/>
      <c r="Y352" s="93">
        <f>'II_Inkunabeln+'!BI352</f>
        <v>0</v>
      </c>
      <c r="Z352" s="81">
        <f>'II_Inkunabeln+'!BJ352</f>
        <v>0</v>
      </c>
    </row>
    <row r="353" spans="1:26" x14ac:dyDescent="0.25">
      <c r="A353" s="63">
        <f>'II_Inkunabeln+'!A353</f>
        <v>340</v>
      </c>
      <c r="B353" s="63" t="str">
        <f>'II_Inkunabeln+'!B353</f>
        <v>L-1486-315503165</v>
      </c>
      <c r="C353" s="63">
        <f>'II_Inkunabeln+'!C353</f>
        <v>1066972753</v>
      </c>
      <c r="D353" s="84" t="str">
        <f>'II_Inkunabeln+'!D353</f>
        <v>https://portal.dnb.de/opac.htm?method=simpleSearch&amp;cqlMode=true&amp;query=idn%3D1066972753</v>
      </c>
      <c r="E353" s="65" t="str">
        <f>'II_Inkunabeln+'!E353</f>
        <v>II 28,1a</v>
      </c>
      <c r="F353" s="65" t="str">
        <f>'II_Inkunabeln+'!H353</f>
        <v>bis 35 cm</v>
      </c>
      <c r="G353" s="93">
        <f>'II_Inkunabeln+'!X353</f>
        <v>0</v>
      </c>
      <c r="H353" s="93">
        <f>'II_Inkunabeln+'!AA353</f>
        <v>0</v>
      </c>
      <c r="I353" s="93">
        <f>'II_Inkunabeln+'!AC353</f>
        <v>0</v>
      </c>
      <c r="J353" s="94"/>
      <c r="K353" s="93">
        <f>'II_Inkunabeln+'!AD353</f>
        <v>0</v>
      </c>
      <c r="L353" s="94"/>
      <c r="M353" s="94"/>
      <c r="N353" s="94"/>
      <c r="O353" s="94"/>
      <c r="P353" s="94"/>
      <c r="Q353" s="94"/>
      <c r="R353" s="94"/>
      <c r="S353" s="94"/>
      <c r="T353" s="94"/>
      <c r="U353" s="94"/>
      <c r="V353" s="94"/>
      <c r="W353" s="94">
        <f>'II_Inkunabeln+'!BA353</f>
        <v>0</v>
      </c>
      <c r="X353" s="108"/>
      <c r="Y353" s="93">
        <f>'II_Inkunabeln+'!BI353</f>
        <v>0</v>
      </c>
      <c r="Z353" s="81">
        <f>'II_Inkunabeln+'!BJ353</f>
        <v>0</v>
      </c>
    </row>
    <row r="354" spans="1:26" x14ac:dyDescent="0.25">
      <c r="A354" s="63">
        <f>'II_Inkunabeln+'!A354</f>
        <v>341</v>
      </c>
      <c r="B354" s="63" t="str">
        <f>'II_Inkunabeln+'!B354</f>
        <v>L-1478-31549526X</v>
      </c>
      <c r="C354" s="63">
        <f>'II_Inkunabeln+'!C354</f>
        <v>1066965129</v>
      </c>
      <c r="D354" s="84" t="str">
        <f>'II_Inkunabeln+'!D354</f>
        <v>https://portal.dnb.de/opac.htm?method=simpleSearch&amp;cqlMode=true&amp;query=idn%3D1066965129</v>
      </c>
      <c r="E354" s="65" t="str">
        <f>'II_Inkunabeln+'!E354</f>
        <v>II 28,1b</v>
      </c>
      <c r="F354" s="65" t="str">
        <f>'II_Inkunabeln+'!H354</f>
        <v>bis 35 cm</v>
      </c>
      <c r="G354" s="93">
        <f>'II_Inkunabeln+'!X354</f>
        <v>0</v>
      </c>
      <c r="H354" s="93">
        <f>'II_Inkunabeln+'!AA354</f>
        <v>0</v>
      </c>
      <c r="I354" s="93">
        <f>'II_Inkunabeln+'!AC354</f>
        <v>0</v>
      </c>
      <c r="J354" s="94"/>
      <c r="K354" s="93">
        <f>'II_Inkunabeln+'!AD354</f>
        <v>0</v>
      </c>
      <c r="L354" s="94"/>
      <c r="M354" s="94"/>
      <c r="N354" s="94"/>
      <c r="O354" s="94"/>
      <c r="P354" s="94"/>
      <c r="Q354" s="94"/>
      <c r="R354" s="94"/>
      <c r="S354" s="94"/>
      <c r="T354" s="94"/>
      <c r="U354" s="94"/>
      <c r="V354" s="94"/>
      <c r="W354" s="94">
        <f>'II_Inkunabeln+'!BA354</f>
        <v>0</v>
      </c>
      <c r="X354" s="108"/>
      <c r="Y354" s="93">
        <f>'II_Inkunabeln+'!BI354</f>
        <v>0</v>
      </c>
      <c r="Z354" s="81">
        <f>'II_Inkunabeln+'!BJ354</f>
        <v>0</v>
      </c>
    </row>
    <row r="355" spans="1:26" x14ac:dyDescent="0.25">
      <c r="A355" s="63">
        <f>'II_Inkunabeln+'!A355</f>
        <v>342</v>
      </c>
      <c r="B355" s="63" t="str">
        <f>'II_Inkunabeln+'!B355</f>
        <v>L-1476-32685729X</v>
      </c>
      <c r="C355" s="63">
        <f>'II_Inkunabeln+'!C355</f>
        <v>1072061481</v>
      </c>
      <c r="D355" s="84" t="str">
        <f>'II_Inkunabeln+'!D355</f>
        <v>https://portal.dnb.de/opac.htm?method=simpleSearch&amp;cqlMode=true&amp;query=idn%3D1072061481</v>
      </c>
      <c r="E355" s="65" t="str">
        <f>'II_Inkunabeln+'!E355</f>
        <v>II 28,1c</v>
      </c>
      <c r="F355" s="65" t="str">
        <f>'II_Inkunabeln+'!H355</f>
        <v>bis 35 cm</v>
      </c>
      <c r="G355" s="93">
        <f>'II_Inkunabeln+'!X355</f>
        <v>0</v>
      </c>
      <c r="H355" s="93">
        <f>'II_Inkunabeln+'!AA355</f>
        <v>0</v>
      </c>
      <c r="I355" s="93">
        <f>'II_Inkunabeln+'!AC355</f>
        <v>0</v>
      </c>
      <c r="J355" s="94"/>
      <c r="K355" s="93">
        <f>'II_Inkunabeln+'!AD355</f>
        <v>0</v>
      </c>
      <c r="L355" s="94"/>
      <c r="M355" s="94"/>
      <c r="N355" s="94"/>
      <c r="O355" s="94"/>
      <c r="P355" s="94"/>
      <c r="Q355" s="94"/>
      <c r="R355" s="94"/>
      <c r="S355" s="94"/>
      <c r="T355" s="94"/>
      <c r="U355" s="94"/>
      <c r="V355" s="94"/>
      <c r="W355" s="94">
        <f>'II_Inkunabeln+'!BA355</f>
        <v>0</v>
      </c>
      <c r="X355" s="108"/>
      <c r="Y355" s="93">
        <f>'II_Inkunabeln+'!BI355</f>
        <v>0</v>
      </c>
      <c r="Z355" s="81">
        <f>'II_Inkunabeln+'!BJ355</f>
        <v>0</v>
      </c>
    </row>
    <row r="356" spans="1:26" x14ac:dyDescent="0.25">
      <c r="A356" s="63">
        <f>'II_Inkunabeln+'!A356</f>
        <v>343</v>
      </c>
      <c r="B356" s="63" t="str">
        <f>'II_Inkunabeln+'!B356</f>
        <v>L-1478-315499192</v>
      </c>
      <c r="C356" s="63">
        <f>'II_Inkunabeln+'!C356</f>
        <v>1066968918</v>
      </c>
      <c r="D356" s="84" t="str">
        <f>'II_Inkunabeln+'!D356</f>
        <v>https://portal.dnb.de/opac.htm?method=simpleSearch&amp;cqlMode=true&amp;query=idn%3D1066968918</v>
      </c>
      <c r="E356" s="65" t="str">
        <f>'II_Inkunabeln+'!E356</f>
        <v>II 28,1d</v>
      </c>
      <c r="F356" s="65" t="str">
        <f>'II_Inkunabeln+'!H356</f>
        <v>bis 35 cm</v>
      </c>
      <c r="G356" s="93">
        <f>'II_Inkunabeln+'!X356</f>
        <v>0</v>
      </c>
      <c r="H356" s="93">
        <f>'II_Inkunabeln+'!AA356</f>
        <v>0</v>
      </c>
      <c r="I356" s="93">
        <f>'II_Inkunabeln+'!AC356</f>
        <v>0</v>
      </c>
      <c r="J356" s="94"/>
      <c r="K356" s="93">
        <f>'II_Inkunabeln+'!AD356</f>
        <v>0</v>
      </c>
      <c r="L356" s="94"/>
      <c r="M356" s="94"/>
      <c r="N356" s="94"/>
      <c r="O356" s="94"/>
      <c r="P356" s="94"/>
      <c r="Q356" s="94"/>
      <c r="R356" s="94"/>
      <c r="S356" s="94"/>
      <c r="T356" s="94"/>
      <c r="U356" s="94"/>
      <c r="V356" s="94"/>
      <c r="W356" s="94">
        <f>'II_Inkunabeln+'!BA356</f>
        <v>0</v>
      </c>
      <c r="X356" s="108"/>
      <c r="Y356" s="93">
        <f>'II_Inkunabeln+'!BI356</f>
        <v>0</v>
      </c>
      <c r="Z356" s="81">
        <f>'II_Inkunabeln+'!BJ356</f>
        <v>0</v>
      </c>
    </row>
    <row r="357" spans="1:26" x14ac:dyDescent="0.25">
      <c r="A357" s="63">
        <f>'II_Inkunabeln+'!A357</f>
        <v>344</v>
      </c>
      <c r="B357" s="63" t="str">
        <f>'II_Inkunabeln+'!B357</f>
        <v>L-1478-315497815</v>
      </c>
      <c r="C357" s="63">
        <f>'II_Inkunabeln+'!C357</f>
        <v>1066967555</v>
      </c>
      <c r="D357" s="84" t="str">
        <f>'II_Inkunabeln+'!D357</f>
        <v>https://portal.dnb.de/opac.htm?method=simpleSearch&amp;cqlMode=true&amp;query=idn%3D1066967555</v>
      </c>
      <c r="E357" s="65" t="str">
        <f>'II_Inkunabeln+'!E357</f>
        <v>II 28,1e</v>
      </c>
      <c r="F357" s="65" t="str">
        <f>'II_Inkunabeln+'!H357</f>
        <v>bis 35 cm</v>
      </c>
      <c r="G357" s="93">
        <f>'II_Inkunabeln+'!X357</f>
        <v>0</v>
      </c>
      <c r="H357" s="93">
        <f>'II_Inkunabeln+'!AA357</f>
        <v>0</v>
      </c>
      <c r="I357" s="93">
        <f>'II_Inkunabeln+'!AC357</f>
        <v>0</v>
      </c>
      <c r="J357" s="94"/>
      <c r="K357" s="93">
        <f>'II_Inkunabeln+'!AD357</f>
        <v>0</v>
      </c>
      <c r="L357" s="94"/>
      <c r="M357" s="94"/>
      <c r="N357" s="94"/>
      <c r="O357" s="94"/>
      <c r="P357" s="94"/>
      <c r="Q357" s="94"/>
      <c r="R357" s="94"/>
      <c r="S357" s="94"/>
      <c r="T357" s="94"/>
      <c r="U357" s="94"/>
      <c r="V357" s="94"/>
      <c r="W357" s="94">
        <f>'II_Inkunabeln+'!BA357</f>
        <v>0</v>
      </c>
      <c r="X357" s="108"/>
      <c r="Y357" s="93">
        <f>'II_Inkunabeln+'!BI357</f>
        <v>0</v>
      </c>
      <c r="Z357" s="81">
        <f>'II_Inkunabeln+'!BJ357</f>
        <v>0</v>
      </c>
    </row>
    <row r="358" spans="1:26" x14ac:dyDescent="0.25">
      <c r="A358" s="63">
        <f>'II_Inkunabeln+'!A358</f>
        <v>345</v>
      </c>
      <c r="B358" s="63" t="str">
        <f>'II_Inkunabeln+'!B358</f>
        <v>L-1496-315502681</v>
      </c>
      <c r="C358" s="63">
        <f>'II_Inkunabeln+'!C358</f>
        <v>1066972265</v>
      </c>
      <c r="D358" s="84" t="str">
        <f>'II_Inkunabeln+'!D358</f>
        <v>https://portal.dnb.de/opac.htm?method=simpleSearch&amp;cqlMode=true&amp;query=idn%3D1066972265</v>
      </c>
      <c r="E358" s="65" t="str">
        <f>'II_Inkunabeln+'!E358</f>
        <v>II 28,1f</v>
      </c>
      <c r="F358" s="65">
        <f>'II_Inkunabeln+'!H358</f>
        <v>0</v>
      </c>
      <c r="G358" s="93">
        <f>'II_Inkunabeln+'!X358</f>
        <v>0</v>
      </c>
      <c r="H358" s="93">
        <f>'II_Inkunabeln+'!AA358</f>
        <v>0</v>
      </c>
      <c r="I358" s="93">
        <f>'II_Inkunabeln+'!AC358</f>
        <v>0</v>
      </c>
      <c r="J358" s="94"/>
      <c r="K358" s="93">
        <f>'II_Inkunabeln+'!AD358</f>
        <v>0</v>
      </c>
      <c r="L358" s="94"/>
      <c r="M358" s="94"/>
      <c r="N358" s="94"/>
      <c r="O358" s="94"/>
      <c r="P358" s="94"/>
      <c r="Q358" s="94"/>
      <c r="R358" s="94"/>
      <c r="S358" s="94"/>
      <c r="T358" s="94"/>
      <c r="U358" s="94"/>
      <c r="V358" s="94"/>
      <c r="W358" s="94">
        <f>'II_Inkunabeln+'!BA358</f>
        <v>0</v>
      </c>
      <c r="X358" s="108"/>
      <c r="Y358" s="93">
        <f>'II_Inkunabeln+'!BI358</f>
        <v>0</v>
      </c>
      <c r="Z358" s="81">
        <f>'II_Inkunabeln+'!BJ358</f>
        <v>0</v>
      </c>
    </row>
    <row r="359" spans="1:26" x14ac:dyDescent="0.25">
      <c r="A359" s="63">
        <f>'II_Inkunabeln+'!A359</f>
        <v>346</v>
      </c>
      <c r="B359" s="63" t="str">
        <f>'II_Inkunabeln+'!B359</f>
        <v>L-1482-315501391</v>
      </c>
      <c r="C359" s="63" t="str">
        <f>'II_Inkunabeln+'!C359</f>
        <v>106697103X</v>
      </c>
      <c r="D359" s="84" t="str">
        <f>'II_Inkunabeln+'!D359</f>
        <v>https://portal.dnb.de/opac.htm?method=simpleSearch&amp;cqlMode=true&amp;query=idn%3D106697103X</v>
      </c>
      <c r="E359" s="65" t="str">
        <f>'II_Inkunabeln+'!E359</f>
        <v>II 28,2a</v>
      </c>
      <c r="F359" s="65">
        <f>'II_Inkunabeln+'!H359</f>
        <v>0</v>
      </c>
      <c r="G359" s="93">
        <f>'II_Inkunabeln+'!X359</f>
        <v>0</v>
      </c>
      <c r="H359" s="93">
        <f>'II_Inkunabeln+'!AA359</f>
        <v>0</v>
      </c>
      <c r="I359" s="93">
        <f>'II_Inkunabeln+'!AC359</f>
        <v>0</v>
      </c>
      <c r="J359" s="94"/>
      <c r="K359" s="93">
        <f>'II_Inkunabeln+'!AD359</f>
        <v>0</v>
      </c>
      <c r="L359" s="94"/>
      <c r="M359" s="94"/>
      <c r="N359" s="94"/>
      <c r="O359" s="94"/>
      <c r="P359" s="94"/>
      <c r="Q359" s="94"/>
      <c r="R359" s="94"/>
      <c r="S359" s="94"/>
      <c r="T359" s="94"/>
      <c r="U359" s="94"/>
      <c r="V359" s="94"/>
      <c r="W359" s="94">
        <f>'II_Inkunabeln+'!BA359</f>
        <v>0</v>
      </c>
      <c r="X359" s="108"/>
      <c r="Y359" s="93">
        <f>'II_Inkunabeln+'!BI359</f>
        <v>0</v>
      </c>
      <c r="Z359" s="81">
        <f>'II_Inkunabeln+'!BJ359</f>
        <v>0</v>
      </c>
    </row>
    <row r="360" spans="1:26" x14ac:dyDescent="0.25">
      <c r="A360" s="63">
        <f>'II_Inkunabeln+'!A360</f>
        <v>347</v>
      </c>
      <c r="B360" s="63" t="str">
        <f>'II_Inkunabeln+'!B360</f>
        <v>L-1488-315497033</v>
      </c>
      <c r="C360" s="63">
        <f>'II_Inkunabeln+'!C360</f>
        <v>1066966737</v>
      </c>
      <c r="D360" s="84" t="str">
        <f>'II_Inkunabeln+'!D360</f>
        <v>https://portal.dnb.de/opac.htm?method=simpleSearch&amp;cqlMode=true&amp;query=idn%3D1066966737</v>
      </c>
      <c r="E360" s="65" t="str">
        <f>'II_Inkunabeln+'!E360</f>
        <v>II 28,2b</v>
      </c>
      <c r="F360" s="65">
        <f>'II_Inkunabeln+'!H360</f>
        <v>0</v>
      </c>
      <c r="G360" s="93">
        <f>'II_Inkunabeln+'!X360</f>
        <v>0</v>
      </c>
      <c r="H360" s="93">
        <f>'II_Inkunabeln+'!AA360</f>
        <v>0</v>
      </c>
      <c r="I360" s="93">
        <f>'II_Inkunabeln+'!AC360</f>
        <v>0</v>
      </c>
      <c r="J360" s="94"/>
      <c r="K360" s="93">
        <f>'II_Inkunabeln+'!AD360</f>
        <v>0</v>
      </c>
      <c r="L360" s="94"/>
      <c r="M360" s="94"/>
      <c r="N360" s="94"/>
      <c r="O360" s="94"/>
      <c r="P360" s="94"/>
      <c r="Q360" s="94"/>
      <c r="R360" s="94"/>
      <c r="S360" s="94"/>
      <c r="T360" s="94"/>
      <c r="U360" s="94"/>
      <c r="V360" s="94"/>
      <c r="W360" s="94">
        <f>'II_Inkunabeln+'!BA360</f>
        <v>0</v>
      </c>
      <c r="X360" s="108"/>
      <c r="Y360" s="93">
        <f>'II_Inkunabeln+'!BI360</f>
        <v>0</v>
      </c>
      <c r="Z360" s="81">
        <f>'II_Inkunabeln+'!BJ360</f>
        <v>0</v>
      </c>
    </row>
    <row r="361" spans="1:26" x14ac:dyDescent="0.25">
      <c r="A361" s="63">
        <f>'II_Inkunabeln+'!A361</f>
        <v>348</v>
      </c>
      <c r="B361" s="63" t="str">
        <f>'II_Inkunabeln+'!B361</f>
        <v>L-1481-315497866</v>
      </c>
      <c r="C361" s="63" t="str">
        <f>'II_Inkunabeln+'!C361</f>
        <v>106696761X</v>
      </c>
      <c r="D361" s="84" t="str">
        <f>'II_Inkunabeln+'!D361</f>
        <v>https://portal.dnb.de/opac.htm?method=simpleSearch&amp;cqlMode=true&amp;query=idn%3D106696761X</v>
      </c>
      <c r="E361" s="65" t="str">
        <f>'II_Inkunabeln+'!E361</f>
        <v>II 28,2c</v>
      </c>
      <c r="F361" s="65" t="str">
        <f>'II_Inkunabeln+'!H361</f>
        <v>bis 42 cm</v>
      </c>
      <c r="G361" s="93">
        <f>'II_Inkunabeln+'!X361</f>
        <v>0</v>
      </c>
      <c r="H361" s="93">
        <f>'II_Inkunabeln+'!AA361</f>
        <v>0</v>
      </c>
      <c r="I361" s="93">
        <f>'II_Inkunabeln+'!AC361</f>
        <v>0</v>
      </c>
      <c r="J361" s="94"/>
      <c r="K361" s="93">
        <f>'II_Inkunabeln+'!AD361</f>
        <v>0</v>
      </c>
      <c r="L361" s="94"/>
      <c r="M361" s="94"/>
      <c r="N361" s="94"/>
      <c r="O361" s="94"/>
      <c r="P361" s="94"/>
      <c r="Q361" s="94"/>
      <c r="R361" s="94"/>
      <c r="S361" s="94"/>
      <c r="T361" s="94"/>
      <c r="U361" s="94"/>
      <c r="V361" s="94"/>
      <c r="W361" s="94">
        <f>'II_Inkunabeln+'!BA361</f>
        <v>0</v>
      </c>
      <c r="X361" s="108"/>
      <c r="Y361" s="93">
        <f>'II_Inkunabeln+'!BI361</f>
        <v>0</v>
      </c>
      <c r="Z361" s="81">
        <f>'II_Inkunabeln+'!BJ361</f>
        <v>0</v>
      </c>
    </row>
    <row r="362" spans="1:26" x14ac:dyDescent="0.25">
      <c r="A362" s="63">
        <f>'II_Inkunabeln+'!A362</f>
        <v>349</v>
      </c>
      <c r="B362" s="63" t="str">
        <f>'II_Inkunabeln+'!B362</f>
        <v>L-1479-315501626</v>
      </c>
      <c r="C362" s="63">
        <f>'II_Inkunabeln+'!C362</f>
        <v>1066971250</v>
      </c>
      <c r="D362" s="84" t="str">
        <f>'II_Inkunabeln+'!D362</f>
        <v>https://portal.dnb.de/opac.htm?method=simpleSearch&amp;cqlMode=true&amp;query=idn%3D1066971250</v>
      </c>
      <c r="E362" s="65" t="str">
        <f>'II_Inkunabeln+'!E362</f>
        <v>II 28,2d</v>
      </c>
      <c r="F362" s="65">
        <f>'II_Inkunabeln+'!H362</f>
        <v>0</v>
      </c>
      <c r="G362" s="93">
        <f>'II_Inkunabeln+'!X362</f>
        <v>0</v>
      </c>
      <c r="H362" s="93">
        <f>'II_Inkunabeln+'!AA362</f>
        <v>0</v>
      </c>
      <c r="I362" s="93">
        <f>'II_Inkunabeln+'!AC362</f>
        <v>0</v>
      </c>
      <c r="J362" s="94"/>
      <c r="K362" s="93">
        <f>'II_Inkunabeln+'!AD362</f>
        <v>0</v>
      </c>
      <c r="L362" s="94"/>
      <c r="M362" s="94"/>
      <c r="N362" s="94"/>
      <c r="O362" s="94"/>
      <c r="P362" s="94"/>
      <c r="Q362" s="94"/>
      <c r="R362" s="94"/>
      <c r="S362" s="94"/>
      <c r="T362" s="94"/>
      <c r="U362" s="94"/>
      <c r="V362" s="94"/>
      <c r="W362" s="94">
        <f>'II_Inkunabeln+'!BA362</f>
        <v>0</v>
      </c>
      <c r="X362" s="108"/>
      <c r="Y362" s="93">
        <f>'II_Inkunabeln+'!BI362</f>
        <v>0</v>
      </c>
      <c r="Z362" s="81">
        <f>'II_Inkunabeln+'!BJ362</f>
        <v>0</v>
      </c>
    </row>
    <row r="363" spans="1:26" x14ac:dyDescent="0.25">
      <c r="A363" s="63">
        <f>'II_Inkunabeln+'!A363</f>
        <v>350</v>
      </c>
      <c r="B363" s="63" t="str">
        <f>'II_Inkunabeln+'!B363</f>
        <v>L-1482-315502649</v>
      </c>
      <c r="C363" s="63">
        <f>'II_Inkunabeln+'!C363</f>
        <v>1066972222</v>
      </c>
      <c r="D363" s="84" t="str">
        <f>'II_Inkunabeln+'!D363</f>
        <v>https://portal.dnb.de/opac.htm?method=simpleSearch&amp;cqlMode=true&amp;query=idn%3D1066972222</v>
      </c>
      <c r="E363" s="65" t="str">
        <f>'II_Inkunabeln+'!E363</f>
        <v>II 28,2e</v>
      </c>
      <c r="F363" s="65" t="str">
        <f>'II_Inkunabeln+'!H363</f>
        <v>bis 35 cm</v>
      </c>
      <c r="G363" s="93">
        <f>'II_Inkunabeln+'!X363</f>
        <v>0</v>
      </c>
      <c r="H363" s="93">
        <f>'II_Inkunabeln+'!AA363</f>
        <v>0</v>
      </c>
      <c r="I363" s="93">
        <f>'II_Inkunabeln+'!AC363</f>
        <v>0</v>
      </c>
      <c r="J363" s="94"/>
      <c r="K363" s="93">
        <f>'II_Inkunabeln+'!AD363</f>
        <v>0</v>
      </c>
      <c r="L363" s="94"/>
      <c r="M363" s="94"/>
      <c r="N363" s="94"/>
      <c r="O363" s="94"/>
      <c r="P363" s="94"/>
      <c r="Q363" s="94"/>
      <c r="R363" s="94"/>
      <c r="S363" s="94"/>
      <c r="T363" s="94"/>
      <c r="U363" s="94"/>
      <c r="V363" s="94"/>
      <c r="W363" s="94">
        <f>'II_Inkunabeln+'!BA363</f>
        <v>0</v>
      </c>
      <c r="X363" s="108"/>
      <c r="Y363" s="93">
        <f>'II_Inkunabeln+'!BI363</f>
        <v>0</v>
      </c>
      <c r="Z363" s="81">
        <f>'II_Inkunabeln+'!BJ363</f>
        <v>0</v>
      </c>
    </row>
    <row r="364" spans="1:26" x14ac:dyDescent="0.25">
      <c r="A364" s="63">
        <f>'II_Inkunabeln+'!A364</f>
        <v>351</v>
      </c>
      <c r="B364" s="63" t="str">
        <f>'II_Inkunabeln+'!B364</f>
        <v>L-1489-315503564</v>
      </c>
      <c r="C364" s="63">
        <f>'II_Inkunabeln+'!C364</f>
        <v>1066973172</v>
      </c>
      <c r="D364" s="84" t="str">
        <f>'II_Inkunabeln+'!D364</f>
        <v>https://portal.dnb.de/opac.htm?method=simpleSearch&amp;cqlMode=true&amp;query=idn%3D1066973172</v>
      </c>
      <c r="E364" s="65" t="str">
        <f>'II_Inkunabeln+'!E364</f>
        <v>II 28,2f</v>
      </c>
      <c r="F364" s="65">
        <f>'II_Inkunabeln+'!H364</f>
        <v>0</v>
      </c>
      <c r="G364" s="93">
        <f>'II_Inkunabeln+'!X364</f>
        <v>0</v>
      </c>
      <c r="H364" s="93">
        <f>'II_Inkunabeln+'!AA364</f>
        <v>0</v>
      </c>
      <c r="I364" s="93">
        <f>'II_Inkunabeln+'!AC364</f>
        <v>0</v>
      </c>
      <c r="J364" s="94"/>
      <c r="K364" s="93">
        <f>'II_Inkunabeln+'!AD364</f>
        <v>0</v>
      </c>
      <c r="L364" s="94"/>
      <c r="M364" s="94"/>
      <c r="N364" s="94"/>
      <c r="O364" s="94"/>
      <c r="P364" s="94"/>
      <c r="Q364" s="94"/>
      <c r="R364" s="94"/>
      <c r="S364" s="94"/>
      <c r="T364" s="94"/>
      <c r="U364" s="94"/>
      <c r="V364" s="94"/>
      <c r="W364" s="94">
        <f>'II_Inkunabeln+'!BA364</f>
        <v>0</v>
      </c>
      <c r="X364" s="108"/>
      <c r="Y364" s="93">
        <f>'II_Inkunabeln+'!BI364</f>
        <v>0</v>
      </c>
      <c r="Z364" s="81">
        <f>'II_Inkunabeln+'!BJ364</f>
        <v>0</v>
      </c>
    </row>
    <row r="365" spans="1:26" x14ac:dyDescent="0.25">
      <c r="A365" s="63">
        <f>'II_Inkunabeln+'!A365</f>
        <v>352</v>
      </c>
      <c r="B365" s="63" t="str">
        <f>'II_Inkunabeln+'!B365</f>
        <v>L-1473-315503726</v>
      </c>
      <c r="C365" s="63">
        <f>'II_Inkunabeln+'!C365</f>
        <v>1066973350</v>
      </c>
      <c r="D365" s="84" t="str">
        <f>'II_Inkunabeln+'!D365</f>
        <v>https://portal.dnb.de/opac.htm?method=simpleSearch&amp;cqlMode=true&amp;query=idn%3D1066973350</v>
      </c>
      <c r="E365" s="65" t="str">
        <f>'II_Inkunabeln+'!E365</f>
        <v>II 29,1a</v>
      </c>
      <c r="F365" s="65" t="str">
        <f>'II_Inkunabeln+'!H365</f>
        <v>bis 35 cm</v>
      </c>
      <c r="G365" s="93">
        <f>'II_Inkunabeln+'!X365</f>
        <v>0</v>
      </c>
      <c r="H365" s="93">
        <f>'II_Inkunabeln+'!AA365</f>
        <v>0</v>
      </c>
      <c r="I365" s="93">
        <f>'II_Inkunabeln+'!AC365</f>
        <v>0</v>
      </c>
      <c r="J365" s="94"/>
      <c r="K365" s="93">
        <f>'II_Inkunabeln+'!AD365</f>
        <v>0</v>
      </c>
      <c r="L365" s="94"/>
      <c r="M365" s="94"/>
      <c r="N365" s="94"/>
      <c r="O365" s="94"/>
      <c r="P365" s="94"/>
      <c r="Q365" s="94"/>
      <c r="R365" s="94"/>
      <c r="S365" s="94"/>
      <c r="T365" s="94"/>
      <c r="U365" s="94"/>
      <c r="V365" s="94"/>
      <c r="W365" s="94">
        <f>'II_Inkunabeln+'!BA365</f>
        <v>0</v>
      </c>
      <c r="X365" s="108"/>
      <c r="Y365" s="93">
        <f>'II_Inkunabeln+'!BI365</f>
        <v>0</v>
      </c>
      <c r="Z365" s="81">
        <f>'II_Inkunabeln+'!BJ365</f>
        <v>0</v>
      </c>
    </row>
    <row r="366" spans="1:26" x14ac:dyDescent="0.25">
      <c r="A366" s="63">
        <f>'II_Inkunabeln+'!A366</f>
        <v>353</v>
      </c>
      <c r="B366" s="63" t="str">
        <f>'II_Inkunabeln+'!B366</f>
        <v>L-1472-315494913</v>
      </c>
      <c r="C366" s="63">
        <f>'II_Inkunabeln+'!C366</f>
        <v>1066964696</v>
      </c>
      <c r="D366" s="84" t="str">
        <f>'II_Inkunabeln+'!D366</f>
        <v>https://portal.dnb.de/opac.htm?method=simpleSearch&amp;cqlMode=true&amp;query=idn%3D1066964696</v>
      </c>
      <c r="E366" s="65" t="str">
        <f>'II_Inkunabeln+'!E366</f>
        <v>II 29,1b</v>
      </c>
      <c r="F366" s="65">
        <f>'II_Inkunabeln+'!H366</f>
        <v>0</v>
      </c>
      <c r="G366" s="93">
        <f>'II_Inkunabeln+'!X366</f>
        <v>0</v>
      </c>
      <c r="H366" s="93">
        <f>'II_Inkunabeln+'!AA366</f>
        <v>0</v>
      </c>
      <c r="I366" s="93">
        <f>'II_Inkunabeln+'!AC366</f>
        <v>0</v>
      </c>
      <c r="J366" s="94"/>
      <c r="K366" s="93">
        <f>'II_Inkunabeln+'!AD366</f>
        <v>0</v>
      </c>
      <c r="L366" s="94"/>
      <c r="M366" s="94"/>
      <c r="N366" s="94"/>
      <c r="O366" s="94"/>
      <c r="P366" s="94"/>
      <c r="Q366" s="94"/>
      <c r="R366" s="94"/>
      <c r="S366" s="94"/>
      <c r="T366" s="94"/>
      <c r="U366" s="94"/>
      <c r="V366" s="94"/>
      <c r="W366" s="94">
        <f>'II_Inkunabeln+'!BA366</f>
        <v>0</v>
      </c>
      <c r="X366" s="108"/>
      <c r="Y366" s="93">
        <f>'II_Inkunabeln+'!BI366</f>
        <v>0</v>
      </c>
      <c r="Z366" s="81">
        <f>'II_Inkunabeln+'!BJ366</f>
        <v>0</v>
      </c>
    </row>
    <row r="367" spans="1:26" x14ac:dyDescent="0.25">
      <c r="A367" s="63">
        <f>'II_Inkunabeln+'!A367</f>
        <v>354</v>
      </c>
      <c r="B367" s="63" t="str">
        <f>'II_Inkunabeln+'!B367</f>
        <v>L-1477-31550014X</v>
      </c>
      <c r="C367" s="63">
        <f>'II_Inkunabeln+'!C367</f>
        <v>1066969809</v>
      </c>
      <c r="D367" s="84" t="str">
        <f>'II_Inkunabeln+'!D367</f>
        <v>https://portal.dnb.de/opac.htm?method=simpleSearch&amp;cqlMode=true&amp;query=idn%3D1066969809</v>
      </c>
      <c r="E367" s="65" t="str">
        <f>'II_Inkunabeln+'!E367</f>
        <v>II 29,2a</v>
      </c>
      <c r="F367" s="65" t="str">
        <f>'II_Inkunabeln+'!H367</f>
        <v>bis 35 cm</v>
      </c>
      <c r="G367" s="93">
        <f>'II_Inkunabeln+'!X367</f>
        <v>0</v>
      </c>
      <c r="H367" s="93">
        <f>'II_Inkunabeln+'!AA367</f>
        <v>0</v>
      </c>
      <c r="I367" s="93">
        <f>'II_Inkunabeln+'!AC367</f>
        <v>0</v>
      </c>
      <c r="J367" s="94"/>
      <c r="K367" s="93">
        <f>'II_Inkunabeln+'!AD367</f>
        <v>0</v>
      </c>
      <c r="L367" s="94"/>
      <c r="M367" s="94"/>
      <c r="N367" s="94"/>
      <c r="O367" s="94"/>
      <c r="P367" s="94"/>
      <c r="Q367" s="94"/>
      <c r="R367" s="94"/>
      <c r="S367" s="94"/>
      <c r="T367" s="94"/>
      <c r="U367" s="94"/>
      <c r="V367" s="94"/>
      <c r="W367" s="94">
        <f>'II_Inkunabeln+'!BA367</f>
        <v>0</v>
      </c>
      <c r="X367" s="108"/>
      <c r="Y367" s="93">
        <f>'II_Inkunabeln+'!BI367</f>
        <v>0</v>
      </c>
      <c r="Z367" s="81">
        <f>'II_Inkunabeln+'!BJ367</f>
        <v>0</v>
      </c>
    </row>
    <row r="368" spans="1:26" x14ac:dyDescent="0.25">
      <c r="A368" s="63">
        <f>'II_Inkunabeln+'!A368</f>
        <v>355</v>
      </c>
      <c r="B368" s="63" t="str">
        <f>'II_Inkunabeln+'!B368</f>
        <v>L-1477-315495618</v>
      </c>
      <c r="C368" s="63">
        <f>'II_Inkunabeln+'!C368</f>
        <v>1066965404</v>
      </c>
      <c r="D368" s="84" t="str">
        <f>'II_Inkunabeln+'!D368</f>
        <v>https://portal.dnb.de/opac.htm?method=simpleSearch&amp;cqlMode=true&amp;query=idn%3D1066965404</v>
      </c>
      <c r="E368" s="65" t="str">
        <f>'II_Inkunabeln+'!E368</f>
        <v>II 29,2b</v>
      </c>
      <c r="F368" s="65" t="str">
        <f>'II_Inkunabeln+'!H368</f>
        <v>bis 42 cm</v>
      </c>
      <c r="G368" s="93">
        <f>'II_Inkunabeln+'!X368</f>
        <v>0</v>
      </c>
      <c r="H368" s="93">
        <f>'II_Inkunabeln+'!AA368</f>
        <v>0</v>
      </c>
      <c r="I368" s="93">
        <f>'II_Inkunabeln+'!AC368</f>
        <v>0</v>
      </c>
      <c r="J368" s="94"/>
      <c r="K368" s="93">
        <f>'II_Inkunabeln+'!AD368</f>
        <v>0</v>
      </c>
      <c r="L368" s="94"/>
      <c r="M368" s="94"/>
      <c r="N368" s="94"/>
      <c r="O368" s="94"/>
      <c r="P368" s="94"/>
      <c r="Q368" s="94"/>
      <c r="R368" s="94"/>
      <c r="S368" s="94"/>
      <c r="T368" s="94"/>
      <c r="U368" s="94"/>
      <c r="V368" s="94"/>
      <c r="W368" s="94">
        <f>'II_Inkunabeln+'!BA368</f>
        <v>0</v>
      </c>
      <c r="X368" s="108"/>
      <c r="Y368" s="93">
        <f>'II_Inkunabeln+'!BI368</f>
        <v>0</v>
      </c>
      <c r="Z368" s="81">
        <f>'II_Inkunabeln+'!BJ368</f>
        <v>0</v>
      </c>
    </row>
    <row r="369" spans="1:26" x14ac:dyDescent="0.25">
      <c r="A369" s="63">
        <f>'II_Inkunabeln+'!A369</f>
        <v>356</v>
      </c>
      <c r="B369" s="63" t="str">
        <f>'II_Inkunabeln+'!B369</f>
        <v>L-1477-315502460</v>
      </c>
      <c r="C369" s="63">
        <f>'II_Inkunabeln+'!C369</f>
        <v>1066972044</v>
      </c>
      <c r="D369" s="84" t="str">
        <f>'II_Inkunabeln+'!D369</f>
        <v>https://portal.dnb.de/opac.htm?method=simpleSearch&amp;cqlMode=true&amp;query=idn%3D1066972044</v>
      </c>
      <c r="E369" s="65" t="str">
        <f>'II_Inkunabeln+'!E369</f>
        <v>II 29,2c</v>
      </c>
      <c r="F369" s="65">
        <f>'II_Inkunabeln+'!H369</f>
        <v>0</v>
      </c>
      <c r="G369" s="93">
        <f>'II_Inkunabeln+'!X369</f>
        <v>0</v>
      </c>
      <c r="H369" s="93">
        <f>'II_Inkunabeln+'!AA369</f>
        <v>0</v>
      </c>
      <c r="I369" s="93">
        <f>'II_Inkunabeln+'!AC369</f>
        <v>0</v>
      </c>
      <c r="J369" s="94"/>
      <c r="K369" s="93">
        <f>'II_Inkunabeln+'!AD369</f>
        <v>0</v>
      </c>
      <c r="L369" s="94"/>
      <c r="M369" s="94"/>
      <c r="N369" s="94"/>
      <c r="O369" s="94"/>
      <c r="P369" s="94"/>
      <c r="Q369" s="94"/>
      <c r="R369" s="94"/>
      <c r="S369" s="94"/>
      <c r="T369" s="94"/>
      <c r="U369" s="94"/>
      <c r="V369" s="94"/>
      <c r="W369" s="94">
        <f>'II_Inkunabeln+'!BA369</f>
        <v>0</v>
      </c>
      <c r="X369" s="108"/>
      <c r="Y369" s="93">
        <f>'II_Inkunabeln+'!BI369</f>
        <v>0</v>
      </c>
      <c r="Z369" s="81">
        <f>'II_Inkunabeln+'!BJ369</f>
        <v>0</v>
      </c>
    </row>
    <row r="370" spans="1:26" x14ac:dyDescent="0.25">
      <c r="A370" s="63">
        <f>'II_Inkunabeln+'!A370</f>
        <v>357</v>
      </c>
      <c r="B370" s="63" t="str">
        <f>'II_Inkunabeln+'!B370</f>
        <v>L-1479-315500964</v>
      </c>
      <c r="C370" s="63">
        <f>'II_Inkunabeln+'!C370</f>
        <v>1066970602</v>
      </c>
      <c r="D370" s="84" t="str">
        <f>'II_Inkunabeln+'!D370</f>
        <v>https://portal.dnb.de/opac.htm?method=simpleSearch&amp;cqlMode=true&amp;query=idn%3D1066970602</v>
      </c>
      <c r="E370" s="65" t="str">
        <f>'II_Inkunabeln+'!E370</f>
        <v>II 29,2d</v>
      </c>
      <c r="F370" s="65" t="str">
        <f>'II_Inkunabeln+'!H370</f>
        <v>bis 42 cm</v>
      </c>
      <c r="G370" s="93">
        <f>'II_Inkunabeln+'!X370</f>
        <v>0</v>
      </c>
      <c r="H370" s="93">
        <f>'II_Inkunabeln+'!AA370</f>
        <v>0</v>
      </c>
      <c r="I370" s="93">
        <f>'II_Inkunabeln+'!AC370</f>
        <v>0</v>
      </c>
      <c r="J370" s="94"/>
      <c r="K370" s="93">
        <f>'II_Inkunabeln+'!AD370</f>
        <v>0</v>
      </c>
      <c r="L370" s="94"/>
      <c r="M370" s="94"/>
      <c r="N370" s="94"/>
      <c r="O370" s="94"/>
      <c r="P370" s="94"/>
      <c r="Q370" s="94"/>
      <c r="R370" s="94"/>
      <c r="S370" s="94"/>
      <c r="T370" s="94"/>
      <c r="U370" s="94"/>
      <c r="V370" s="94"/>
      <c r="W370" s="94">
        <f>'II_Inkunabeln+'!BA370</f>
        <v>0</v>
      </c>
      <c r="X370" s="108"/>
      <c r="Y370" s="93">
        <f>'II_Inkunabeln+'!BI370</f>
        <v>0</v>
      </c>
      <c r="Z370" s="81">
        <f>'II_Inkunabeln+'!BJ370</f>
        <v>0</v>
      </c>
    </row>
    <row r="371" spans="1:26" x14ac:dyDescent="0.25">
      <c r="A371" s="63">
        <f>'II_Inkunabeln+'!A371</f>
        <v>358</v>
      </c>
      <c r="B371" s="63" t="str">
        <f>'II_Inkunabeln+'!B371</f>
        <v>L-1480-315501812</v>
      </c>
      <c r="C371" s="63">
        <f>'II_Inkunabeln+'!C371</f>
        <v>1066971447</v>
      </c>
      <c r="D371" s="84" t="str">
        <f>'II_Inkunabeln+'!D371</f>
        <v>https://portal.dnb.de/opac.htm?method=simpleSearch&amp;cqlMode=true&amp;query=idn%3D1066971447</v>
      </c>
      <c r="E371" s="65" t="str">
        <f>'II_Inkunabeln+'!E371</f>
        <v>II 29,2e</v>
      </c>
      <c r="F371" s="65" t="str">
        <f>'II_Inkunabeln+'!H371</f>
        <v>bis 42 cm</v>
      </c>
      <c r="G371" s="93">
        <f>'II_Inkunabeln+'!X371</f>
        <v>0</v>
      </c>
      <c r="H371" s="93">
        <f>'II_Inkunabeln+'!AA371</f>
        <v>0</v>
      </c>
      <c r="I371" s="93">
        <f>'II_Inkunabeln+'!AC371</f>
        <v>0</v>
      </c>
      <c r="J371" s="94"/>
      <c r="K371" s="93">
        <f>'II_Inkunabeln+'!AD371</f>
        <v>0</v>
      </c>
      <c r="L371" s="94"/>
      <c r="M371" s="94"/>
      <c r="N371" s="94"/>
      <c r="O371" s="94"/>
      <c r="P371" s="94"/>
      <c r="Q371" s="94"/>
      <c r="R371" s="94"/>
      <c r="S371" s="94"/>
      <c r="T371" s="94"/>
      <c r="U371" s="94"/>
      <c r="V371" s="94"/>
      <c r="W371" s="94">
        <f>'II_Inkunabeln+'!BA371</f>
        <v>0</v>
      </c>
      <c r="X371" s="108"/>
      <c r="Y371" s="93">
        <f>'II_Inkunabeln+'!BI371</f>
        <v>0</v>
      </c>
      <c r="Z371" s="81">
        <f>'II_Inkunabeln+'!BJ371</f>
        <v>0</v>
      </c>
    </row>
    <row r="372" spans="1:26" x14ac:dyDescent="0.25">
      <c r="A372" s="63">
        <f>'II_Inkunabeln+'!A372</f>
        <v>359</v>
      </c>
      <c r="B372" s="63" t="str">
        <f>'II_Inkunabeln+'!B372</f>
        <v>L-1480-315501820</v>
      </c>
      <c r="C372" s="63">
        <f>'II_Inkunabeln+'!C372</f>
        <v>1066971447</v>
      </c>
      <c r="D372" s="84" t="str">
        <f>'II_Inkunabeln+'!D372</f>
        <v>https://portal.dnb.de/opac.htm?method=simpleSearch&amp;cqlMode=true&amp;query=idn%3D1066971447</v>
      </c>
      <c r="E372" s="65" t="str">
        <f>'II_Inkunabeln+'!E372</f>
        <v>II 29,2ea - Fragm.</v>
      </c>
      <c r="F372" s="65">
        <f>'II_Inkunabeln+'!H372</f>
        <v>0</v>
      </c>
      <c r="G372" s="93">
        <f>'II_Inkunabeln+'!X372</f>
        <v>0</v>
      </c>
      <c r="H372" s="93">
        <f>'II_Inkunabeln+'!AA372</f>
        <v>0</v>
      </c>
      <c r="I372" s="93">
        <f>'II_Inkunabeln+'!AC372</f>
        <v>0</v>
      </c>
      <c r="J372" s="94"/>
      <c r="K372" s="93">
        <f>'II_Inkunabeln+'!AD372</f>
        <v>0</v>
      </c>
      <c r="L372" s="94"/>
      <c r="M372" s="94"/>
      <c r="N372" s="94"/>
      <c r="O372" s="94"/>
      <c r="P372" s="94"/>
      <c r="Q372" s="94"/>
      <c r="R372" s="94"/>
      <c r="S372" s="94"/>
      <c r="T372" s="94"/>
      <c r="U372" s="94"/>
      <c r="V372" s="94"/>
      <c r="W372" s="94">
        <f>'II_Inkunabeln+'!BA372</f>
        <v>0</v>
      </c>
      <c r="X372" s="108"/>
      <c r="Y372" s="93">
        <f>'II_Inkunabeln+'!BI372</f>
        <v>0</v>
      </c>
      <c r="Z372" s="81">
        <f>'II_Inkunabeln+'!BJ372</f>
        <v>0</v>
      </c>
    </row>
    <row r="373" spans="1:26" x14ac:dyDescent="0.25">
      <c r="A373" s="63">
        <f>'II_Inkunabeln+'!A373</f>
        <v>360</v>
      </c>
      <c r="B373" s="63" t="str">
        <f>'II_Inkunabeln+'!B373</f>
        <v>L-1489-315496797</v>
      </c>
      <c r="C373" s="63">
        <f>'II_Inkunabeln+'!C373</f>
        <v>1066966508</v>
      </c>
      <c r="D373" s="84" t="str">
        <f>'II_Inkunabeln+'!D373</f>
        <v>https://portal.dnb.de/opac.htm?method=simpleSearch&amp;cqlMode=true&amp;query=idn%3D1066966508</v>
      </c>
      <c r="E373" s="65" t="str">
        <f>'II_Inkunabeln+'!E373</f>
        <v>II 29,2f</v>
      </c>
      <c r="F373" s="65">
        <f>'II_Inkunabeln+'!H373</f>
        <v>0</v>
      </c>
      <c r="G373" s="93">
        <f>'II_Inkunabeln+'!X373</f>
        <v>0</v>
      </c>
      <c r="H373" s="93">
        <f>'II_Inkunabeln+'!AA373</f>
        <v>0</v>
      </c>
      <c r="I373" s="93">
        <f>'II_Inkunabeln+'!AC373</f>
        <v>0</v>
      </c>
      <c r="J373" s="94"/>
      <c r="K373" s="93">
        <f>'II_Inkunabeln+'!AD373</f>
        <v>0</v>
      </c>
      <c r="L373" s="94"/>
      <c r="M373" s="94"/>
      <c r="N373" s="94"/>
      <c r="O373" s="94"/>
      <c r="P373" s="94"/>
      <c r="Q373" s="94"/>
      <c r="R373" s="94"/>
      <c r="S373" s="94"/>
      <c r="T373" s="94"/>
      <c r="U373" s="94"/>
      <c r="V373" s="94"/>
      <c r="W373" s="94">
        <f>'II_Inkunabeln+'!BA373</f>
        <v>0</v>
      </c>
      <c r="X373" s="108"/>
      <c r="Y373" s="93">
        <f>'II_Inkunabeln+'!BI373</f>
        <v>0</v>
      </c>
      <c r="Z373" s="81">
        <f>'II_Inkunabeln+'!BJ373</f>
        <v>0</v>
      </c>
    </row>
    <row r="374" spans="1:26" x14ac:dyDescent="0.25">
      <c r="A374" s="63">
        <f>'II_Inkunabeln+'!A374</f>
        <v>361</v>
      </c>
      <c r="B374" s="63" t="str">
        <f>'II_Inkunabeln+'!B374</f>
        <v>L-1475-315494875</v>
      </c>
      <c r="C374" s="63">
        <f>'II_Inkunabeln+'!C374</f>
        <v>1066964645</v>
      </c>
      <c r="D374" s="84" t="str">
        <f>'II_Inkunabeln+'!D374</f>
        <v>https://portal.dnb.de/opac.htm?method=simpleSearch&amp;cqlMode=true&amp;query=idn%3D1066964645</v>
      </c>
      <c r="E374" s="65" t="str">
        <f>'II_Inkunabeln+'!E374</f>
        <v>II 29,2g</v>
      </c>
      <c r="F374" s="65" t="str">
        <f>'II_Inkunabeln+'!H374</f>
        <v>bis 25 cm</v>
      </c>
      <c r="G374" s="93">
        <f>'II_Inkunabeln+'!X374</f>
        <v>0</v>
      </c>
      <c r="H374" s="93">
        <f>'II_Inkunabeln+'!AA374</f>
        <v>0</v>
      </c>
      <c r="I374" s="93">
        <f>'II_Inkunabeln+'!AC374</f>
        <v>0</v>
      </c>
      <c r="J374" s="94"/>
      <c r="K374" s="93">
        <f>'II_Inkunabeln+'!AD374</f>
        <v>0</v>
      </c>
      <c r="L374" s="94"/>
      <c r="M374" s="94"/>
      <c r="N374" s="94"/>
      <c r="O374" s="94"/>
      <c r="P374" s="94"/>
      <c r="Q374" s="94"/>
      <c r="R374" s="94"/>
      <c r="S374" s="94"/>
      <c r="T374" s="94"/>
      <c r="U374" s="94"/>
      <c r="V374" s="94"/>
      <c r="W374" s="94">
        <f>'II_Inkunabeln+'!BA374</f>
        <v>0</v>
      </c>
      <c r="X374" s="108"/>
      <c r="Y374" s="93">
        <f>'II_Inkunabeln+'!BI374</f>
        <v>0</v>
      </c>
      <c r="Z374" s="81">
        <f>'II_Inkunabeln+'!BJ374</f>
        <v>0</v>
      </c>
    </row>
    <row r="375" spans="1:26" x14ac:dyDescent="0.25">
      <c r="A375" s="63">
        <f>'II_Inkunabeln+'!A375</f>
        <v>362</v>
      </c>
      <c r="B375" s="63" t="str">
        <f>'II_Inkunabeln+'!B375</f>
        <v>L-1476-31549820X</v>
      </c>
      <c r="C375" s="63">
        <f>'II_Inkunabeln+'!C375</f>
        <v>1066967938</v>
      </c>
      <c r="D375" s="84" t="str">
        <f>'II_Inkunabeln+'!D375</f>
        <v>https://portal.dnb.de/opac.htm?method=simpleSearch&amp;cqlMode=true&amp;query=idn%3D1066967938</v>
      </c>
      <c r="E375" s="65" t="str">
        <f>'II_Inkunabeln+'!E375</f>
        <v>II 29,2h</v>
      </c>
      <c r="F375" s="65" t="str">
        <f>'II_Inkunabeln+'!H375</f>
        <v>bis 35 cm</v>
      </c>
      <c r="G375" s="93">
        <f>'II_Inkunabeln+'!X375</f>
        <v>0</v>
      </c>
      <c r="H375" s="93">
        <f>'II_Inkunabeln+'!AA375</f>
        <v>0</v>
      </c>
      <c r="I375" s="93">
        <f>'II_Inkunabeln+'!AC375</f>
        <v>0</v>
      </c>
      <c r="J375" s="94"/>
      <c r="K375" s="93">
        <f>'II_Inkunabeln+'!AD375</f>
        <v>0</v>
      </c>
      <c r="L375" s="94"/>
      <c r="M375" s="94"/>
      <c r="N375" s="94"/>
      <c r="O375" s="94"/>
      <c r="P375" s="94"/>
      <c r="Q375" s="94"/>
      <c r="R375" s="94"/>
      <c r="S375" s="94"/>
      <c r="T375" s="94"/>
      <c r="U375" s="94"/>
      <c r="V375" s="94"/>
      <c r="W375" s="94">
        <f>'II_Inkunabeln+'!BA375</f>
        <v>0</v>
      </c>
      <c r="X375" s="108"/>
      <c r="Y375" s="93">
        <f>'II_Inkunabeln+'!BI375</f>
        <v>0</v>
      </c>
      <c r="Z375" s="81">
        <f>'II_Inkunabeln+'!BJ375</f>
        <v>0</v>
      </c>
    </row>
    <row r="376" spans="1:26" x14ac:dyDescent="0.25">
      <c r="A376" s="63">
        <f>'II_Inkunabeln+'!A376</f>
        <v>363</v>
      </c>
      <c r="B376" s="63" t="str">
        <f>'II_Inkunabeln+'!B376</f>
        <v>L-1490-315499737</v>
      </c>
      <c r="C376" s="63">
        <f>'II_Inkunabeln+'!C376</f>
        <v>1066969418</v>
      </c>
      <c r="D376" s="84" t="str">
        <f>'II_Inkunabeln+'!D376</f>
        <v>https://portal.dnb.de/opac.htm?method=simpleSearch&amp;cqlMode=true&amp;query=idn%3D1066969418</v>
      </c>
      <c r="E376" s="65" t="str">
        <f>'II_Inkunabeln+'!E376</f>
        <v>II 29,2k</v>
      </c>
      <c r="F376" s="65" t="str">
        <f>'II_Inkunabeln+'!H376</f>
        <v>bis 35 cm</v>
      </c>
      <c r="G376" s="93">
        <f>'II_Inkunabeln+'!X376</f>
        <v>0</v>
      </c>
      <c r="H376" s="93">
        <f>'II_Inkunabeln+'!AA376</f>
        <v>0</v>
      </c>
      <c r="I376" s="93">
        <f>'II_Inkunabeln+'!AC376</f>
        <v>0</v>
      </c>
      <c r="J376" s="94"/>
      <c r="K376" s="93">
        <f>'II_Inkunabeln+'!AD376</f>
        <v>0</v>
      </c>
      <c r="L376" s="94"/>
      <c r="M376" s="94"/>
      <c r="N376" s="94"/>
      <c r="O376" s="94"/>
      <c r="P376" s="94"/>
      <c r="Q376" s="94"/>
      <c r="R376" s="94"/>
      <c r="S376" s="94"/>
      <c r="T376" s="94"/>
      <c r="U376" s="94"/>
      <c r="V376" s="94"/>
      <c r="W376" s="94">
        <f>'II_Inkunabeln+'!BA376</f>
        <v>0</v>
      </c>
      <c r="X376" s="108"/>
      <c r="Y376" s="93">
        <f>'II_Inkunabeln+'!BI376</f>
        <v>0</v>
      </c>
      <c r="Z376" s="81">
        <f>'II_Inkunabeln+'!BJ376</f>
        <v>0</v>
      </c>
    </row>
    <row r="377" spans="1:26" x14ac:dyDescent="0.25">
      <c r="A377" s="63">
        <f>'II_Inkunabeln+'!A377</f>
        <v>364</v>
      </c>
      <c r="B377" s="63" t="str">
        <f>'II_Inkunabeln+'!B377</f>
        <v>L-1498-315498110</v>
      </c>
      <c r="C377" s="63">
        <f>'II_Inkunabeln+'!C377</f>
        <v>1066967857</v>
      </c>
      <c r="D377" s="84" t="str">
        <f>'II_Inkunabeln+'!D377</f>
        <v>https://portal.dnb.de/opac.htm?method=simpleSearch&amp;cqlMode=true&amp;query=idn%3D1066967857</v>
      </c>
      <c r="E377" s="65" t="str">
        <f>'II_Inkunabeln+'!E377</f>
        <v>II 29,3a</v>
      </c>
      <c r="F377" s="65">
        <f>'II_Inkunabeln+'!H377</f>
        <v>0</v>
      </c>
      <c r="G377" s="93">
        <f>'II_Inkunabeln+'!X377</f>
        <v>0</v>
      </c>
      <c r="H377" s="93">
        <f>'II_Inkunabeln+'!AA377</f>
        <v>0</v>
      </c>
      <c r="I377" s="93">
        <f>'II_Inkunabeln+'!AC377</f>
        <v>0</v>
      </c>
      <c r="J377" s="94"/>
      <c r="K377" s="93">
        <f>'II_Inkunabeln+'!AD377</f>
        <v>0</v>
      </c>
      <c r="L377" s="94"/>
      <c r="M377" s="94"/>
      <c r="N377" s="94"/>
      <c r="O377" s="94"/>
      <c r="P377" s="94"/>
      <c r="Q377" s="94"/>
      <c r="R377" s="94"/>
      <c r="S377" s="94"/>
      <c r="T377" s="94"/>
      <c r="U377" s="94"/>
      <c r="V377" s="94"/>
      <c r="W377" s="94">
        <f>'II_Inkunabeln+'!BA377</f>
        <v>0</v>
      </c>
      <c r="X377" s="108"/>
      <c r="Y377" s="93">
        <f>'II_Inkunabeln+'!BI377</f>
        <v>0</v>
      </c>
      <c r="Z377" s="81">
        <f>'II_Inkunabeln+'!BJ377</f>
        <v>0</v>
      </c>
    </row>
    <row r="378" spans="1:26" x14ac:dyDescent="0.25">
      <c r="A378" s="63">
        <f>'II_Inkunabeln+'!A378</f>
        <v>365</v>
      </c>
      <c r="B378" s="63" t="str">
        <f>'II_Inkunabeln+'!B378</f>
        <v>L-1496-315500875</v>
      </c>
      <c r="C378" s="63">
        <f>'II_Inkunabeln+'!C378</f>
        <v>1066970513</v>
      </c>
      <c r="D378" s="84" t="str">
        <f>'II_Inkunabeln+'!D378</f>
        <v>https://portal.dnb.de/opac.htm?method=simpleSearch&amp;cqlMode=true&amp;query=idn%3D1066970513</v>
      </c>
      <c r="E378" s="65" t="str">
        <f>'II_Inkunabeln+'!E378</f>
        <v>II 29,3b</v>
      </c>
      <c r="F378" s="65">
        <f>'II_Inkunabeln+'!H378</f>
        <v>0</v>
      </c>
      <c r="G378" s="93">
        <f>'II_Inkunabeln+'!X378</f>
        <v>0</v>
      </c>
      <c r="H378" s="93">
        <f>'II_Inkunabeln+'!AA378</f>
        <v>0</v>
      </c>
      <c r="I378" s="93">
        <f>'II_Inkunabeln+'!AC378</f>
        <v>0</v>
      </c>
      <c r="J378" s="94"/>
      <c r="K378" s="93">
        <f>'II_Inkunabeln+'!AD378</f>
        <v>0</v>
      </c>
      <c r="L378" s="94"/>
      <c r="M378" s="94"/>
      <c r="N378" s="94"/>
      <c r="O378" s="94"/>
      <c r="P378" s="94"/>
      <c r="Q378" s="94"/>
      <c r="R378" s="94"/>
      <c r="S378" s="94"/>
      <c r="T378" s="94"/>
      <c r="U378" s="94"/>
      <c r="V378" s="94"/>
      <c r="W378" s="94">
        <f>'II_Inkunabeln+'!BA378</f>
        <v>0</v>
      </c>
      <c r="X378" s="108"/>
      <c r="Y378" s="93">
        <f>'II_Inkunabeln+'!BI378</f>
        <v>0</v>
      </c>
      <c r="Z378" s="81">
        <f>'II_Inkunabeln+'!BJ378</f>
        <v>0</v>
      </c>
    </row>
    <row r="379" spans="1:26" x14ac:dyDescent="0.25">
      <c r="A379" s="63">
        <f>'II_Inkunabeln+'!A379</f>
        <v>366</v>
      </c>
      <c r="B379" s="63" t="str">
        <f>'II_Inkunabeln+'!B379</f>
        <v>L-1499-315503548</v>
      </c>
      <c r="C379" s="63">
        <f>'II_Inkunabeln+'!C379</f>
        <v>1066973156</v>
      </c>
      <c r="D379" s="84" t="str">
        <f>'II_Inkunabeln+'!D379</f>
        <v>https://portal.dnb.de/opac.htm?method=simpleSearch&amp;cqlMode=true&amp;query=idn%3D1066973156</v>
      </c>
      <c r="E379" s="65" t="str">
        <f>'II_Inkunabeln+'!E379</f>
        <v>II 29,3c</v>
      </c>
      <c r="F379" s="65" t="str">
        <f>'II_Inkunabeln+'!H379</f>
        <v>bis 25 cm</v>
      </c>
      <c r="G379" s="93">
        <f>'II_Inkunabeln+'!X379</f>
        <v>0</v>
      </c>
      <c r="H379" s="93">
        <f>'II_Inkunabeln+'!AA379</f>
        <v>0</v>
      </c>
      <c r="I379" s="93">
        <f>'II_Inkunabeln+'!AC379</f>
        <v>0</v>
      </c>
      <c r="J379" s="94"/>
      <c r="K379" s="93">
        <f>'II_Inkunabeln+'!AD379</f>
        <v>0</v>
      </c>
      <c r="L379" s="94"/>
      <c r="M379" s="94"/>
      <c r="N379" s="94"/>
      <c r="O379" s="94"/>
      <c r="P379" s="94"/>
      <c r="Q379" s="94"/>
      <c r="R379" s="94"/>
      <c r="S379" s="94"/>
      <c r="T379" s="94"/>
      <c r="U379" s="94"/>
      <c r="V379" s="94"/>
      <c r="W379" s="94">
        <f>'II_Inkunabeln+'!BA379</f>
        <v>0</v>
      </c>
      <c r="X379" s="108"/>
      <c r="Y379" s="93">
        <f>'II_Inkunabeln+'!BI379</f>
        <v>0</v>
      </c>
      <c r="Z379" s="81">
        <f>'II_Inkunabeln+'!BJ379</f>
        <v>0</v>
      </c>
    </row>
    <row r="380" spans="1:26" x14ac:dyDescent="0.25">
      <c r="A380" s="63">
        <f>'II_Inkunabeln+'!A380</f>
        <v>367</v>
      </c>
      <c r="B380" s="63" t="str">
        <f>'II_Inkunabeln+'!B380</f>
        <v>L-1496-327280298</v>
      </c>
      <c r="C380" s="63">
        <f>'II_Inkunabeln+'!C380</f>
        <v>1072320762</v>
      </c>
      <c r="D380" s="84" t="str">
        <f>'II_Inkunabeln+'!D380</f>
        <v>https://portal.dnb.de/opac.htm?method=simpleSearch&amp;cqlMode=true&amp;query=idn%3D1072320762</v>
      </c>
      <c r="E380" s="65" t="str">
        <f>'II_Inkunabeln+'!E380</f>
        <v>II 29,3d</v>
      </c>
      <c r="F380" s="65">
        <f>'II_Inkunabeln+'!H380</f>
        <v>0</v>
      </c>
      <c r="G380" s="93">
        <f>'II_Inkunabeln+'!X380</f>
        <v>0</v>
      </c>
      <c r="H380" s="93">
        <f>'II_Inkunabeln+'!AA380</f>
        <v>0</v>
      </c>
      <c r="I380" s="93">
        <f>'II_Inkunabeln+'!AC380</f>
        <v>0</v>
      </c>
      <c r="J380" s="94"/>
      <c r="K380" s="93">
        <f>'II_Inkunabeln+'!AD380</f>
        <v>0</v>
      </c>
      <c r="L380" s="94"/>
      <c r="M380" s="94"/>
      <c r="N380" s="94"/>
      <c r="O380" s="94"/>
      <c r="P380" s="94"/>
      <c r="Q380" s="94"/>
      <c r="R380" s="94"/>
      <c r="S380" s="94"/>
      <c r="T380" s="94"/>
      <c r="U380" s="94"/>
      <c r="V380" s="94"/>
      <c r="W380" s="94">
        <f>'II_Inkunabeln+'!BA380</f>
        <v>0</v>
      </c>
      <c r="X380" s="108"/>
      <c r="Y380" s="93">
        <f>'II_Inkunabeln+'!BI380</f>
        <v>0</v>
      </c>
      <c r="Z380" s="81">
        <f>'II_Inkunabeln+'!BJ380</f>
        <v>0</v>
      </c>
    </row>
    <row r="381" spans="1:26" x14ac:dyDescent="0.25">
      <c r="A381" s="63">
        <f>'II_Inkunabeln+'!A381</f>
        <v>368</v>
      </c>
      <c r="B381" s="63" t="str">
        <f>'II_Inkunabeln+'!B381</f>
        <v>L-1473-315495812</v>
      </c>
      <c r="C381" s="63">
        <f>'II_Inkunabeln+'!C381</f>
        <v>1066965595</v>
      </c>
      <c r="D381" s="84" t="str">
        <f>'II_Inkunabeln+'!D381</f>
        <v>https://portal.dnb.de/opac.htm?method=simpleSearch&amp;cqlMode=true&amp;query=idn%3D1066965595</v>
      </c>
      <c r="E381" s="65" t="str">
        <f>'II_Inkunabeln+'!E381</f>
        <v>II 30,1 f</v>
      </c>
      <c r="F381" s="65" t="str">
        <f>'II_Inkunabeln+'!H381</f>
        <v>bis 42 cm</v>
      </c>
      <c r="G381" s="93">
        <f>'II_Inkunabeln+'!X381</f>
        <v>0</v>
      </c>
      <c r="H381" s="93">
        <f>'II_Inkunabeln+'!AA381</f>
        <v>0</v>
      </c>
      <c r="I381" s="93">
        <f>'II_Inkunabeln+'!AC381</f>
        <v>0</v>
      </c>
      <c r="J381" s="94"/>
      <c r="K381" s="93">
        <f>'II_Inkunabeln+'!AD381</f>
        <v>0</v>
      </c>
      <c r="L381" s="94"/>
      <c r="M381" s="94"/>
      <c r="N381" s="94"/>
      <c r="O381" s="94"/>
      <c r="P381" s="94"/>
      <c r="Q381" s="94"/>
      <c r="R381" s="94"/>
      <c r="S381" s="94"/>
      <c r="T381" s="94"/>
      <c r="U381" s="94"/>
      <c r="V381" s="94"/>
      <c r="W381" s="94">
        <f>'II_Inkunabeln+'!BA381</f>
        <v>0</v>
      </c>
      <c r="X381" s="108"/>
      <c r="Y381" s="93">
        <f>'II_Inkunabeln+'!BI381</f>
        <v>0</v>
      </c>
      <c r="Z381" s="81">
        <f>'II_Inkunabeln+'!BJ381</f>
        <v>0</v>
      </c>
    </row>
    <row r="382" spans="1:26" x14ac:dyDescent="0.25">
      <c r="A382" s="63">
        <f>'II_Inkunabeln+'!A382</f>
        <v>369</v>
      </c>
      <c r="B382" s="63" t="str">
        <f>'II_Inkunabeln+'!B382</f>
        <v>L-1473-315503416</v>
      </c>
      <c r="C382" s="63">
        <f>'II_Inkunabeln+'!C382</f>
        <v>1066973040</v>
      </c>
      <c r="D382" s="84" t="str">
        <f>'II_Inkunabeln+'!D382</f>
        <v>https://portal.dnb.de/opac.htm?method=simpleSearch&amp;cqlMode=true&amp;query=idn%3D1066973040</v>
      </c>
      <c r="E382" s="65" t="str">
        <f>'II_Inkunabeln+'!E382</f>
        <v>II 30,1a -Vol.1/2</v>
      </c>
      <c r="F382" s="65" t="str">
        <f>'II_Inkunabeln+'!H382</f>
        <v>bis 42 cm</v>
      </c>
      <c r="G382" s="93">
        <f>'II_Inkunabeln+'!X382</f>
        <v>0</v>
      </c>
      <c r="H382" s="93">
        <f>'II_Inkunabeln+'!AA382</f>
        <v>0</v>
      </c>
      <c r="I382" s="93">
        <f>'II_Inkunabeln+'!AC382</f>
        <v>0</v>
      </c>
      <c r="J382" s="94"/>
      <c r="K382" s="93">
        <f>'II_Inkunabeln+'!AD382</f>
        <v>0</v>
      </c>
      <c r="L382" s="94"/>
      <c r="M382" s="94"/>
      <c r="N382" s="94"/>
      <c r="O382" s="94"/>
      <c r="P382" s="94"/>
      <c r="Q382" s="94"/>
      <c r="R382" s="94"/>
      <c r="S382" s="94"/>
      <c r="T382" s="94"/>
      <c r="U382" s="94"/>
      <c r="V382" s="94"/>
      <c r="W382" s="94">
        <f>'II_Inkunabeln+'!BA382</f>
        <v>0</v>
      </c>
      <c r="X382" s="108"/>
      <c r="Y382" s="93">
        <f>'II_Inkunabeln+'!BI382</f>
        <v>0</v>
      </c>
      <c r="Z382" s="81">
        <f>'II_Inkunabeln+'!BJ382</f>
        <v>0</v>
      </c>
    </row>
    <row r="383" spans="1:26" x14ac:dyDescent="0.25">
      <c r="A383" s="63">
        <f>'II_Inkunabeln+'!A383</f>
        <v>0</v>
      </c>
      <c r="B383" s="63">
        <f>'II_Inkunabeln+'!B383</f>
        <v>0</v>
      </c>
      <c r="C383" s="63">
        <f>'II_Inkunabeln+'!C383</f>
        <v>0</v>
      </c>
      <c r="D383" s="84">
        <f>'II_Inkunabeln+'!D383</f>
        <v>0</v>
      </c>
      <c r="E383" s="65" t="str">
        <f>'II_Inkunabeln+'!E383</f>
        <v>II 30,1a -Vol.3/4</v>
      </c>
      <c r="F383" s="65" t="str">
        <f>'II_Inkunabeln+'!H383</f>
        <v>bis 42 cm</v>
      </c>
      <c r="G383" s="93">
        <f>'II_Inkunabeln+'!X383</f>
        <v>0</v>
      </c>
      <c r="H383" s="93">
        <f>'II_Inkunabeln+'!AA383</f>
        <v>0</v>
      </c>
      <c r="I383" s="93">
        <f>'II_Inkunabeln+'!AC383</f>
        <v>0</v>
      </c>
      <c r="J383" s="94"/>
      <c r="K383" s="93">
        <f>'II_Inkunabeln+'!AD383</f>
        <v>0</v>
      </c>
      <c r="L383" s="94"/>
      <c r="M383" s="94"/>
      <c r="N383" s="94"/>
      <c r="O383" s="94"/>
      <c r="P383" s="94"/>
      <c r="Q383" s="94"/>
      <c r="R383" s="94"/>
      <c r="S383" s="94"/>
      <c r="T383" s="94"/>
      <c r="U383" s="94"/>
      <c r="V383" s="94"/>
      <c r="W383" s="94">
        <f>'II_Inkunabeln+'!BA383</f>
        <v>0</v>
      </c>
      <c r="X383" s="108"/>
      <c r="Y383" s="93">
        <f>'II_Inkunabeln+'!BI383</f>
        <v>0</v>
      </c>
      <c r="Z383" s="81">
        <f>'II_Inkunabeln+'!BJ383</f>
        <v>0</v>
      </c>
    </row>
    <row r="384" spans="1:26" x14ac:dyDescent="0.25">
      <c r="A384" s="63">
        <f>'II_Inkunabeln+'!A384</f>
        <v>370</v>
      </c>
      <c r="B384" s="63" t="str">
        <f>'II_Inkunabeln+'!B384</f>
        <v>L-1473-315502371</v>
      </c>
      <c r="C384" s="63" t="str">
        <f>'II_Inkunabeln+'!C384</f>
        <v>106697196X</v>
      </c>
      <c r="D384" s="84" t="str">
        <f>'II_Inkunabeln+'!D384</f>
        <v>https://portal.dnb.de/opac.htm?method=simpleSearch&amp;cqlMode=true&amp;query=idn%3D106697196X</v>
      </c>
      <c r="E384" s="65" t="str">
        <f>'II_Inkunabeln+'!E384</f>
        <v>II 30,1c (angebunden an II 30,1d)</v>
      </c>
      <c r="F384" s="65">
        <f>'II_Inkunabeln+'!H384</f>
        <v>0</v>
      </c>
      <c r="G384" s="93">
        <f>'II_Inkunabeln+'!X384</f>
        <v>0</v>
      </c>
      <c r="H384" s="93">
        <f>'II_Inkunabeln+'!AA384</f>
        <v>0</v>
      </c>
      <c r="I384" s="93">
        <f>'II_Inkunabeln+'!AC384</f>
        <v>0</v>
      </c>
      <c r="J384" s="94"/>
      <c r="K384" s="93">
        <f>'II_Inkunabeln+'!AD384</f>
        <v>0</v>
      </c>
      <c r="L384" s="94"/>
      <c r="M384" s="94"/>
      <c r="N384" s="94"/>
      <c r="O384" s="94"/>
      <c r="P384" s="94"/>
      <c r="Q384" s="94"/>
      <c r="R384" s="94"/>
      <c r="S384" s="94"/>
      <c r="T384" s="94"/>
      <c r="U384" s="94"/>
      <c r="V384" s="94"/>
      <c r="W384" s="94">
        <f>'II_Inkunabeln+'!BA384</f>
        <v>0</v>
      </c>
      <c r="X384" s="108"/>
      <c r="Y384" s="93">
        <f>'II_Inkunabeln+'!BI384</f>
        <v>0</v>
      </c>
      <c r="Z384" s="81">
        <f>'II_Inkunabeln+'!BJ384</f>
        <v>0</v>
      </c>
    </row>
    <row r="385" spans="1:26" x14ac:dyDescent="0.25">
      <c r="A385" s="63">
        <f>'II_Inkunabeln+'!A385</f>
        <v>371</v>
      </c>
      <c r="B385" s="63" t="str">
        <f>'II_Inkunabeln+'!B385</f>
        <v>L-1474-326859233</v>
      </c>
      <c r="C385" s="63">
        <f>'II_Inkunabeln+'!C385</f>
        <v>1072063859</v>
      </c>
      <c r="D385" s="84" t="str">
        <f>'II_Inkunabeln+'!D385</f>
        <v>https://portal.dnb.de/opac.htm?method=simpleSearch&amp;cqlMode=true&amp;query=idn%3D1072063859</v>
      </c>
      <c r="E385" s="65" t="str">
        <f>'II_Inkunabeln+'!E385</f>
        <v>II 30,1d (an II 30,1c vorgebunden)</v>
      </c>
      <c r="F385" s="65" t="str">
        <f>'II_Inkunabeln+'!H385</f>
        <v>bis 42 cm</v>
      </c>
      <c r="G385" s="93">
        <f>'II_Inkunabeln+'!X385</f>
        <v>0</v>
      </c>
      <c r="H385" s="93">
        <f>'II_Inkunabeln+'!AA385</f>
        <v>0</v>
      </c>
      <c r="I385" s="93">
        <f>'II_Inkunabeln+'!AC385</f>
        <v>0</v>
      </c>
      <c r="J385" s="94"/>
      <c r="K385" s="93">
        <f>'II_Inkunabeln+'!AD385</f>
        <v>0</v>
      </c>
      <c r="L385" s="94"/>
      <c r="M385" s="94"/>
      <c r="N385" s="94"/>
      <c r="O385" s="94"/>
      <c r="P385" s="94"/>
      <c r="Q385" s="94"/>
      <c r="R385" s="94"/>
      <c r="S385" s="94"/>
      <c r="T385" s="94"/>
      <c r="U385" s="94"/>
      <c r="V385" s="94"/>
      <c r="W385" s="94">
        <f>'II_Inkunabeln+'!BA385</f>
        <v>0</v>
      </c>
      <c r="X385" s="108"/>
      <c r="Y385" s="93">
        <f>'II_Inkunabeln+'!BI385</f>
        <v>0</v>
      </c>
      <c r="Z385" s="81">
        <f>'II_Inkunabeln+'!BJ385</f>
        <v>0</v>
      </c>
    </row>
    <row r="386" spans="1:26" x14ac:dyDescent="0.25">
      <c r="A386" s="63">
        <f>'II_Inkunabeln+'!A386</f>
        <v>372</v>
      </c>
      <c r="B386" s="63" t="str">
        <f>'II_Inkunabeln+'!B386</f>
        <v>L-1471-315495081</v>
      </c>
      <c r="C386" s="63">
        <f>'II_Inkunabeln+'!C386</f>
        <v>1066964920</v>
      </c>
      <c r="D386" s="84" t="str">
        <f>'II_Inkunabeln+'!D386</f>
        <v>https://portal.dnb.de/opac.htm?method=simpleSearch&amp;cqlMode=true&amp;query=idn%3D1066964920</v>
      </c>
      <c r="E386" s="65" t="str">
        <f>'II_Inkunabeln+'!E386</f>
        <v>II 30,1e</v>
      </c>
      <c r="F386" s="65" t="str">
        <f>'II_Inkunabeln+'!H386</f>
        <v>bis 42 cm</v>
      </c>
      <c r="G386" s="93">
        <f>'II_Inkunabeln+'!X386</f>
        <v>0</v>
      </c>
      <c r="H386" s="93">
        <f>'II_Inkunabeln+'!AA386</f>
        <v>0</v>
      </c>
      <c r="I386" s="93">
        <f>'II_Inkunabeln+'!AC386</f>
        <v>0</v>
      </c>
      <c r="J386" s="94"/>
      <c r="K386" s="93">
        <f>'II_Inkunabeln+'!AD386</f>
        <v>0</v>
      </c>
      <c r="L386" s="94"/>
      <c r="M386" s="94"/>
      <c r="N386" s="94"/>
      <c r="O386" s="94"/>
      <c r="P386" s="94"/>
      <c r="Q386" s="94"/>
      <c r="R386" s="94"/>
      <c r="S386" s="94"/>
      <c r="T386" s="94"/>
      <c r="U386" s="94"/>
      <c r="V386" s="94"/>
      <c r="W386" s="94">
        <f>'II_Inkunabeln+'!BA386</f>
        <v>0</v>
      </c>
      <c r="X386" s="108"/>
      <c r="Y386" s="93">
        <f>'II_Inkunabeln+'!BI386</f>
        <v>0</v>
      </c>
      <c r="Z386" s="81">
        <f>'II_Inkunabeln+'!BJ386</f>
        <v>0</v>
      </c>
    </row>
    <row r="387" spans="1:26" x14ac:dyDescent="0.25">
      <c r="A387" s="63">
        <f>'II_Inkunabeln+'!A387</f>
        <v>373</v>
      </c>
      <c r="B387" s="63" t="str">
        <f>'II_Inkunabeln+'!B387</f>
        <v>L-1470-315495855</v>
      </c>
      <c r="C387" s="63">
        <f>'II_Inkunabeln+'!C387</f>
        <v>1066965633</v>
      </c>
      <c r="D387" s="84" t="str">
        <f>'II_Inkunabeln+'!D387</f>
        <v>https://portal.dnb.de/opac.htm?method=simpleSearch&amp;cqlMode=true&amp;query=idn%3D1066965633</v>
      </c>
      <c r="E387" s="65" t="str">
        <f>'II_Inkunabeln+'!E387</f>
        <v>II 30,1g</v>
      </c>
      <c r="F387" s="65" t="str">
        <f>'II_Inkunabeln+'!H387</f>
        <v>bis 35 cm</v>
      </c>
      <c r="G387" s="93">
        <f>'II_Inkunabeln+'!X387</f>
        <v>0</v>
      </c>
      <c r="H387" s="93">
        <f>'II_Inkunabeln+'!AA387</f>
        <v>0</v>
      </c>
      <c r="I387" s="93">
        <f>'II_Inkunabeln+'!AC387</f>
        <v>0</v>
      </c>
      <c r="J387" s="94"/>
      <c r="K387" s="93">
        <f>'II_Inkunabeln+'!AD387</f>
        <v>0</v>
      </c>
      <c r="L387" s="94"/>
      <c r="M387" s="94"/>
      <c r="N387" s="94"/>
      <c r="O387" s="94"/>
      <c r="P387" s="94"/>
      <c r="Q387" s="94"/>
      <c r="R387" s="94"/>
      <c r="S387" s="94"/>
      <c r="T387" s="94"/>
      <c r="U387" s="94"/>
      <c r="V387" s="94"/>
      <c r="W387" s="94">
        <f>'II_Inkunabeln+'!BA387</f>
        <v>0</v>
      </c>
      <c r="X387" s="108"/>
      <c r="Y387" s="93">
        <f>'II_Inkunabeln+'!BI387</f>
        <v>0</v>
      </c>
      <c r="Z387" s="81">
        <f>'II_Inkunabeln+'!BJ387</f>
        <v>0</v>
      </c>
    </row>
    <row r="388" spans="1:26" x14ac:dyDescent="0.25">
      <c r="A388" s="63">
        <f>'II_Inkunabeln+'!A388</f>
        <v>374</v>
      </c>
      <c r="B388" s="63" t="str">
        <f>'II_Inkunabeln+'!B388</f>
        <v>L-1466-315495863</v>
      </c>
      <c r="C388" s="63">
        <f>'II_Inkunabeln+'!C388</f>
        <v>1066965641</v>
      </c>
      <c r="D388" s="84" t="str">
        <f>'II_Inkunabeln+'!D388</f>
        <v>https://portal.dnb.de/opac.htm?method=simpleSearch&amp;cqlMode=true&amp;query=idn%3D1066965641</v>
      </c>
      <c r="E388" s="65" t="str">
        <f>'II_Inkunabeln+'!E388</f>
        <v>II 30,1h</v>
      </c>
      <c r="F388" s="65" t="str">
        <f>'II_Inkunabeln+'!H388</f>
        <v>bis 25 cm</v>
      </c>
      <c r="G388" s="93">
        <f>'II_Inkunabeln+'!X388</f>
        <v>0</v>
      </c>
      <c r="H388" s="93">
        <f>'II_Inkunabeln+'!AA388</f>
        <v>0</v>
      </c>
      <c r="I388" s="93">
        <f>'II_Inkunabeln+'!AC388</f>
        <v>0</v>
      </c>
      <c r="J388" s="94"/>
      <c r="K388" s="93">
        <f>'II_Inkunabeln+'!AD388</f>
        <v>0</v>
      </c>
      <c r="L388" s="94"/>
      <c r="M388" s="94"/>
      <c r="N388" s="94"/>
      <c r="O388" s="94"/>
      <c r="P388" s="94"/>
      <c r="Q388" s="94"/>
      <c r="R388" s="94"/>
      <c r="S388" s="94"/>
      <c r="T388" s="94"/>
      <c r="U388" s="94"/>
      <c r="V388" s="94"/>
      <c r="W388" s="94">
        <f>'II_Inkunabeln+'!BA388</f>
        <v>0</v>
      </c>
      <c r="X388" s="108"/>
      <c r="Y388" s="93">
        <f>'II_Inkunabeln+'!BI388</f>
        <v>0</v>
      </c>
      <c r="Z388" s="81">
        <f>'II_Inkunabeln+'!BJ388</f>
        <v>0</v>
      </c>
    </row>
    <row r="389" spans="1:26" x14ac:dyDescent="0.25">
      <c r="A389" s="63">
        <f>'II_Inkunabeln+'!A389</f>
        <v>375</v>
      </c>
      <c r="B389" s="63" t="str">
        <f>'II_Inkunabeln+'!B389</f>
        <v>L-1471-31549607X</v>
      </c>
      <c r="C389" s="63" t="str">
        <f>'II_Inkunabeln+'!C389</f>
        <v>106696582X</v>
      </c>
      <c r="D389" s="84" t="str">
        <f>'II_Inkunabeln+'!D389</f>
        <v>https://portal.dnb.de/opac.htm?method=simpleSearch&amp;cqlMode=true&amp;query=idn%3D106696582X</v>
      </c>
      <c r="E389" s="65" t="str">
        <f>'II_Inkunabeln+'!E389</f>
        <v>II 30,1i</v>
      </c>
      <c r="F389" s="65" t="str">
        <f>'II_Inkunabeln+'!H389</f>
        <v>bis 42 cm</v>
      </c>
      <c r="G389" s="93">
        <f>'II_Inkunabeln+'!X389</f>
        <v>0</v>
      </c>
      <c r="H389" s="93">
        <f>'II_Inkunabeln+'!AA389</f>
        <v>0</v>
      </c>
      <c r="I389" s="93">
        <f>'II_Inkunabeln+'!AC389</f>
        <v>0</v>
      </c>
      <c r="J389" s="94"/>
      <c r="K389" s="93">
        <f>'II_Inkunabeln+'!AD389</f>
        <v>0</v>
      </c>
      <c r="L389" s="94"/>
      <c r="M389" s="94"/>
      <c r="N389" s="94"/>
      <c r="O389" s="94"/>
      <c r="P389" s="94"/>
      <c r="Q389" s="94"/>
      <c r="R389" s="94"/>
      <c r="S389" s="94"/>
      <c r="T389" s="94"/>
      <c r="U389" s="94"/>
      <c r="V389" s="94"/>
      <c r="W389" s="94">
        <f>'II_Inkunabeln+'!BA389</f>
        <v>0</v>
      </c>
      <c r="X389" s="108"/>
      <c r="Y389" s="93">
        <f>'II_Inkunabeln+'!BI389</f>
        <v>0</v>
      </c>
      <c r="Z389" s="81">
        <f>'II_Inkunabeln+'!BJ389</f>
        <v>0</v>
      </c>
    </row>
    <row r="390" spans="1:26" x14ac:dyDescent="0.25">
      <c r="A390" s="63">
        <f>'II_Inkunabeln+'!A390</f>
        <v>376</v>
      </c>
      <c r="B390" s="63" t="str">
        <f>'II_Inkunabeln+'!B390</f>
        <v>L-1474-315497858</v>
      </c>
      <c r="C390" s="63">
        <f>'II_Inkunabeln+'!C390</f>
        <v>1066967601</v>
      </c>
      <c r="D390" s="84" t="str">
        <f>'II_Inkunabeln+'!D390</f>
        <v>https://portal.dnb.de/opac.htm?method=simpleSearch&amp;cqlMode=true&amp;query=idn%3D1066967601</v>
      </c>
      <c r="E390" s="65" t="str">
        <f>'II_Inkunabeln+'!E390</f>
        <v>II 30,1k</v>
      </c>
      <c r="F390" s="65" t="str">
        <f>'II_Inkunabeln+'!H390</f>
        <v>bis 42 cm</v>
      </c>
      <c r="G390" s="93">
        <f>'II_Inkunabeln+'!X390</f>
        <v>0</v>
      </c>
      <c r="H390" s="93">
        <f>'II_Inkunabeln+'!AA390</f>
        <v>0</v>
      </c>
      <c r="I390" s="93">
        <f>'II_Inkunabeln+'!AC390</f>
        <v>0</v>
      </c>
      <c r="J390" s="94"/>
      <c r="K390" s="93">
        <f>'II_Inkunabeln+'!AD390</f>
        <v>0</v>
      </c>
      <c r="L390" s="94"/>
      <c r="M390" s="94"/>
      <c r="N390" s="94"/>
      <c r="O390" s="94"/>
      <c r="P390" s="94"/>
      <c r="Q390" s="94"/>
      <c r="R390" s="94"/>
      <c r="S390" s="94"/>
      <c r="T390" s="94"/>
      <c r="U390" s="94"/>
      <c r="V390" s="94"/>
      <c r="W390" s="94">
        <f>'II_Inkunabeln+'!BA390</f>
        <v>0</v>
      </c>
      <c r="X390" s="108"/>
      <c r="Y390" s="93">
        <f>'II_Inkunabeln+'!BI390</f>
        <v>0</v>
      </c>
      <c r="Z390" s="81">
        <f>'II_Inkunabeln+'!BJ390</f>
        <v>0</v>
      </c>
    </row>
    <row r="391" spans="1:26" x14ac:dyDescent="0.25">
      <c r="A391" s="63">
        <f>'II_Inkunabeln+'!A391</f>
        <v>377</v>
      </c>
      <c r="B391" s="63" t="str">
        <f>'II_Inkunabeln+'!B391</f>
        <v>L-1473-315499117</v>
      </c>
      <c r="C391" s="63">
        <f>'II_Inkunabeln+'!C391</f>
        <v>1066968845</v>
      </c>
      <c r="D391" s="84" t="str">
        <f>'II_Inkunabeln+'!D391</f>
        <v>https://portal.dnb.de/opac.htm?method=simpleSearch&amp;cqlMode=true&amp;query=idn%3D1066968845</v>
      </c>
      <c r="E391" s="65" t="str">
        <f>'II_Inkunabeln+'!E391</f>
        <v>II 30,1l</v>
      </c>
      <c r="F391" s="65" t="str">
        <f>'II_Inkunabeln+'!H391</f>
        <v>&gt; 42 cm</v>
      </c>
      <c r="G391" s="93">
        <f>'II_Inkunabeln+'!X391</f>
        <v>0</v>
      </c>
      <c r="H391" s="93">
        <f>'II_Inkunabeln+'!AA391</f>
        <v>0</v>
      </c>
      <c r="I391" s="93">
        <f>'II_Inkunabeln+'!AC391</f>
        <v>0</v>
      </c>
      <c r="J391" s="94"/>
      <c r="K391" s="93">
        <f>'II_Inkunabeln+'!AD391</f>
        <v>0</v>
      </c>
      <c r="L391" s="94"/>
      <c r="M391" s="94"/>
      <c r="N391" s="94"/>
      <c r="O391" s="94"/>
      <c r="P391" s="94"/>
      <c r="Q391" s="94"/>
      <c r="R391" s="94"/>
      <c r="S391" s="94"/>
      <c r="T391" s="94"/>
      <c r="U391" s="94"/>
      <c r="V391" s="94"/>
      <c r="W391" s="94">
        <f>'II_Inkunabeln+'!BA391</f>
        <v>0</v>
      </c>
      <c r="X391" s="108"/>
      <c r="Y391" s="93">
        <f>'II_Inkunabeln+'!BI391</f>
        <v>0</v>
      </c>
      <c r="Z391" s="81">
        <f>'II_Inkunabeln+'!BJ391</f>
        <v>0</v>
      </c>
    </row>
    <row r="392" spans="1:26" x14ac:dyDescent="0.25">
      <c r="A392" s="63">
        <f>'II_Inkunabeln+'!A392</f>
        <v>378</v>
      </c>
      <c r="B392" s="63" t="str">
        <f>'II_Inkunabeln+'!B392</f>
        <v>L-1469-315499451</v>
      </c>
      <c r="C392" s="63">
        <f>'II_Inkunabeln+'!C392</f>
        <v>1066969159</v>
      </c>
      <c r="D392" s="84" t="str">
        <f>'II_Inkunabeln+'!D392</f>
        <v>https://portal.dnb.de/opac.htm?method=simpleSearch&amp;cqlMode=true&amp;query=idn%3D1066969159</v>
      </c>
      <c r="E392" s="65" t="str">
        <f>'II_Inkunabeln+'!E392</f>
        <v>II 30,1m</v>
      </c>
      <c r="F392" s="65" t="str">
        <f>'II_Inkunabeln+'!H392</f>
        <v>bis 42 cm</v>
      </c>
      <c r="G392" s="93">
        <f>'II_Inkunabeln+'!X392</f>
        <v>0</v>
      </c>
      <c r="H392" s="93">
        <f>'II_Inkunabeln+'!AA392</f>
        <v>0</v>
      </c>
      <c r="I392" s="93">
        <f>'II_Inkunabeln+'!AC392</f>
        <v>0</v>
      </c>
      <c r="J392" s="94"/>
      <c r="K392" s="93">
        <f>'II_Inkunabeln+'!AD392</f>
        <v>0</v>
      </c>
      <c r="L392" s="94"/>
      <c r="M392" s="94"/>
      <c r="N392" s="94"/>
      <c r="O392" s="94"/>
      <c r="P392" s="94"/>
      <c r="Q392" s="94"/>
      <c r="R392" s="94"/>
      <c r="S392" s="94"/>
      <c r="T392" s="94"/>
      <c r="U392" s="94"/>
      <c r="V392" s="94"/>
      <c r="W392" s="94">
        <f>'II_Inkunabeln+'!BA392</f>
        <v>0</v>
      </c>
      <c r="X392" s="108"/>
      <c r="Y392" s="93">
        <f>'II_Inkunabeln+'!BI392</f>
        <v>0</v>
      </c>
      <c r="Z392" s="81">
        <f>'II_Inkunabeln+'!BJ392</f>
        <v>0</v>
      </c>
    </row>
    <row r="393" spans="1:26" x14ac:dyDescent="0.25">
      <c r="A393" s="63">
        <f>'II_Inkunabeln+'!A393</f>
        <v>379</v>
      </c>
      <c r="B393" s="63" t="str">
        <f>'II_Inkunabeln+'!B393</f>
        <v>L-1473-286787504</v>
      </c>
      <c r="C393" s="63">
        <f>'II_Inkunabeln+'!C393</f>
        <v>1048169669</v>
      </c>
      <c r="D393" s="84" t="str">
        <f>'II_Inkunabeln+'!D393</f>
        <v>https://portal.dnb.de/opac.htm?method=simpleSearch&amp;cqlMode=true&amp;query=idn%3D1048169669</v>
      </c>
      <c r="E393" s="65" t="str">
        <f>'II_Inkunabeln+'!E393</f>
        <v>II 30,1n</v>
      </c>
      <c r="F393" s="65" t="str">
        <f>'II_Inkunabeln+'!H393</f>
        <v>bis 42 cm</v>
      </c>
      <c r="G393" s="93">
        <f>'II_Inkunabeln+'!X393</f>
        <v>0</v>
      </c>
      <c r="H393" s="93">
        <f>'II_Inkunabeln+'!AA393</f>
        <v>0</v>
      </c>
      <c r="I393" s="93">
        <f>'II_Inkunabeln+'!AC393</f>
        <v>0</v>
      </c>
      <c r="J393" s="94"/>
      <c r="K393" s="93">
        <f>'II_Inkunabeln+'!AD393</f>
        <v>0</v>
      </c>
      <c r="L393" s="94"/>
      <c r="M393" s="94"/>
      <c r="N393" s="94"/>
      <c r="O393" s="94"/>
      <c r="P393" s="94"/>
      <c r="Q393" s="94"/>
      <c r="R393" s="94"/>
      <c r="S393" s="94"/>
      <c r="T393" s="94"/>
      <c r="U393" s="94"/>
      <c r="V393" s="94"/>
      <c r="W393" s="94">
        <f>'II_Inkunabeln+'!BA393</f>
        <v>0</v>
      </c>
      <c r="X393" s="108"/>
      <c r="Y393" s="93">
        <f>'II_Inkunabeln+'!BI393</f>
        <v>0</v>
      </c>
      <c r="Z393" s="81">
        <f>'II_Inkunabeln+'!BJ393</f>
        <v>0</v>
      </c>
    </row>
    <row r="394" spans="1:26" x14ac:dyDescent="0.25">
      <c r="A394" s="63">
        <f>'II_Inkunabeln+'!A394</f>
        <v>380</v>
      </c>
      <c r="B394" s="63" t="str">
        <f>'II_Inkunabeln+'!B394</f>
        <v>L-1466-315500247</v>
      </c>
      <c r="C394" s="63">
        <f>'II_Inkunabeln+'!C394</f>
        <v>1066969914</v>
      </c>
      <c r="D394" s="84" t="str">
        <f>'II_Inkunabeln+'!D394</f>
        <v>https://portal.dnb.de/opac.htm?method=simpleSearch&amp;cqlMode=true&amp;query=idn%3D1066969914</v>
      </c>
      <c r="E394" s="65" t="str">
        <f>'II_Inkunabeln+'!E394</f>
        <v>II 30,1o</v>
      </c>
      <c r="F394" s="65" t="str">
        <f>'II_Inkunabeln+'!H394</f>
        <v>bis 35 cm</v>
      </c>
      <c r="G394" s="93">
        <f>'II_Inkunabeln+'!X394</f>
        <v>0</v>
      </c>
      <c r="H394" s="93">
        <f>'II_Inkunabeln+'!AA394</f>
        <v>0</v>
      </c>
      <c r="I394" s="93">
        <f>'II_Inkunabeln+'!AC394</f>
        <v>0</v>
      </c>
      <c r="J394" s="94"/>
      <c r="K394" s="93">
        <f>'II_Inkunabeln+'!AD394</f>
        <v>0</v>
      </c>
      <c r="L394" s="94"/>
      <c r="M394" s="94"/>
      <c r="N394" s="94"/>
      <c r="O394" s="94"/>
      <c r="P394" s="94"/>
      <c r="Q394" s="94"/>
      <c r="R394" s="94"/>
      <c r="S394" s="94"/>
      <c r="T394" s="94"/>
      <c r="U394" s="94"/>
      <c r="V394" s="94"/>
      <c r="W394" s="94">
        <f>'II_Inkunabeln+'!BA394</f>
        <v>0</v>
      </c>
      <c r="X394" s="108"/>
      <c r="Y394" s="93">
        <f>'II_Inkunabeln+'!BI394</f>
        <v>0</v>
      </c>
      <c r="Z394" s="81">
        <f>'II_Inkunabeln+'!BJ394</f>
        <v>0</v>
      </c>
    </row>
    <row r="395" spans="1:26" x14ac:dyDescent="0.25">
      <c r="A395" s="63">
        <f>'II_Inkunabeln+'!A395</f>
        <v>381</v>
      </c>
      <c r="B395" s="63" t="str">
        <f>'II_Inkunabeln+'!B395</f>
        <v>L-1472-315501464</v>
      </c>
      <c r="C395" s="63">
        <f>'II_Inkunabeln+'!C395</f>
        <v>1066971102</v>
      </c>
      <c r="D395" s="84" t="str">
        <f>'II_Inkunabeln+'!D395</f>
        <v>https://portal.dnb.de/opac.htm?method=simpleSearch&amp;cqlMode=true&amp;query=idn%3D1066971102</v>
      </c>
      <c r="E395" s="65" t="str">
        <f>'II_Inkunabeln+'!E395</f>
        <v>II 30,1p</v>
      </c>
      <c r="F395" s="65" t="str">
        <f>'II_Inkunabeln+'!H395</f>
        <v>bis 42 cm</v>
      </c>
      <c r="G395" s="93">
        <f>'II_Inkunabeln+'!X395</f>
        <v>0</v>
      </c>
      <c r="H395" s="93">
        <f>'II_Inkunabeln+'!AA395</f>
        <v>0</v>
      </c>
      <c r="I395" s="93">
        <f>'II_Inkunabeln+'!AC395</f>
        <v>0</v>
      </c>
      <c r="J395" s="94"/>
      <c r="K395" s="93">
        <f>'II_Inkunabeln+'!AD395</f>
        <v>0</v>
      </c>
      <c r="L395" s="94"/>
      <c r="M395" s="94"/>
      <c r="N395" s="94"/>
      <c r="O395" s="94"/>
      <c r="P395" s="94"/>
      <c r="Q395" s="94"/>
      <c r="R395" s="94"/>
      <c r="S395" s="94"/>
      <c r="T395" s="94"/>
      <c r="U395" s="94"/>
      <c r="V395" s="94"/>
      <c r="W395" s="94">
        <f>'II_Inkunabeln+'!BA395</f>
        <v>0</v>
      </c>
      <c r="X395" s="108"/>
      <c r="Y395" s="93">
        <f>'II_Inkunabeln+'!BI395</f>
        <v>0</v>
      </c>
      <c r="Z395" s="81">
        <f>'II_Inkunabeln+'!BJ395</f>
        <v>0</v>
      </c>
    </row>
    <row r="396" spans="1:26" x14ac:dyDescent="0.25">
      <c r="A396" s="63">
        <f>'II_Inkunabeln+'!A396</f>
        <v>382</v>
      </c>
      <c r="B396" s="63" t="str">
        <f>'II_Inkunabeln+'!B396</f>
        <v>L-1470-315501723</v>
      </c>
      <c r="C396" s="63">
        <f>'II_Inkunabeln+'!C396</f>
        <v>1066971358</v>
      </c>
      <c r="D396" s="84" t="str">
        <f>'II_Inkunabeln+'!D396</f>
        <v>https://portal.dnb.de/opac.htm?method=simpleSearch&amp;cqlMode=true&amp;query=idn%3D1066971358</v>
      </c>
      <c r="E396" s="65" t="str">
        <f>'II_Inkunabeln+'!E396</f>
        <v>II 30,1q</v>
      </c>
      <c r="F396" s="65" t="str">
        <f>'II_Inkunabeln+'!H396</f>
        <v>bis 35 cm</v>
      </c>
      <c r="G396" s="93">
        <f>'II_Inkunabeln+'!X396</f>
        <v>0</v>
      </c>
      <c r="H396" s="93">
        <f>'II_Inkunabeln+'!AA396</f>
        <v>0</v>
      </c>
      <c r="I396" s="93">
        <f>'II_Inkunabeln+'!AC396</f>
        <v>0</v>
      </c>
      <c r="J396" s="94"/>
      <c r="K396" s="93">
        <f>'II_Inkunabeln+'!AD396</f>
        <v>0</v>
      </c>
      <c r="L396" s="94"/>
      <c r="M396" s="94"/>
      <c r="N396" s="94"/>
      <c r="O396" s="94"/>
      <c r="P396" s="94"/>
      <c r="Q396" s="94"/>
      <c r="R396" s="94"/>
      <c r="S396" s="94"/>
      <c r="T396" s="94"/>
      <c r="U396" s="94"/>
      <c r="V396" s="94"/>
      <c r="W396" s="94">
        <f>'II_Inkunabeln+'!BA396</f>
        <v>0</v>
      </c>
      <c r="X396" s="108"/>
      <c r="Y396" s="93">
        <f>'II_Inkunabeln+'!BI396</f>
        <v>0</v>
      </c>
      <c r="Z396" s="81">
        <f>'II_Inkunabeln+'!BJ396</f>
        <v>0</v>
      </c>
    </row>
    <row r="397" spans="1:26" x14ac:dyDescent="0.25">
      <c r="A397" s="63">
        <f>'II_Inkunabeln+'!A397</f>
        <v>383</v>
      </c>
      <c r="B397" s="63" t="str">
        <f>'II_Inkunabeln+'!B397</f>
        <v>L-1463-315503041</v>
      </c>
      <c r="C397" s="63">
        <f>'II_Inkunabeln+'!C397</f>
        <v>1066972621</v>
      </c>
      <c r="D397" s="84" t="str">
        <f>'II_Inkunabeln+'!D397</f>
        <v>https://portal.dnb.de/opac.htm?method=simpleSearch&amp;cqlMode=true&amp;query=idn%3D1066972621</v>
      </c>
      <c r="E397" s="65" t="str">
        <f>'II_Inkunabeln+'!E397</f>
        <v>II 30,1r</v>
      </c>
      <c r="F397" s="65" t="str">
        <f>'II_Inkunabeln+'!H397</f>
        <v>bis 42 cm</v>
      </c>
      <c r="G397" s="93">
        <f>'II_Inkunabeln+'!X397</f>
        <v>0</v>
      </c>
      <c r="H397" s="93">
        <f>'II_Inkunabeln+'!AA397</f>
        <v>0</v>
      </c>
      <c r="I397" s="93">
        <f>'II_Inkunabeln+'!AC397</f>
        <v>0</v>
      </c>
      <c r="J397" s="94"/>
      <c r="K397" s="93">
        <f>'II_Inkunabeln+'!AD397</f>
        <v>0</v>
      </c>
      <c r="L397" s="94"/>
      <c r="M397" s="94"/>
      <c r="N397" s="94"/>
      <c r="O397" s="94"/>
      <c r="P397" s="94"/>
      <c r="Q397" s="94"/>
      <c r="R397" s="94"/>
      <c r="S397" s="94"/>
      <c r="T397" s="94"/>
      <c r="U397" s="94"/>
      <c r="V397" s="94"/>
      <c r="W397" s="94">
        <f>'II_Inkunabeln+'!BA397</f>
        <v>0</v>
      </c>
      <c r="X397" s="108"/>
      <c r="Y397" s="93">
        <f>'II_Inkunabeln+'!BI397</f>
        <v>0</v>
      </c>
      <c r="Z397" s="81">
        <f>'II_Inkunabeln+'!BJ397</f>
        <v>0</v>
      </c>
    </row>
    <row r="398" spans="1:26" x14ac:dyDescent="0.25">
      <c r="A398" s="63">
        <f>'II_Inkunabeln+'!A398</f>
        <v>384</v>
      </c>
      <c r="B398" s="63" t="str">
        <f>'II_Inkunabeln+'!B398</f>
        <v>L-1470-315503343</v>
      </c>
      <c r="C398" s="63">
        <f>'II_Inkunabeln+'!C398</f>
        <v>1066972966</v>
      </c>
      <c r="D398" s="84" t="str">
        <f>'II_Inkunabeln+'!D398</f>
        <v>https://portal.dnb.de/opac.htm?method=simpleSearch&amp;cqlMode=true&amp;query=idn%3D1066972966</v>
      </c>
      <c r="E398" s="65" t="str">
        <f>'II_Inkunabeln+'!E398</f>
        <v>II 30,1s</v>
      </c>
      <c r="F398" s="65" t="str">
        <f>'II_Inkunabeln+'!H398</f>
        <v>bis 35 cm</v>
      </c>
      <c r="G398" s="93">
        <f>'II_Inkunabeln+'!X398</f>
        <v>0</v>
      </c>
      <c r="H398" s="93">
        <f>'II_Inkunabeln+'!AA398</f>
        <v>0</v>
      </c>
      <c r="I398" s="93">
        <f>'II_Inkunabeln+'!AC398</f>
        <v>0</v>
      </c>
      <c r="J398" s="94"/>
      <c r="K398" s="93">
        <f>'II_Inkunabeln+'!AD398</f>
        <v>0</v>
      </c>
      <c r="L398" s="94"/>
      <c r="M398" s="94"/>
      <c r="N398" s="94"/>
      <c r="O398" s="94"/>
      <c r="P398" s="94"/>
      <c r="Q398" s="94"/>
      <c r="R398" s="94"/>
      <c r="S398" s="94"/>
      <c r="T398" s="94"/>
      <c r="U398" s="94"/>
      <c r="V398" s="94"/>
      <c r="W398" s="94">
        <f>'II_Inkunabeln+'!BA398</f>
        <v>0</v>
      </c>
      <c r="X398" s="108"/>
      <c r="Y398" s="93">
        <f>'II_Inkunabeln+'!BI398</f>
        <v>0</v>
      </c>
      <c r="Z398" s="81">
        <f>'II_Inkunabeln+'!BJ398</f>
        <v>0</v>
      </c>
    </row>
    <row r="399" spans="1:26" x14ac:dyDescent="0.25">
      <c r="A399" s="63">
        <f>'II_Inkunabeln+'!A399</f>
        <v>385</v>
      </c>
      <c r="B399" s="63" t="str">
        <f>'II_Inkunabeln+'!B399</f>
        <v>L-1476-315503440</v>
      </c>
      <c r="C399" s="63">
        <f>'II_Inkunabeln+'!C399</f>
        <v>1066973067</v>
      </c>
      <c r="D399" s="84" t="str">
        <f>'II_Inkunabeln+'!D399</f>
        <v>https://portal.dnb.de/opac.htm?method=simpleSearch&amp;cqlMode=true&amp;query=idn%3D1066973067</v>
      </c>
      <c r="E399" s="65" t="str">
        <f>'II_Inkunabeln+'!E399</f>
        <v>II 30,1t</v>
      </c>
      <c r="F399" s="65" t="str">
        <f>'II_Inkunabeln+'!H399</f>
        <v>&gt; 42 cm</v>
      </c>
      <c r="G399" s="93">
        <f>'II_Inkunabeln+'!X399</f>
        <v>0</v>
      </c>
      <c r="H399" s="93">
        <f>'II_Inkunabeln+'!AA399</f>
        <v>0</v>
      </c>
      <c r="I399" s="93">
        <f>'II_Inkunabeln+'!AC399</f>
        <v>0</v>
      </c>
      <c r="J399" s="94"/>
      <c r="K399" s="93">
        <f>'II_Inkunabeln+'!AD399</f>
        <v>0</v>
      </c>
      <c r="L399" s="94"/>
      <c r="M399" s="94"/>
      <c r="N399" s="94"/>
      <c r="O399" s="94"/>
      <c r="P399" s="94"/>
      <c r="Q399" s="94"/>
      <c r="R399" s="94"/>
      <c r="S399" s="94"/>
      <c r="T399" s="94"/>
      <c r="U399" s="94"/>
      <c r="V399" s="94"/>
      <c r="W399" s="94">
        <f>'II_Inkunabeln+'!BA399</f>
        <v>0</v>
      </c>
      <c r="X399" s="108"/>
      <c r="Y399" s="93">
        <f>'II_Inkunabeln+'!BI399</f>
        <v>0</v>
      </c>
      <c r="Z399" s="81">
        <f>'II_Inkunabeln+'!BJ399</f>
        <v>0</v>
      </c>
    </row>
    <row r="400" spans="1:26" x14ac:dyDescent="0.25">
      <c r="A400" s="63">
        <f>'II_Inkunabeln+'!A400</f>
        <v>386</v>
      </c>
      <c r="B400" s="63" t="str">
        <f>'II_Inkunabeln+'!B400</f>
        <v>L-1466-311999433</v>
      </c>
      <c r="C400" s="63" t="str">
        <f>'II_Inkunabeln+'!C400</f>
        <v>106478058X</v>
      </c>
      <c r="D400" s="84" t="str">
        <f>'II_Inkunabeln+'!D400</f>
        <v>https://portal.dnb.de/opac.htm?method=simpleSearch&amp;cqlMode=true&amp;query=idn%3D106478058X</v>
      </c>
      <c r="E400" s="65" t="str">
        <f>'II_Inkunabeln+'!E400</f>
        <v>II 30,1u</v>
      </c>
      <c r="F400" s="65">
        <f>'II_Inkunabeln+'!H400</f>
        <v>0</v>
      </c>
      <c r="G400" s="93">
        <f>'II_Inkunabeln+'!X400</f>
        <v>0</v>
      </c>
      <c r="H400" s="93">
        <f>'II_Inkunabeln+'!AA400</f>
        <v>0</v>
      </c>
      <c r="I400" s="93">
        <f>'II_Inkunabeln+'!AC400</f>
        <v>0</v>
      </c>
      <c r="J400" s="94"/>
      <c r="K400" s="93">
        <f>'II_Inkunabeln+'!AD400</f>
        <v>0</v>
      </c>
      <c r="L400" s="94"/>
      <c r="M400" s="94"/>
      <c r="N400" s="94"/>
      <c r="O400" s="94"/>
      <c r="P400" s="94"/>
      <c r="Q400" s="94"/>
      <c r="R400" s="94"/>
      <c r="S400" s="94"/>
      <c r="T400" s="94"/>
      <c r="U400" s="94"/>
      <c r="V400" s="94"/>
      <c r="W400" s="94">
        <f>'II_Inkunabeln+'!BA400</f>
        <v>0</v>
      </c>
      <c r="X400" s="108"/>
      <c r="Y400" s="93">
        <f>'II_Inkunabeln+'!BI400</f>
        <v>0</v>
      </c>
      <c r="Z400" s="81">
        <f>'II_Inkunabeln+'!BJ400</f>
        <v>0</v>
      </c>
    </row>
    <row r="401" spans="1:26" x14ac:dyDescent="0.25">
      <c r="A401" s="63">
        <f>'II_Inkunabeln+'!A401</f>
        <v>387</v>
      </c>
      <c r="B401" s="63" t="str">
        <f>'II_Inkunabeln+'!B401</f>
        <v>L-1480-315493186</v>
      </c>
      <c r="C401" s="63" t="str">
        <f>'II_Inkunabeln+'!C401</f>
        <v>106696291X</v>
      </c>
      <c r="D401" s="84" t="str">
        <f>'II_Inkunabeln+'!D401</f>
        <v>https://portal.dnb.de/opac.htm?method=simpleSearch&amp;cqlMode=true&amp;query=idn%3D106696291X</v>
      </c>
      <c r="E401" s="65" t="str">
        <f>'II_Inkunabeln+'!E401</f>
        <v>II 30,2 i</v>
      </c>
      <c r="F401" s="65">
        <f>'II_Inkunabeln+'!H401</f>
        <v>0</v>
      </c>
      <c r="G401" s="93">
        <f>'II_Inkunabeln+'!X401</f>
        <v>0</v>
      </c>
      <c r="H401" s="93">
        <f>'II_Inkunabeln+'!AA401</f>
        <v>0</v>
      </c>
      <c r="I401" s="93">
        <f>'II_Inkunabeln+'!AC401</f>
        <v>0</v>
      </c>
      <c r="J401" s="94"/>
      <c r="K401" s="93">
        <f>'II_Inkunabeln+'!AD401</f>
        <v>0</v>
      </c>
      <c r="L401" s="94"/>
      <c r="M401" s="94"/>
      <c r="N401" s="94"/>
      <c r="O401" s="94"/>
      <c r="P401" s="94"/>
      <c r="Q401" s="94"/>
      <c r="R401" s="94"/>
      <c r="S401" s="94"/>
      <c r="T401" s="94"/>
      <c r="U401" s="94"/>
      <c r="V401" s="94"/>
      <c r="W401" s="94">
        <f>'II_Inkunabeln+'!BA401</f>
        <v>0</v>
      </c>
      <c r="X401" s="108"/>
      <c r="Y401" s="93">
        <f>'II_Inkunabeln+'!BI401</f>
        <v>0</v>
      </c>
      <c r="Z401" s="81">
        <f>'II_Inkunabeln+'!BJ401</f>
        <v>0</v>
      </c>
    </row>
    <row r="402" spans="1:26" x14ac:dyDescent="0.25">
      <c r="A402" s="63">
        <f>'II_Inkunabeln+'!A402</f>
        <v>388</v>
      </c>
      <c r="B402" s="63" t="str">
        <f>'II_Inkunabeln+'!B402</f>
        <v>L-1475-315500530</v>
      </c>
      <c r="C402" s="63" t="str">
        <f>'II_Inkunabeln+'!C402</f>
        <v>106697019X</v>
      </c>
      <c r="D402" s="84" t="str">
        <f>'II_Inkunabeln+'!D402</f>
        <v>https://portal.dnb.de/opac.htm?method=simpleSearch&amp;cqlMode=true&amp;query=idn%3D106697019X</v>
      </c>
      <c r="E402" s="65" t="str">
        <f>'II_Inkunabeln+'!E402</f>
        <v>II 30,2a</v>
      </c>
      <c r="F402" s="65" t="str">
        <f>'II_Inkunabeln+'!H402</f>
        <v>&gt; 42 cm</v>
      </c>
      <c r="G402" s="93">
        <f>'II_Inkunabeln+'!X402</f>
        <v>0</v>
      </c>
      <c r="H402" s="93">
        <f>'II_Inkunabeln+'!AA402</f>
        <v>0</v>
      </c>
      <c r="I402" s="93">
        <f>'II_Inkunabeln+'!AC402</f>
        <v>0</v>
      </c>
      <c r="J402" s="94"/>
      <c r="K402" s="93">
        <f>'II_Inkunabeln+'!AD402</f>
        <v>0</v>
      </c>
      <c r="L402" s="94"/>
      <c r="M402" s="94"/>
      <c r="N402" s="94"/>
      <c r="O402" s="94"/>
      <c r="P402" s="94"/>
      <c r="Q402" s="94"/>
      <c r="R402" s="94"/>
      <c r="S402" s="94"/>
      <c r="T402" s="94"/>
      <c r="U402" s="94"/>
      <c r="V402" s="94"/>
      <c r="W402" s="94">
        <f>'II_Inkunabeln+'!BA402</f>
        <v>0</v>
      </c>
      <c r="X402" s="108"/>
      <c r="Y402" s="93">
        <f>'II_Inkunabeln+'!BI402</f>
        <v>0</v>
      </c>
      <c r="Z402" s="81">
        <f>'II_Inkunabeln+'!BJ402</f>
        <v>0</v>
      </c>
    </row>
    <row r="403" spans="1:26" x14ac:dyDescent="0.25">
      <c r="A403" s="63">
        <f>'II_Inkunabeln+'!A403</f>
        <v>389</v>
      </c>
      <c r="B403" s="63" t="str">
        <f>'II_Inkunabeln+'!B403</f>
        <v>L-1475-315497602</v>
      </c>
      <c r="C403" s="63">
        <f>'II_Inkunabeln+'!C403</f>
        <v>1066967350</v>
      </c>
      <c r="D403" s="84" t="str">
        <f>'II_Inkunabeln+'!D403</f>
        <v>https://portal.dnb.de/opac.htm?method=simpleSearch&amp;cqlMode=true&amp;query=idn%3D1066967350</v>
      </c>
      <c r="E403" s="65" t="str">
        <f>'II_Inkunabeln+'!E403</f>
        <v>II 30,2c</v>
      </c>
      <c r="F403" s="65">
        <f>'II_Inkunabeln+'!H403</f>
        <v>0</v>
      </c>
      <c r="G403" s="93">
        <f>'II_Inkunabeln+'!X403</f>
        <v>0</v>
      </c>
      <c r="H403" s="93">
        <f>'II_Inkunabeln+'!AA403</f>
        <v>0</v>
      </c>
      <c r="I403" s="93">
        <f>'II_Inkunabeln+'!AC403</f>
        <v>0</v>
      </c>
      <c r="J403" s="94"/>
      <c r="K403" s="93">
        <f>'II_Inkunabeln+'!AD403</f>
        <v>0</v>
      </c>
      <c r="L403" s="94"/>
      <c r="M403" s="94"/>
      <c r="N403" s="94"/>
      <c r="O403" s="94"/>
      <c r="P403" s="94"/>
      <c r="Q403" s="94"/>
      <c r="R403" s="94"/>
      <c r="S403" s="94"/>
      <c r="T403" s="94"/>
      <c r="U403" s="94"/>
      <c r="V403" s="94"/>
      <c r="W403" s="94">
        <f>'II_Inkunabeln+'!BA403</f>
        <v>0</v>
      </c>
      <c r="X403" s="108"/>
      <c r="Y403" s="93">
        <f>'II_Inkunabeln+'!BI403</f>
        <v>0</v>
      </c>
      <c r="Z403" s="81">
        <f>'II_Inkunabeln+'!BJ403</f>
        <v>0</v>
      </c>
    </row>
    <row r="404" spans="1:26" x14ac:dyDescent="0.25">
      <c r="A404" s="63">
        <f>'II_Inkunabeln+'!A404</f>
        <v>390</v>
      </c>
      <c r="B404" s="63" t="str">
        <f>'II_Inkunabeln+'!B404</f>
        <v>L-1467-315499575</v>
      </c>
      <c r="C404" s="63">
        <f>'II_Inkunabeln+'!C404</f>
        <v>1066969264</v>
      </c>
      <c r="D404" s="84" t="str">
        <f>'II_Inkunabeln+'!D404</f>
        <v>https://portal.dnb.de/opac.htm?method=simpleSearch&amp;cqlMode=true&amp;query=idn%3D1066969264</v>
      </c>
      <c r="E404" s="65" t="str">
        <f>'II_Inkunabeln+'!E404</f>
        <v>II 30,2d</v>
      </c>
      <c r="F404" s="65" t="str">
        <f>'II_Inkunabeln+'!H404</f>
        <v>bis 42 cm</v>
      </c>
      <c r="G404" s="93">
        <f>'II_Inkunabeln+'!X404</f>
        <v>0</v>
      </c>
      <c r="H404" s="93">
        <f>'II_Inkunabeln+'!AA404</f>
        <v>0</v>
      </c>
      <c r="I404" s="93">
        <f>'II_Inkunabeln+'!AC404</f>
        <v>0</v>
      </c>
      <c r="J404" s="94"/>
      <c r="K404" s="93">
        <f>'II_Inkunabeln+'!AD404</f>
        <v>0</v>
      </c>
      <c r="L404" s="94"/>
      <c r="M404" s="94"/>
      <c r="N404" s="94"/>
      <c r="O404" s="94"/>
      <c r="P404" s="94"/>
      <c r="Q404" s="94"/>
      <c r="R404" s="94"/>
      <c r="S404" s="94"/>
      <c r="T404" s="94"/>
      <c r="U404" s="94"/>
      <c r="V404" s="94"/>
      <c r="W404" s="94">
        <f>'II_Inkunabeln+'!BA404</f>
        <v>0</v>
      </c>
      <c r="X404" s="108"/>
      <c r="Y404" s="93">
        <f>'II_Inkunabeln+'!BI404</f>
        <v>0</v>
      </c>
      <c r="Z404" s="81">
        <f>'II_Inkunabeln+'!BJ404</f>
        <v>0</v>
      </c>
    </row>
    <row r="405" spans="1:26" x14ac:dyDescent="0.25">
      <c r="A405" s="63">
        <f>'II_Inkunabeln+'!A405</f>
        <v>391</v>
      </c>
      <c r="B405" s="63" t="str">
        <f>'II_Inkunabeln+'!B405</f>
        <v>L-1470-315502053</v>
      </c>
      <c r="C405" s="63">
        <f>'II_Inkunabeln+'!C405</f>
        <v>1066971676</v>
      </c>
      <c r="D405" s="84" t="str">
        <f>'II_Inkunabeln+'!D405</f>
        <v>https://portal.dnb.de/opac.htm?method=simpleSearch&amp;cqlMode=true&amp;query=idn%3D1066971676</v>
      </c>
      <c r="E405" s="65" t="str">
        <f>'II_Inkunabeln+'!E405</f>
        <v>II 30,2e - 1</v>
      </c>
      <c r="F405" s="65" t="str">
        <f>'II_Inkunabeln+'!H405</f>
        <v>bis 35 cm</v>
      </c>
      <c r="G405" s="93">
        <f>'II_Inkunabeln+'!X405</f>
        <v>0</v>
      </c>
      <c r="H405" s="93">
        <f>'II_Inkunabeln+'!AA405</f>
        <v>0</v>
      </c>
      <c r="I405" s="93">
        <f>'II_Inkunabeln+'!AC405</f>
        <v>0</v>
      </c>
      <c r="J405" s="94"/>
      <c r="K405" s="93">
        <f>'II_Inkunabeln+'!AD405</f>
        <v>0</v>
      </c>
      <c r="L405" s="94"/>
      <c r="M405" s="94"/>
      <c r="N405" s="94"/>
      <c r="O405" s="94"/>
      <c r="P405" s="94"/>
      <c r="Q405" s="94"/>
      <c r="R405" s="94"/>
      <c r="S405" s="94"/>
      <c r="T405" s="94"/>
      <c r="U405" s="94"/>
      <c r="V405" s="94"/>
      <c r="W405" s="94">
        <f>'II_Inkunabeln+'!BA405</f>
        <v>0</v>
      </c>
      <c r="X405" s="108"/>
      <c r="Y405" s="93">
        <f>'II_Inkunabeln+'!BI405</f>
        <v>0</v>
      </c>
      <c r="Z405" s="81">
        <f>'II_Inkunabeln+'!BJ405</f>
        <v>0</v>
      </c>
    </row>
    <row r="406" spans="1:26" x14ac:dyDescent="0.25">
      <c r="A406" s="63">
        <f>'II_Inkunabeln+'!A406</f>
        <v>0</v>
      </c>
      <c r="B406" s="63">
        <f>'II_Inkunabeln+'!B406</f>
        <v>0</v>
      </c>
      <c r="C406" s="63">
        <f>'II_Inkunabeln+'!C406</f>
        <v>0</v>
      </c>
      <c r="D406" s="84">
        <f>'II_Inkunabeln+'!D406</f>
        <v>0</v>
      </c>
      <c r="E406" s="65" t="str">
        <f>'II_Inkunabeln+'!E406</f>
        <v>II 30,2e - 2</v>
      </c>
      <c r="F406" s="65" t="str">
        <f>'II_Inkunabeln+'!H406</f>
        <v>bis 35 cm</v>
      </c>
      <c r="G406" s="93">
        <f>'II_Inkunabeln+'!X406</f>
        <v>0</v>
      </c>
      <c r="H406" s="93">
        <f>'II_Inkunabeln+'!AA406</f>
        <v>0</v>
      </c>
      <c r="I406" s="93">
        <f>'II_Inkunabeln+'!AC406</f>
        <v>0</v>
      </c>
      <c r="J406" s="94"/>
      <c r="K406" s="93">
        <f>'II_Inkunabeln+'!AD406</f>
        <v>0</v>
      </c>
      <c r="L406" s="94"/>
      <c r="M406" s="94"/>
      <c r="N406" s="94"/>
      <c r="O406" s="94"/>
      <c r="P406" s="94"/>
      <c r="Q406" s="94"/>
      <c r="R406" s="94"/>
      <c r="S406" s="94"/>
      <c r="T406" s="94"/>
      <c r="U406" s="94"/>
      <c r="V406" s="94"/>
      <c r="W406" s="94">
        <f>'II_Inkunabeln+'!BA406</f>
        <v>0</v>
      </c>
      <c r="X406" s="108"/>
      <c r="Y406" s="93">
        <f>'II_Inkunabeln+'!BI406</f>
        <v>0</v>
      </c>
      <c r="Z406" s="81">
        <f>'II_Inkunabeln+'!BJ406</f>
        <v>0</v>
      </c>
    </row>
    <row r="407" spans="1:26" x14ac:dyDescent="0.25">
      <c r="A407" s="63">
        <f>'II_Inkunabeln+'!A407</f>
        <v>392</v>
      </c>
      <c r="B407" s="63" t="str">
        <f>'II_Inkunabeln+'!B407</f>
        <v>L-1477-315503408</v>
      </c>
      <c r="C407" s="63">
        <f>'II_Inkunabeln+'!C407</f>
        <v>1066973032</v>
      </c>
      <c r="D407" s="84" t="str">
        <f>'II_Inkunabeln+'!D407</f>
        <v>https://portal.dnb.de/opac.htm?method=simpleSearch&amp;cqlMode=true&amp;query=idn%3D1066973032</v>
      </c>
      <c r="E407" s="65" t="str">
        <f>'II_Inkunabeln+'!E407</f>
        <v>II 30,2f</v>
      </c>
      <c r="F407" s="65" t="str">
        <f>'II_Inkunabeln+'!H407</f>
        <v>&gt; 42 cm</v>
      </c>
      <c r="G407" s="93">
        <f>'II_Inkunabeln+'!X407</f>
        <v>0</v>
      </c>
      <c r="H407" s="93">
        <f>'II_Inkunabeln+'!AA407</f>
        <v>0</v>
      </c>
      <c r="I407" s="93">
        <f>'II_Inkunabeln+'!AC407</f>
        <v>0</v>
      </c>
      <c r="J407" s="94"/>
      <c r="K407" s="93">
        <f>'II_Inkunabeln+'!AD407</f>
        <v>0</v>
      </c>
      <c r="L407" s="94"/>
      <c r="M407" s="94"/>
      <c r="N407" s="94"/>
      <c r="O407" s="94"/>
      <c r="P407" s="94"/>
      <c r="Q407" s="94"/>
      <c r="R407" s="94"/>
      <c r="S407" s="94"/>
      <c r="T407" s="94"/>
      <c r="U407" s="94"/>
      <c r="V407" s="94"/>
      <c r="W407" s="94">
        <f>'II_Inkunabeln+'!BA407</f>
        <v>0</v>
      </c>
      <c r="X407" s="108"/>
      <c r="Y407" s="93">
        <f>'II_Inkunabeln+'!BI407</f>
        <v>0</v>
      </c>
      <c r="Z407" s="81">
        <f>'II_Inkunabeln+'!BJ407</f>
        <v>0</v>
      </c>
    </row>
    <row r="408" spans="1:26" x14ac:dyDescent="0.25">
      <c r="A408" s="63">
        <f>'II_Inkunabeln+'!A408</f>
        <v>393</v>
      </c>
      <c r="B408" s="63" t="str">
        <f>'II_Inkunabeln+'!B408</f>
        <v>L-1476-315503424</v>
      </c>
      <c r="C408" s="63">
        <f>'II_Inkunabeln+'!C408</f>
        <v>1066973059</v>
      </c>
      <c r="D408" s="84" t="str">
        <f>'II_Inkunabeln+'!D408</f>
        <v>https://portal.dnb.de/opac.htm?method=simpleSearch&amp;cqlMode=true&amp;query=idn%3D1066973059</v>
      </c>
      <c r="E408" s="65" t="str">
        <f>'II_Inkunabeln+'!E408</f>
        <v>II 30,2g - 1/2</v>
      </c>
      <c r="F408" s="65" t="str">
        <f>'II_Inkunabeln+'!H408</f>
        <v>&gt; 42 cm</v>
      </c>
      <c r="G408" s="93">
        <f>'II_Inkunabeln+'!X408</f>
        <v>0</v>
      </c>
      <c r="H408" s="93">
        <f>'II_Inkunabeln+'!AA408</f>
        <v>0</v>
      </c>
      <c r="I408" s="93">
        <f>'II_Inkunabeln+'!AC408</f>
        <v>0</v>
      </c>
      <c r="J408" s="94"/>
      <c r="K408" s="93">
        <f>'II_Inkunabeln+'!AD408</f>
        <v>0</v>
      </c>
      <c r="L408" s="94"/>
      <c r="M408" s="94"/>
      <c r="N408" s="94"/>
      <c r="O408" s="94"/>
      <c r="P408" s="94"/>
      <c r="Q408" s="94"/>
      <c r="R408" s="94"/>
      <c r="S408" s="94"/>
      <c r="T408" s="94"/>
      <c r="U408" s="94"/>
      <c r="V408" s="94"/>
      <c r="W408" s="94">
        <f>'II_Inkunabeln+'!BA408</f>
        <v>0</v>
      </c>
      <c r="X408" s="108"/>
      <c r="Y408" s="93">
        <f>'II_Inkunabeln+'!BI408</f>
        <v>0</v>
      </c>
      <c r="Z408" s="81">
        <f>'II_Inkunabeln+'!BJ408</f>
        <v>0</v>
      </c>
    </row>
    <row r="409" spans="1:26" x14ac:dyDescent="0.25">
      <c r="A409" s="63">
        <f>'II_Inkunabeln+'!A409</f>
        <v>0</v>
      </c>
      <c r="B409" s="63">
        <f>'II_Inkunabeln+'!B409</f>
        <v>0</v>
      </c>
      <c r="C409" s="63">
        <f>'II_Inkunabeln+'!C409</f>
        <v>0</v>
      </c>
      <c r="D409" s="84">
        <f>'II_Inkunabeln+'!D409</f>
        <v>0</v>
      </c>
      <c r="E409" s="65" t="str">
        <f>'II_Inkunabeln+'!E409</f>
        <v>II 30,2g - 3/4</v>
      </c>
      <c r="F409" s="65" t="str">
        <f>'II_Inkunabeln+'!H409</f>
        <v>&gt; 42 cm</v>
      </c>
      <c r="G409" s="93">
        <f>'II_Inkunabeln+'!X409</f>
        <v>0</v>
      </c>
      <c r="H409" s="93">
        <f>'II_Inkunabeln+'!AA409</f>
        <v>0</v>
      </c>
      <c r="I409" s="93">
        <f>'II_Inkunabeln+'!AC409</f>
        <v>0</v>
      </c>
      <c r="J409" s="94"/>
      <c r="K409" s="93">
        <f>'II_Inkunabeln+'!AD409</f>
        <v>0</v>
      </c>
      <c r="L409" s="94"/>
      <c r="M409" s="94"/>
      <c r="N409" s="94"/>
      <c r="O409" s="94"/>
      <c r="P409" s="94"/>
      <c r="Q409" s="94"/>
      <c r="R409" s="94"/>
      <c r="S409" s="94"/>
      <c r="T409" s="94"/>
      <c r="U409" s="94"/>
      <c r="V409" s="94"/>
      <c r="W409" s="94">
        <f>'II_Inkunabeln+'!BA409</f>
        <v>0</v>
      </c>
      <c r="X409" s="108"/>
      <c r="Y409" s="93">
        <f>'II_Inkunabeln+'!BI409</f>
        <v>0</v>
      </c>
      <c r="Z409" s="81">
        <f>'II_Inkunabeln+'!BJ409</f>
        <v>0</v>
      </c>
    </row>
    <row r="410" spans="1:26" x14ac:dyDescent="0.25">
      <c r="A410" s="63">
        <f>'II_Inkunabeln+'!A410</f>
        <v>394</v>
      </c>
      <c r="B410" s="63" t="str">
        <f>'II_Inkunabeln+'!B410</f>
        <v>L-1476-315503467</v>
      </c>
      <c r="C410" s="63">
        <f>'II_Inkunabeln+'!C410</f>
        <v>1066973083</v>
      </c>
      <c r="D410" s="84" t="str">
        <f>'II_Inkunabeln+'!D410</f>
        <v>https://portal.dnb.de/opac.htm?method=simpleSearch&amp;cqlMode=true&amp;query=idn%3D1066973083</v>
      </c>
      <c r="E410" s="65" t="str">
        <f>'II_Inkunabeln+'!E410</f>
        <v>II 30,2h - 1</v>
      </c>
      <c r="F410" s="65" t="str">
        <f>'II_Inkunabeln+'!H410</f>
        <v>&gt; 42 cm</v>
      </c>
      <c r="G410" s="93">
        <f>'II_Inkunabeln+'!X410</f>
        <v>0</v>
      </c>
      <c r="H410" s="93">
        <f>'II_Inkunabeln+'!AA410</f>
        <v>0</v>
      </c>
      <c r="I410" s="93">
        <f>'II_Inkunabeln+'!AC410</f>
        <v>0</v>
      </c>
      <c r="J410" s="94"/>
      <c r="K410" s="93">
        <f>'II_Inkunabeln+'!AD410</f>
        <v>0</v>
      </c>
      <c r="L410" s="94"/>
      <c r="M410" s="94"/>
      <c r="N410" s="94"/>
      <c r="O410" s="94"/>
      <c r="P410" s="94"/>
      <c r="Q410" s="94"/>
      <c r="R410" s="94"/>
      <c r="S410" s="94"/>
      <c r="T410" s="94"/>
      <c r="U410" s="94"/>
      <c r="V410" s="94"/>
      <c r="W410" s="94">
        <f>'II_Inkunabeln+'!BA410</f>
        <v>0</v>
      </c>
      <c r="X410" s="108"/>
      <c r="Y410" s="93">
        <f>'II_Inkunabeln+'!BI410</f>
        <v>0</v>
      </c>
      <c r="Z410" s="81">
        <f>'II_Inkunabeln+'!BJ410</f>
        <v>0</v>
      </c>
    </row>
    <row r="411" spans="1:26" x14ac:dyDescent="0.25">
      <c r="A411" s="63">
        <f>'II_Inkunabeln+'!A411</f>
        <v>0</v>
      </c>
      <c r="B411" s="63">
        <f>'II_Inkunabeln+'!B411</f>
        <v>0</v>
      </c>
      <c r="C411" s="63">
        <f>'II_Inkunabeln+'!C411</f>
        <v>0</v>
      </c>
      <c r="D411" s="84">
        <f>'II_Inkunabeln+'!D411</f>
        <v>0</v>
      </c>
      <c r="E411" s="65" t="str">
        <f>'II_Inkunabeln+'!E411</f>
        <v>II 30,2h - 2</v>
      </c>
      <c r="F411" s="65" t="str">
        <f>'II_Inkunabeln+'!H411</f>
        <v>&gt; 42 cm</v>
      </c>
      <c r="G411" s="93">
        <f>'II_Inkunabeln+'!X411</f>
        <v>0</v>
      </c>
      <c r="H411" s="93">
        <f>'II_Inkunabeln+'!AA411</f>
        <v>0</v>
      </c>
      <c r="I411" s="93">
        <f>'II_Inkunabeln+'!AC411</f>
        <v>0</v>
      </c>
      <c r="J411" s="94"/>
      <c r="K411" s="93">
        <f>'II_Inkunabeln+'!AD411</f>
        <v>0</v>
      </c>
      <c r="L411" s="94"/>
      <c r="M411" s="94"/>
      <c r="N411" s="94"/>
      <c r="O411" s="94"/>
      <c r="P411" s="94"/>
      <c r="Q411" s="94"/>
      <c r="R411" s="94"/>
      <c r="S411" s="94"/>
      <c r="T411" s="94"/>
      <c r="U411" s="94"/>
      <c r="V411" s="94"/>
      <c r="W411" s="94">
        <f>'II_Inkunabeln+'!BA411</f>
        <v>0</v>
      </c>
      <c r="X411" s="108"/>
      <c r="Y411" s="93">
        <f>'II_Inkunabeln+'!BI411</f>
        <v>0</v>
      </c>
      <c r="Z411" s="81">
        <f>'II_Inkunabeln+'!BJ411</f>
        <v>0</v>
      </c>
    </row>
    <row r="412" spans="1:26" x14ac:dyDescent="0.25">
      <c r="A412" s="63">
        <f>'II_Inkunabeln+'!A412</f>
        <v>0</v>
      </c>
      <c r="B412" s="63">
        <f>'II_Inkunabeln+'!B412</f>
        <v>0</v>
      </c>
      <c r="C412" s="63">
        <f>'II_Inkunabeln+'!C412</f>
        <v>0</v>
      </c>
      <c r="D412" s="84">
        <f>'II_Inkunabeln+'!D412</f>
        <v>0</v>
      </c>
      <c r="E412" s="65" t="str">
        <f>'II_Inkunabeln+'!E412</f>
        <v>II 30,2i - 1</v>
      </c>
      <c r="F412" s="65" t="str">
        <f>'II_Inkunabeln+'!H412</f>
        <v>&gt; 42 cm</v>
      </c>
      <c r="G412" s="93">
        <f>'II_Inkunabeln+'!X412</f>
        <v>0</v>
      </c>
      <c r="H412" s="93">
        <f>'II_Inkunabeln+'!AA412</f>
        <v>0</v>
      </c>
      <c r="I412" s="93">
        <f>'II_Inkunabeln+'!AC412</f>
        <v>0</v>
      </c>
      <c r="J412" s="94"/>
      <c r="K412" s="93">
        <f>'II_Inkunabeln+'!AD412</f>
        <v>0</v>
      </c>
      <c r="L412" s="94"/>
      <c r="M412" s="94"/>
      <c r="N412" s="94"/>
      <c r="O412" s="94"/>
      <c r="P412" s="94"/>
      <c r="Q412" s="94"/>
      <c r="R412" s="94"/>
      <c r="S412" s="94"/>
      <c r="T412" s="94"/>
      <c r="U412" s="94"/>
      <c r="V412" s="94"/>
      <c r="W412" s="94">
        <f>'II_Inkunabeln+'!BA412</f>
        <v>0</v>
      </c>
      <c r="X412" s="108"/>
      <c r="Y412" s="93">
        <f>'II_Inkunabeln+'!BI412</f>
        <v>0</v>
      </c>
      <c r="Z412" s="81">
        <f>'II_Inkunabeln+'!BJ412</f>
        <v>0</v>
      </c>
    </row>
    <row r="413" spans="1:26" x14ac:dyDescent="0.25">
      <c r="A413" s="63">
        <f>'II_Inkunabeln+'!A413</f>
        <v>0</v>
      </c>
      <c r="B413" s="63">
        <f>'II_Inkunabeln+'!B413</f>
        <v>0</v>
      </c>
      <c r="C413" s="63">
        <f>'II_Inkunabeln+'!C413</f>
        <v>0</v>
      </c>
      <c r="D413" s="84">
        <f>'II_Inkunabeln+'!D413</f>
        <v>0</v>
      </c>
      <c r="E413" s="65" t="str">
        <f>'II_Inkunabeln+'!E413</f>
        <v>II 30,2i - 2</v>
      </c>
      <c r="F413" s="65" t="str">
        <f>'II_Inkunabeln+'!H413</f>
        <v>&gt; 42 cm</v>
      </c>
      <c r="G413" s="93">
        <f>'II_Inkunabeln+'!X413</f>
        <v>0</v>
      </c>
      <c r="H413" s="93">
        <f>'II_Inkunabeln+'!AA413</f>
        <v>0</v>
      </c>
      <c r="I413" s="93">
        <f>'II_Inkunabeln+'!AC413</f>
        <v>0</v>
      </c>
      <c r="J413" s="94"/>
      <c r="K413" s="93">
        <f>'II_Inkunabeln+'!AD413</f>
        <v>0</v>
      </c>
      <c r="L413" s="94"/>
      <c r="M413" s="94"/>
      <c r="N413" s="94"/>
      <c r="O413" s="94"/>
      <c r="P413" s="94"/>
      <c r="Q413" s="94"/>
      <c r="R413" s="94"/>
      <c r="S413" s="94"/>
      <c r="T413" s="94"/>
      <c r="U413" s="94"/>
      <c r="V413" s="94"/>
      <c r="W413" s="94">
        <f>'II_Inkunabeln+'!BA413</f>
        <v>0</v>
      </c>
      <c r="X413" s="108"/>
      <c r="Y413" s="93">
        <f>'II_Inkunabeln+'!BI413</f>
        <v>0</v>
      </c>
      <c r="Z413" s="81">
        <f>'II_Inkunabeln+'!BJ413</f>
        <v>0</v>
      </c>
    </row>
    <row r="414" spans="1:26" x14ac:dyDescent="0.25">
      <c r="A414" s="63">
        <f>'II_Inkunabeln+'!A414</f>
        <v>0</v>
      </c>
      <c r="B414" s="63">
        <f>'II_Inkunabeln+'!B414</f>
        <v>0</v>
      </c>
      <c r="C414" s="63">
        <f>'II_Inkunabeln+'!C414</f>
        <v>0</v>
      </c>
      <c r="D414" s="84">
        <f>'II_Inkunabeln+'!D414</f>
        <v>0</v>
      </c>
      <c r="E414" s="65" t="str">
        <f>'II_Inkunabeln+'!E414</f>
        <v>II 30,2i - 3</v>
      </c>
      <c r="F414" s="65" t="str">
        <f>'II_Inkunabeln+'!H414</f>
        <v>&gt; 42 cm</v>
      </c>
      <c r="G414" s="93">
        <f>'II_Inkunabeln+'!X414</f>
        <v>0</v>
      </c>
      <c r="H414" s="93">
        <f>'II_Inkunabeln+'!AA414</f>
        <v>0</v>
      </c>
      <c r="I414" s="93">
        <f>'II_Inkunabeln+'!AC414</f>
        <v>0</v>
      </c>
      <c r="J414" s="94"/>
      <c r="K414" s="93">
        <f>'II_Inkunabeln+'!AD414</f>
        <v>0</v>
      </c>
      <c r="L414" s="94"/>
      <c r="M414" s="94"/>
      <c r="N414" s="94"/>
      <c r="O414" s="94"/>
      <c r="P414" s="94"/>
      <c r="Q414" s="94"/>
      <c r="R414" s="94"/>
      <c r="S414" s="94"/>
      <c r="T414" s="94"/>
      <c r="U414" s="94"/>
      <c r="V414" s="94"/>
      <c r="W414" s="94">
        <f>'II_Inkunabeln+'!BA414</f>
        <v>0</v>
      </c>
      <c r="X414" s="108"/>
      <c r="Y414" s="93">
        <f>'II_Inkunabeln+'!BI414</f>
        <v>0</v>
      </c>
      <c r="Z414" s="81">
        <f>'II_Inkunabeln+'!BJ414</f>
        <v>0</v>
      </c>
    </row>
    <row r="415" spans="1:26" x14ac:dyDescent="0.25">
      <c r="A415" s="63">
        <f>'II_Inkunabeln+'!A415</f>
        <v>0</v>
      </c>
      <c r="B415" s="63">
        <f>'II_Inkunabeln+'!B415</f>
        <v>0</v>
      </c>
      <c r="C415" s="63">
        <f>'II_Inkunabeln+'!C415</f>
        <v>0</v>
      </c>
      <c r="D415" s="84">
        <f>'II_Inkunabeln+'!D415</f>
        <v>0</v>
      </c>
      <c r="E415" s="65" t="str">
        <f>'II_Inkunabeln+'!E415</f>
        <v>II 30,2i - 4</v>
      </c>
      <c r="F415" s="65" t="str">
        <f>'II_Inkunabeln+'!H415</f>
        <v>&gt; 42 cm</v>
      </c>
      <c r="G415" s="93">
        <f>'II_Inkunabeln+'!X415</f>
        <v>0</v>
      </c>
      <c r="H415" s="93">
        <f>'II_Inkunabeln+'!AA415</f>
        <v>0</v>
      </c>
      <c r="I415" s="93">
        <f>'II_Inkunabeln+'!AC415</f>
        <v>0</v>
      </c>
      <c r="J415" s="94"/>
      <c r="K415" s="93">
        <f>'II_Inkunabeln+'!AD415</f>
        <v>0</v>
      </c>
      <c r="L415" s="94"/>
      <c r="M415" s="94"/>
      <c r="N415" s="94"/>
      <c r="O415" s="94"/>
      <c r="P415" s="94"/>
      <c r="Q415" s="94"/>
      <c r="R415" s="94"/>
      <c r="S415" s="94"/>
      <c r="T415" s="94"/>
      <c r="U415" s="94"/>
      <c r="V415" s="94"/>
      <c r="W415" s="94">
        <f>'II_Inkunabeln+'!BA415</f>
        <v>0</v>
      </c>
      <c r="X415" s="108"/>
      <c r="Y415" s="93">
        <f>'II_Inkunabeln+'!BI415</f>
        <v>0</v>
      </c>
      <c r="Z415" s="81">
        <f>'II_Inkunabeln+'!BJ415</f>
        <v>0</v>
      </c>
    </row>
    <row r="416" spans="1:26" x14ac:dyDescent="0.25">
      <c r="A416" s="63">
        <f>'II_Inkunabeln+'!A416</f>
        <v>395</v>
      </c>
      <c r="B416" s="63" t="str">
        <f>'II_Inkunabeln+'!B416</f>
        <v>L-1480-316102806</v>
      </c>
      <c r="C416" s="63" t="str">
        <f>'II_Inkunabeln+'!C416</f>
        <v>106696291X</v>
      </c>
      <c r="D416" s="84" t="str">
        <f>'II_Inkunabeln+'!D416</f>
        <v>https://portal.dnb.de/opac.htm?method=simpleSearch&amp;cqlMode=true&amp;query=idn%3D106696291X</v>
      </c>
      <c r="E416" s="65" t="str">
        <f>'II_Inkunabeln+'!E416</f>
        <v>II 30,2ia - Fragm.</v>
      </c>
      <c r="F416" s="65">
        <f>'II_Inkunabeln+'!H416</f>
        <v>0</v>
      </c>
      <c r="G416" s="93">
        <f>'II_Inkunabeln+'!X416</f>
        <v>0</v>
      </c>
      <c r="H416" s="93">
        <f>'II_Inkunabeln+'!AA416</f>
        <v>0</v>
      </c>
      <c r="I416" s="93">
        <f>'II_Inkunabeln+'!AC416</f>
        <v>0</v>
      </c>
      <c r="J416" s="94"/>
      <c r="K416" s="93">
        <f>'II_Inkunabeln+'!AD416</f>
        <v>0</v>
      </c>
      <c r="L416" s="94"/>
      <c r="M416" s="94"/>
      <c r="N416" s="94"/>
      <c r="O416" s="94"/>
      <c r="P416" s="94"/>
      <c r="Q416" s="94"/>
      <c r="R416" s="94"/>
      <c r="S416" s="94"/>
      <c r="T416" s="94"/>
      <c r="U416" s="94"/>
      <c r="V416" s="94"/>
      <c r="W416" s="94">
        <f>'II_Inkunabeln+'!BA416</f>
        <v>0</v>
      </c>
      <c r="X416" s="108"/>
      <c r="Y416" s="93">
        <f>'II_Inkunabeln+'!BI416</f>
        <v>0</v>
      </c>
      <c r="Z416" s="81">
        <f>'II_Inkunabeln+'!BJ416</f>
        <v>0</v>
      </c>
    </row>
    <row r="417" spans="1:26" x14ac:dyDescent="0.25">
      <c r="A417" s="63">
        <f>'II_Inkunabeln+'!A417</f>
        <v>396</v>
      </c>
      <c r="B417" s="63" t="str">
        <f>'II_Inkunabeln+'!B417</f>
        <v>L-1471-315498870</v>
      </c>
      <c r="C417" s="63">
        <f>'II_Inkunabeln+'!C417</f>
        <v>1066968616</v>
      </c>
      <c r="D417" s="84" t="str">
        <f>'II_Inkunabeln+'!D417</f>
        <v>https://portal.dnb.de/opac.htm?method=simpleSearch&amp;cqlMode=true&amp;query=idn%3D1066968616</v>
      </c>
      <c r="E417" s="65" t="str">
        <f>'II_Inkunabeln+'!E417</f>
        <v>II 30,3a</v>
      </c>
      <c r="F417" s="65">
        <f>'II_Inkunabeln+'!H417</f>
        <v>0</v>
      </c>
      <c r="G417" s="93">
        <f>'II_Inkunabeln+'!X417</f>
        <v>0</v>
      </c>
      <c r="H417" s="93">
        <f>'II_Inkunabeln+'!AA417</f>
        <v>0</v>
      </c>
      <c r="I417" s="93">
        <f>'II_Inkunabeln+'!AC417</f>
        <v>0</v>
      </c>
      <c r="J417" s="94"/>
      <c r="K417" s="93">
        <f>'II_Inkunabeln+'!AD417</f>
        <v>0</v>
      </c>
      <c r="L417" s="94"/>
      <c r="M417" s="94"/>
      <c r="N417" s="94"/>
      <c r="O417" s="94"/>
      <c r="P417" s="94"/>
      <c r="Q417" s="94"/>
      <c r="R417" s="94"/>
      <c r="S417" s="94"/>
      <c r="T417" s="94"/>
      <c r="U417" s="94"/>
      <c r="V417" s="94"/>
      <c r="W417" s="94">
        <f>'II_Inkunabeln+'!BA417</f>
        <v>0</v>
      </c>
      <c r="X417" s="108"/>
      <c r="Y417" s="93">
        <f>'II_Inkunabeln+'!BI417</f>
        <v>0</v>
      </c>
      <c r="Z417" s="81">
        <f>'II_Inkunabeln+'!BJ417</f>
        <v>0</v>
      </c>
    </row>
    <row r="418" spans="1:26" x14ac:dyDescent="0.25">
      <c r="A418" s="63">
        <f>'II_Inkunabeln+'!A418</f>
        <v>397</v>
      </c>
      <c r="B418" s="63" t="str">
        <f>'II_Inkunabeln+'!B418</f>
        <v>L-1472-315499877</v>
      </c>
      <c r="C418" s="63">
        <f>'II_Inkunabeln+'!C418</f>
        <v>1066969558</v>
      </c>
      <c r="D418" s="84" t="str">
        <f>'II_Inkunabeln+'!D418</f>
        <v>https://portal.dnb.de/opac.htm?method=simpleSearch&amp;cqlMode=true&amp;query=idn%3D1066969558</v>
      </c>
      <c r="E418" s="65" t="str">
        <f>'II_Inkunabeln+'!E418</f>
        <v>II 30,3b</v>
      </c>
      <c r="F418" s="65">
        <f>'II_Inkunabeln+'!H418</f>
        <v>0</v>
      </c>
      <c r="G418" s="93">
        <f>'II_Inkunabeln+'!X418</f>
        <v>0</v>
      </c>
      <c r="H418" s="93">
        <f>'II_Inkunabeln+'!AA418</f>
        <v>0</v>
      </c>
      <c r="I418" s="93">
        <f>'II_Inkunabeln+'!AC418</f>
        <v>0</v>
      </c>
      <c r="J418" s="94"/>
      <c r="K418" s="93">
        <f>'II_Inkunabeln+'!AD418</f>
        <v>0</v>
      </c>
      <c r="L418" s="94"/>
      <c r="M418" s="94"/>
      <c r="N418" s="94"/>
      <c r="O418" s="94"/>
      <c r="P418" s="94"/>
      <c r="Q418" s="94"/>
      <c r="R418" s="94"/>
      <c r="S418" s="94"/>
      <c r="T418" s="94"/>
      <c r="U418" s="94"/>
      <c r="V418" s="94"/>
      <c r="W418" s="94">
        <f>'II_Inkunabeln+'!BA418</f>
        <v>0</v>
      </c>
      <c r="X418" s="108"/>
      <c r="Y418" s="93">
        <f>'II_Inkunabeln+'!BI418</f>
        <v>0</v>
      </c>
      <c r="Z418" s="81">
        <f>'II_Inkunabeln+'!BJ418</f>
        <v>0</v>
      </c>
    </row>
    <row r="419" spans="1:26" x14ac:dyDescent="0.25">
      <c r="A419" s="63">
        <f>'II_Inkunabeln+'!A419</f>
        <v>398</v>
      </c>
      <c r="B419" s="63" t="str">
        <f>'II_Inkunabeln+'!B419</f>
        <v>L-1472-31549879X</v>
      </c>
      <c r="C419" s="63">
        <f>'II_Inkunabeln+'!C419</f>
        <v>1066968535</v>
      </c>
      <c r="D419" s="84" t="str">
        <f>'II_Inkunabeln+'!D419</f>
        <v>https://portal.dnb.de/opac.htm?method=simpleSearch&amp;cqlMode=true&amp;query=idn%3D1066968535</v>
      </c>
      <c r="E419" s="65" t="str">
        <f>'II_Inkunabeln+'!E419</f>
        <v>II 30,3c</v>
      </c>
      <c r="F419" s="65">
        <f>'II_Inkunabeln+'!H419</f>
        <v>0</v>
      </c>
      <c r="G419" s="93">
        <f>'II_Inkunabeln+'!X419</f>
        <v>0</v>
      </c>
      <c r="H419" s="93">
        <f>'II_Inkunabeln+'!AA419</f>
        <v>0</v>
      </c>
      <c r="I419" s="93">
        <f>'II_Inkunabeln+'!AC419</f>
        <v>0</v>
      </c>
      <c r="J419" s="94"/>
      <c r="K419" s="93">
        <f>'II_Inkunabeln+'!AD419</f>
        <v>0</v>
      </c>
      <c r="L419" s="94"/>
      <c r="M419" s="94"/>
      <c r="N419" s="94"/>
      <c r="O419" s="94"/>
      <c r="P419" s="94"/>
      <c r="Q419" s="94"/>
      <c r="R419" s="94"/>
      <c r="S419" s="94"/>
      <c r="T419" s="94"/>
      <c r="U419" s="94"/>
      <c r="V419" s="94"/>
      <c r="W419" s="94">
        <f>'II_Inkunabeln+'!BA419</f>
        <v>0</v>
      </c>
      <c r="X419" s="108"/>
      <c r="Y419" s="93">
        <f>'II_Inkunabeln+'!BI419</f>
        <v>0</v>
      </c>
      <c r="Z419" s="81">
        <f>'II_Inkunabeln+'!BJ419</f>
        <v>0</v>
      </c>
    </row>
    <row r="420" spans="1:26" x14ac:dyDescent="0.25">
      <c r="A420" s="63">
        <f>'II_Inkunabeln+'!A420</f>
        <v>399</v>
      </c>
      <c r="B420" s="63" t="str">
        <f>'II_Inkunabeln+'!B420</f>
        <v>L-1474-315501014</v>
      </c>
      <c r="C420" s="63">
        <f>'II_Inkunabeln+'!C420</f>
        <v>1066970661</v>
      </c>
      <c r="D420" s="84" t="str">
        <f>'II_Inkunabeln+'!D420</f>
        <v>https://portal.dnb.de/opac.htm?method=simpleSearch&amp;cqlMode=true&amp;query=idn%3D1066970661</v>
      </c>
      <c r="E420" s="65" t="str">
        <f>'II_Inkunabeln+'!E420</f>
        <v>II 30,3d</v>
      </c>
      <c r="F420" s="65">
        <f>'II_Inkunabeln+'!H420</f>
        <v>0</v>
      </c>
      <c r="G420" s="93">
        <f>'II_Inkunabeln+'!X420</f>
        <v>0</v>
      </c>
      <c r="H420" s="93">
        <f>'II_Inkunabeln+'!AA420</f>
        <v>0</v>
      </c>
      <c r="I420" s="93">
        <f>'II_Inkunabeln+'!AC420</f>
        <v>0</v>
      </c>
      <c r="J420" s="94"/>
      <c r="K420" s="93">
        <f>'II_Inkunabeln+'!AD420</f>
        <v>0</v>
      </c>
      <c r="L420" s="94"/>
      <c r="M420" s="94"/>
      <c r="N420" s="94"/>
      <c r="O420" s="94"/>
      <c r="P420" s="94"/>
      <c r="Q420" s="94"/>
      <c r="R420" s="94"/>
      <c r="S420" s="94"/>
      <c r="T420" s="94"/>
      <c r="U420" s="94"/>
      <c r="V420" s="94"/>
      <c r="W420" s="94">
        <f>'II_Inkunabeln+'!BA420</f>
        <v>0</v>
      </c>
      <c r="X420" s="108"/>
      <c r="Y420" s="93">
        <f>'II_Inkunabeln+'!BI420</f>
        <v>0</v>
      </c>
      <c r="Z420" s="81">
        <f>'II_Inkunabeln+'!BJ420</f>
        <v>0</v>
      </c>
    </row>
    <row r="421" spans="1:26" x14ac:dyDescent="0.25">
      <c r="A421" s="63">
        <f>'II_Inkunabeln+'!A421</f>
        <v>400</v>
      </c>
      <c r="B421" s="63" t="str">
        <f>'II_Inkunabeln+'!B421</f>
        <v>L-1474-315496541</v>
      </c>
      <c r="C421" s="63">
        <f>'II_Inkunabeln+'!C421</f>
        <v>1066966257</v>
      </c>
      <c r="D421" s="84" t="str">
        <f>'II_Inkunabeln+'!D421</f>
        <v>https://portal.dnb.de/opac.htm?method=simpleSearch&amp;cqlMode=true&amp;query=idn%3D1066966257</v>
      </c>
      <c r="E421" s="65" t="str">
        <f>'II_Inkunabeln+'!E421</f>
        <v>II 30,3e</v>
      </c>
      <c r="F421" s="65">
        <f>'II_Inkunabeln+'!H421</f>
        <v>0</v>
      </c>
      <c r="G421" s="93">
        <f>'II_Inkunabeln+'!X421</f>
        <v>0</v>
      </c>
      <c r="H421" s="93">
        <f>'II_Inkunabeln+'!AA421</f>
        <v>0</v>
      </c>
      <c r="I421" s="93">
        <f>'II_Inkunabeln+'!AC421</f>
        <v>0</v>
      </c>
      <c r="J421" s="94"/>
      <c r="K421" s="93">
        <f>'II_Inkunabeln+'!AD421</f>
        <v>0</v>
      </c>
      <c r="L421" s="94"/>
      <c r="M421" s="94"/>
      <c r="N421" s="94"/>
      <c r="O421" s="94"/>
      <c r="P421" s="94"/>
      <c r="Q421" s="94"/>
      <c r="R421" s="94"/>
      <c r="S421" s="94"/>
      <c r="T421" s="94"/>
      <c r="U421" s="94"/>
      <c r="V421" s="94"/>
      <c r="W421" s="94">
        <f>'II_Inkunabeln+'!BA421</f>
        <v>0</v>
      </c>
      <c r="X421" s="108"/>
      <c r="Y421" s="93">
        <f>'II_Inkunabeln+'!BI421</f>
        <v>0</v>
      </c>
      <c r="Z421" s="81">
        <f>'II_Inkunabeln+'!BJ421</f>
        <v>0</v>
      </c>
    </row>
    <row r="422" spans="1:26" x14ac:dyDescent="0.25">
      <c r="A422" s="63">
        <f>'II_Inkunabeln+'!A422</f>
        <v>401</v>
      </c>
      <c r="B422" s="63" t="str">
        <f>'II_Inkunabeln+'!B422</f>
        <v>L-1468-315496703</v>
      </c>
      <c r="C422" s="63">
        <f>'II_Inkunabeln+'!C422</f>
        <v>1066966427</v>
      </c>
      <c r="D422" s="84" t="str">
        <f>'II_Inkunabeln+'!D422</f>
        <v>https://portal.dnb.de/opac.htm?method=simpleSearch&amp;cqlMode=true&amp;query=idn%3D1066966427</v>
      </c>
      <c r="E422" s="65" t="str">
        <f>'II_Inkunabeln+'!E422</f>
        <v>II 30,3f - Fragm.</v>
      </c>
      <c r="F422" s="65">
        <f>'II_Inkunabeln+'!H422</f>
        <v>0</v>
      </c>
      <c r="G422" s="93">
        <f>'II_Inkunabeln+'!X422</f>
        <v>0</v>
      </c>
      <c r="H422" s="93">
        <f>'II_Inkunabeln+'!AA422</f>
        <v>0</v>
      </c>
      <c r="I422" s="93">
        <f>'II_Inkunabeln+'!AC422</f>
        <v>0</v>
      </c>
      <c r="J422" s="94"/>
      <c r="K422" s="93">
        <f>'II_Inkunabeln+'!AD422</f>
        <v>0</v>
      </c>
      <c r="L422" s="94"/>
      <c r="M422" s="94"/>
      <c r="N422" s="94"/>
      <c r="O422" s="94"/>
      <c r="P422" s="94"/>
      <c r="Q422" s="94"/>
      <c r="R422" s="94"/>
      <c r="S422" s="94"/>
      <c r="T422" s="94"/>
      <c r="U422" s="94"/>
      <c r="V422" s="94"/>
      <c r="W422" s="94">
        <f>'II_Inkunabeln+'!BA422</f>
        <v>0</v>
      </c>
      <c r="X422" s="108"/>
      <c r="Y422" s="93">
        <f>'II_Inkunabeln+'!BI422</f>
        <v>0</v>
      </c>
      <c r="Z422" s="81">
        <f>'II_Inkunabeln+'!BJ422</f>
        <v>0</v>
      </c>
    </row>
    <row r="423" spans="1:26" x14ac:dyDescent="0.25">
      <c r="A423" s="63">
        <f>'II_Inkunabeln+'!A423</f>
        <v>402</v>
      </c>
      <c r="B423" s="63" t="str">
        <f>'II_Inkunabeln+'!B423</f>
        <v>L-1474-315497254</v>
      </c>
      <c r="C423" s="63">
        <f>'II_Inkunabeln+'!C423</f>
        <v>1066966958</v>
      </c>
      <c r="D423" s="84" t="str">
        <f>'II_Inkunabeln+'!D423</f>
        <v>https://portal.dnb.de/opac.htm?method=simpleSearch&amp;cqlMode=true&amp;query=idn%3D1066966958</v>
      </c>
      <c r="E423" s="65" t="str">
        <f>'II_Inkunabeln+'!E423</f>
        <v>II 30,3h</v>
      </c>
      <c r="F423" s="65" t="str">
        <f>'II_Inkunabeln+'!H423</f>
        <v>bis 35 cm</v>
      </c>
      <c r="G423" s="93">
        <f>'II_Inkunabeln+'!X423</f>
        <v>0</v>
      </c>
      <c r="H423" s="93">
        <f>'II_Inkunabeln+'!AA423</f>
        <v>0</v>
      </c>
      <c r="I423" s="93">
        <f>'II_Inkunabeln+'!AC423</f>
        <v>0</v>
      </c>
      <c r="J423" s="94"/>
      <c r="K423" s="93">
        <f>'II_Inkunabeln+'!AD423</f>
        <v>0</v>
      </c>
      <c r="L423" s="94"/>
      <c r="M423" s="94"/>
      <c r="N423" s="94"/>
      <c r="O423" s="94"/>
      <c r="P423" s="94"/>
      <c r="Q423" s="94"/>
      <c r="R423" s="94"/>
      <c r="S423" s="94"/>
      <c r="T423" s="94"/>
      <c r="U423" s="94"/>
      <c r="V423" s="94"/>
      <c r="W423" s="94">
        <f>'II_Inkunabeln+'!BA423</f>
        <v>0</v>
      </c>
      <c r="X423" s="108"/>
      <c r="Y423" s="93">
        <f>'II_Inkunabeln+'!BI423</f>
        <v>0</v>
      </c>
      <c r="Z423" s="81">
        <f>'II_Inkunabeln+'!BJ423</f>
        <v>0</v>
      </c>
    </row>
    <row r="424" spans="1:26" x14ac:dyDescent="0.25">
      <c r="A424" s="63">
        <f>'II_Inkunabeln+'!A424</f>
        <v>403</v>
      </c>
      <c r="B424" s="63" t="str">
        <f>'II_Inkunabeln+'!B424</f>
        <v>L-1470-315497297</v>
      </c>
      <c r="C424" s="63">
        <f>'II_Inkunabeln+'!C424</f>
        <v>1066966990</v>
      </c>
      <c r="D424" s="84" t="str">
        <f>'II_Inkunabeln+'!D424</f>
        <v>https://portal.dnb.de/opac.htm?method=simpleSearch&amp;cqlMode=true&amp;query=idn%3D1066966990</v>
      </c>
      <c r="E424" s="65" t="str">
        <f>'II_Inkunabeln+'!E424</f>
        <v>II 30,3i</v>
      </c>
      <c r="F424" s="65">
        <f>'II_Inkunabeln+'!H424</f>
        <v>0</v>
      </c>
      <c r="G424" s="93">
        <f>'II_Inkunabeln+'!X424</f>
        <v>0</v>
      </c>
      <c r="H424" s="93">
        <f>'II_Inkunabeln+'!AA424</f>
        <v>0</v>
      </c>
      <c r="I424" s="93">
        <f>'II_Inkunabeln+'!AC424</f>
        <v>0</v>
      </c>
      <c r="J424" s="94"/>
      <c r="K424" s="93">
        <f>'II_Inkunabeln+'!AD424</f>
        <v>0</v>
      </c>
      <c r="L424" s="94"/>
      <c r="M424" s="94"/>
      <c r="N424" s="94"/>
      <c r="O424" s="94"/>
      <c r="P424" s="94"/>
      <c r="Q424" s="94"/>
      <c r="R424" s="94"/>
      <c r="S424" s="94"/>
      <c r="T424" s="94"/>
      <c r="U424" s="94"/>
      <c r="V424" s="94"/>
      <c r="W424" s="94">
        <f>'II_Inkunabeln+'!BA424</f>
        <v>0</v>
      </c>
      <c r="X424" s="108"/>
      <c r="Y424" s="93">
        <f>'II_Inkunabeln+'!BI424</f>
        <v>0</v>
      </c>
      <c r="Z424" s="81">
        <f>'II_Inkunabeln+'!BJ424</f>
        <v>0</v>
      </c>
    </row>
    <row r="425" spans="1:26" x14ac:dyDescent="0.25">
      <c r="A425" s="63">
        <f>'II_Inkunabeln+'!A425</f>
        <v>404</v>
      </c>
      <c r="B425" s="63" t="str">
        <f>'II_Inkunabeln+'!B425</f>
        <v>L-1473-315498560</v>
      </c>
      <c r="C425" s="63">
        <f>'II_Inkunabeln+'!C425</f>
        <v>1066968314</v>
      </c>
      <c r="D425" s="84" t="str">
        <f>'II_Inkunabeln+'!D425</f>
        <v>https://portal.dnb.de/opac.htm?method=simpleSearch&amp;cqlMode=true&amp;query=idn%3D1066968314</v>
      </c>
      <c r="E425" s="65" t="str">
        <f>'II_Inkunabeln+'!E425</f>
        <v>II 30,3k</v>
      </c>
      <c r="F425" s="65">
        <f>'II_Inkunabeln+'!H425</f>
        <v>0</v>
      </c>
      <c r="G425" s="93">
        <f>'II_Inkunabeln+'!X425</f>
        <v>0</v>
      </c>
      <c r="H425" s="93">
        <f>'II_Inkunabeln+'!AA425</f>
        <v>0</v>
      </c>
      <c r="I425" s="93">
        <f>'II_Inkunabeln+'!AC425</f>
        <v>0</v>
      </c>
      <c r="J425" s="94"/>
      <c r="K425" s="93">
        <f>'II_Inkunabeln+'!AD425</f>
        <v>0</v>
      </c>
      <c r="L425" s="94"/>
      <c r="M425" s="94"/>
      <c r="N425" s="94"/>
      <c r="O425" s="94"/>
      <c r="P425" s="94"/>
      <c r="Q425" s="94"/>
      <c r="R425" s="94"/>
      <c r="S425" s="94"/>
      <c r="T425" s="94"/>
      <c r="U425" s="94"/>
      <c r="V425" s="94"/>
      <c r="W425" s="94">
        <f>'II_Inkunabeln+'!BA425</f>
        <v>0</v>
      </c>
      <c r="X425" s="108"/>
      <c r="Y425" s="93">
        <f>'II_Inkunabeln+'!BI425</f>
        <v>0</v>
      </c>
      <c r="Z425" s="81">
        <f>'II_Inkunabeln+'!BJ425</f>
        <v>0</v>
      </c>
    </row>
    <row r="426" spans="1:26" x14ac:dyDescent="0.25">
      <c r="A426" s="63">
        <f>'II_Inkunabeln+'!A426</f>
        <v>405</v>
      </c>
      <c r="B426" s="63" t="str">
        <f>'II_Inkunabeln+'!B426</f>
        <v>L-1470-315499001</v>
      </c>
      <c r="C426" s="63">
        <f>'II_Inkunabeln+'!C426</f>
        <v>1066968756</v>
      </c>
      <c r="D426" s="84" t="str">
        <f>'II_Inkunabeln+'!D426</f>
        <v>https://portal.dnb.de/opac.htm?method=simpleSearch&amp;cqlMode=true&amp;query=idn%3D1066968756</v>
      </c>
      <c r="E426" s="65" t="str">
        <f>'II_Inkunabeln+'!E426</f>
        <v>II 30,3l</v>
      </c>
      <c r="F426" s="65">
        <f>'II_Inkunabeln+'!H426</f>
        <v>0</v>
      </c>
      <c r="G426" s="93">
        <f>'II_Inkunabeln+'!X426</f>
        <v>0</v>
      </c>
      <c r="H426" s="93">
        <f>'II_Inkunabeln+'!AA426</f>
        <v>0</v>
      </c>
      <c r="I426" s="93">
        <f>'II_Inkunabeln+'!AC426</f>
        <v>0</v>
      </c>
      <c r="J426" s="94"/>
      <c r="K426" s="93">
        <f>'II_Inkunabeln+'!AD426</f>
        <v>0</v>
      </c>
      <c r="L426" s="94"/>
      <c r="M426" s="94"/>
      <c r="N426" s="94"/>
      <c r="O426" s="94"/>
      <c r="P426" s="94"/>
      <c r="Q426" s="94"/>
      <c r="R426" s="94"/>
      <c r="S426" s="94"/>
      <c r="T426" s="94"/>
      <c r="U426" s="94"/>
      <c r="V426" s="94"/>
      <c r="W426" s="94">
        <f>'II_Inkunabeln+'!BA426</f>
        <v>0</v>
      </c>
      <c r="X426" s="108"/>
      <c r="Y426" s="93">
        <f>'II_Inkunabeln+'!BI426</f>
        <v>0</v>
      </c>
      <c r="Z426" s="81">
        <f>'II_Inkunabeln+'!BJ426</f>
        <v>0</v>
      </c>
    </row>
    <row r="427" spans="1:26" x14ac:dyDescent="0.25">
      <c r="A427" s="63">
        <f>'II_Inkunabeln+'!A427</f>
        <v>406</v>
      </c>
      <c r="B427" s="63" t="str">
        <f>'II_Inkunabeln+'!B427</f>
        <v>L-1473-315499729</v>
      </c>
      <c r="C427" s="63" t="str">
        <f>'II_Inkunabeln+'!C427</f>
        <v>106696940X</v>
      </c>
      <c r="D427" s="84" t="str">
        <f>'II_Inkunabeln+'!D427</f>
        <v>https://portal.dnb.de/opac.htm?method=simpleSearch&amp;cqlMode=true&amp;query=idn%3D106696940X</v>
      </c>
      <c r="E427" s="65" t="str">
        <f>'II_Inkunabeln+'!E427</f>
        <v>II 30,3m</v>
      </c>
      <c r="F427" s="65" t="str">
        <f>'II_Inkunabeln+'!H427</f>
        <v>bis 25 cm</v>
      </c>
      <c r="G427" s="93">
        <f>'II_Inkunabeln+'!X427</f>
        <v>0</v>
      </c>
      <c r="H427" s="93">
        <f>'II_Inkunabeln+'!AA427</f>
        <v>0</v>
      </c>
      <c r="I427" s="93">
        <f>'II_Inkunabeln+'!AC427</f>
        <v>0</v>
      </c>
      <c r="J427" s="94"/>
      <c r="K427" s="93">
        <f>'II_Inkunabeln+'!AD427</f>
        <v>0</v>
      </c>
      <c r="L427" s="94"/>
      <c r="M427" s="94"/>
      <c r="N427" s="94"/>
      <c r="O427" s="94"/>
      <c r="P427" s="94"/>
      <c r="Q427" s="94"/>
      <c r="R427" s="94"/>
      <c r="S427" s="94"/>
      <c r="T427" s="94"/>
      <c r="U427" s="94"/>
      <c r="V427" s="94"/>
      <c r="W427" s="94">
        <f>'II_Inkunabeln+'!BA427</f>
        <v>0</v>
      </c>
      <c r="X427" s="108"/>
      <c r="Y427" s="93">
        <f>'II_Inkunabeln+'!BI427</f>
        <v>0</v>
      </c>
      <c r="Z427" s="81">
        <f>'II_Inkunabeln+'!BJ427</f>
        <v>0</v>
      </c>
    </row>
    <row r="428" spans="1:26" x14ac:dyDescent="0.25">
      <c r="A428" s="63">
        <f>'II_Inkunabeln+'!A428</f>
        <v>407</v>
      </c>
      <c r="B428" s="63" t="str">
        <f>'II_Inkunabeln+'!B428</f>
        <v>L-1475-315501022</v>
      </c>
      <c r="C428" s="63" t="str">
        <f>'II_Inkunabeln+'!C428</f>
        <v>106697067X</v>
      </c>
      <c r="D428" s="84" t="str">
        <f>'II_Inkunabeln+'!D428</f>
        <v>https://portal.dnb.de/opac.htm?method=simpleSearch&amp;cqlMode=true&amp;query=idn%3D106697067X</v>
      </c>
      <c r="E428" s="65" t="str">
        <f>'II_Inkunabeln+'!E428</f>
        <v>II 30,3n</v>
      </c>
      <c r="F428" s="65">
        <f>'II_Inkunabeln+'!H428</f>
        <v>0</v>
      </c>
      <c r="G428" s="93">
        <f>'II_Inkunabeln+'!X428</f>
        <v>0</v>
      </c>
      <c r="H428" s="93">
        <f>'II_Inkunabeln+'!AA428</f>
        <v>0</v>
      </c>
      <c r="I428" s="93">
        <f>'II_Inkunabeln+'!AC428</f>
        <v>0</v>
      </c>
      <c r="J428" s="94"/>
      <c r="K428" s="93">
        <f>'II_Inkunabeln+'!AD428</f>
        <v>0</v>
      </c>
      <c r="L428" s="94"/>
      <c r="M428" s="94"/>
      <c r="N428" s="94"/>
      <c r="O428" s="94"/>
      <c r="P428" s="94"/>
      <c r="Q428" s="94"/>
      <c r="R428" s="94"/>
      <c r="S428" s="94"/>
      <c r="T428" s="94"/>
      <c r="U428" s="94"/>
      <c r="V428" s="94"/>
      <c r="W428" s="94">
        <f>'II_Inkunabeln+'!BA428</f>
        <v>0</v>
      </c>
      <c r="X428" s="108"/>
      <c r="Y428" s="93">
        <f>'II_Inkunabeln+'!BI428</f>
        <v>0</v>
      </c>
      <c r="Z428" s="81">
        <f>'II_Inkunabeln+'!BJ428</f>
        <v>0</v>
      </c>
    </row>
    <row r="429" spans="1:26" x14ac:dyDescent="0.25">
      <c r="A429" s="63">
        <f>'II_Inkunabeln+'!A429</f>
        <v>408</v>
      </c>
      <c r="B429" s="63" t="str">
        <f>'II_Inkunabeln+'!B429</f>
        <v>L-1471-31550191X</v>
      </c>
      <c r="C429" s="63">
        <f>'II_Inkunabeln+'!C429</f>
        <v>1066971536</v>
      </c>
      <c r="D429" s="84" t="str">
        <f>'II_Inkunabeln+'!D429</f>
        <v>https://portal.dnb.de/opac.htm?method=simpleSearch&amp;cqlMode=true&amp;query=idn%3D1066971536</v>
      </c>
      <c r="E429" s="65" t="str">
        <f>'II_Inkunabeln+'!E429</f>
        <v>II 30,3o</v>
      </c>
      <c r="F429" s="65">
        <f>'II_Inkunabeln+'!H429</f>
        <v>0</v>
      </c>
      <c r="G429" s="93">
        <f>'II_Inkunabeln+'!X429</f>
        <v>0</v>
      </c>
      <c r="H429" s="93">
        <f>'II_Inkunabeln+'!AA429</f>
        <v>0</v>
      </c>
      <c r="I429" s="93">
        <f>'II_Inkunabeln+'!AC429</f>
        <v>0</v>
      </c>
      <c r="J429" s="94"/>
      <c r="K429" s="93">
        <f>'II_Inkunabeln+'!AD429</f>
        <v>0</v>
      </c>
      <c r="L429" s="94"/>
      <c r="M429" s="94"/>
      <c r="N429" s="94"/>
      <c r="O429" s="94"/>
      <c r="P429" s="94"/>
      <c r="Q429" s="94"/>
      <c r="R429" s="94"/>
      <c r="S429" s="94"/>
      <c r="T429" s="94"/>
      <c r="U429" s="94"/>
      <c r="V429" s="94"/>
      <c r="W429" s="94">
        <f>'II_Inkunabeln+'!BA429</f>
        <v>0</v>
      </c>
      <c r="X429" s="108"/>
      <c r="Y429" s="93">
        <f>'II_Inkunabeln+'!BI429</f>
        <v>0</v>
      </c>
      <c r="Z429" s="81">
        <f>'II_Inkunabeln+'!BJ429</f>
        <v>0</v>
      </c>
    </row>
    <row r="430" spans="1:26" x14ac:dyDescent="0.25">
      <c r="A430" s="63">
        <f>'II_Inkunabeln+'!A430</f>
        <v>409</v>
      </c>
      <c r="B430" s="63" t="str">
        <f>'II_Inkunabeln+'!B430</f>
        <v>L-1473-315496118</v>
      </c>
      <c r="C430" s="63">
        <f>'II_Inkunabeln+'!C430</f>
        <v>1066965846</v>
      </c>
      <c r="D430" s="84" t="str">
        <f>'II_Inkunabeln+'!D430</f>
        <v>https://portal.dnb.de/opac.htm?method=simpleSearch&amp;cqlMode=true&amp;query=idn%3D1066965846</v>
      </c>
      <c r="E430" s="65" t="str">
        <f>'II_Inkunabeln+'!E430</f>
        <v>II 30,5a</v>
      </c>
      <c r="F430" s="65" t="str">
        <f>'II_Inkunabeln+'!H430</f>
        <v>bis 35 cm</v>
      </c>
      <c r="G430" s="93">
        <f>'II_Inkunabeln+'!X430</f>
        <v>0</v>
      </c>
      <c r="H430" s="93">
        <f>'II_Inkunabeln+'!AA430</f>
        <v>0</v>
      </c>
      <c r="I430" s="93">
        <f>'II_Inkunabeln+'!AC430</f>
        <v>0</v>
      </c>
      <c r="J430" s="94"/>
      <c r="K430" s="93">
        <f>'II_Inkunabeln+'!AD430</f>
        <v>0</v>
      </c>
      <c r="L430" s="94"/>
      <c r="M430" s="94"/>
      <c r="N430" s="94"/>
      <c r="O430" s="94"/>
      <c r="P430" s="94"/>
      <c r="Q430" s="94"/>
      <c r="R430" s="94"/>
      <c r="S430" s="94"/>
      <c r="T430" s="94"/>
      <c r="U430" s="94"/>
      <c r="V430" s="94"/>
      <c r="W430" s="94">
        <f>'II_Inkunabeln+'!BA430</f>
        <v>0</v>
      </c>
      <c r="X430" s="108"/>
      <c r="Y430" s="93">
        <f>'II_Inkunabeln+'!BI430</f>
        <v>0</v>
      </c>
      <c r="Z430" s="81">
        <f>'II_Inkunabeln+'!BJ430</f>
        <v>0</v>
      </c>
    </row>
    <row r="431" spans="1:26" x14ac:dyDescent="0.25">
      <c r="A431" s="63">
        <f>'II_Inkunabeln+'!A431</f>
        <v>410</v>
      </c>
      <c r="B431" s="63" t="str">
        <f>'II_Inkunabeln+'!B431</f>
        <v>L-1474-315496517</v>
      </c>
      <c r="C431" s="63">
        <f>'II_Inkunabeln+'!C431</f>
        <v>1066966222</v>
      </c>
      <c r="D431" s="84" t="str">
        <f>'II_Inkunabeln+'!D431</f>
        <v>https://portal.dnb.de/opac.htm?method=simpleSearch&amp;cqlMode=true&amp;query=idn%3D1066966222</v>
      </c>
      <c r="E431" s="65" t="str">
        <f>'II_Inkunabeln+'!E431</f>
        <v>II 30,5b</v>
      </c>
      <c r="F431" s="65">
        <f>'II_Inkunabeln+'!H431</f>
        <v>0</v>
      </c>
      <c r="G431" s="93">
        <f>'II_Inkunabeln+'!X431</f>
        <v>0</v>
      </c>
      <c r="H431" s="93">
        <f>'II_Inkunabeln+'!AA431</f>
        <v>0</v>
      </c>
      <c r="I431" s="93">
        <f>'II_Inkunabeln+'!AC431</f>
        <v>0</v>
      </c>
      <c r="J431" s="94"/>
      <c r="K431" s="93">
        <f>'II_Inkunabeln+'!AD431</f>
        <v>0</v>
      </c>
      <c r="L431" s="94"/>
      <c r="M431" s="94"/>
      <c r="N431" s="94"/>
      <c r="O431" s="94"/>
      <c r="P431" s="94"/>
      <c r="Q431" s="94"/>
      <c r="R431" s="94"/>
      <c r="S431" s="94"/>
      <c r="T431" s="94"/>
      <c r="U431" s="94"/>
      <c r="V431" s="94"/>
      <c r="W431" s="94">
        <f>'II_Inkunabeln+'!BA431</f>
        <v>0</v>
      </c>
      <c r="X431" s="108"/>
      <c r="Y431" s="93">
        <f>'II_Inkunabeln+'!BI431</f>
        <v>0</v>
      </c>
      <c r="Z431" s="81">
        <f>'II_Inkunabeln+'!BJ431</f>
        <v>0</v>
      </c>
    </row>
    <row r="432" spans="1:26" x14ac:dyDescent="0.25">
      <c r="A432" s="63">
        <f>'II_Inkunabeln+'!A432</f>
        <v>411</v>
      </c>
      <c r="B432" s="63" t="str">
        <f>'II_Inkunabeln+'!B432</f>
        <v>L-1473-453522459</v>
      </c>
      <c r="C432" s="63">
        <f>'II_Inkunabeln+'!C432</f>
        <v>1162446471</v>
      </c>
      <c r="D432" s="84" t="str">
        <f>'II_Inkunabeln+'!D432</f>
        <v>https://portal.dnb.de/opac.htm?method=simpleSearch&amp;cqlMode=true&amp;query=idn%3D1162446471</v>
      </c>
      <c r="E432" s="65" t="str">
        <f>'II_Inkunabeln+'!E432</f>
        <v>II 30,5c</v>
      </c>
      <c r="F432" s="65" t="str">
        <f>'II_Inkunabeln+'!H432</f>
        <v>bis 35 cm</v>
      </c>
      <c r="G432" s="93">
        <f>'II_Inkunabeln+'!X432</f>
        <v>0</v>
      </c>
      <c r="H432" s="93">
        <f>'II_Inkunabeln+'!AA432</f>
        <v>0</v>
      </c>
      <c r="I432" s="93">
        <f>'II_Inkunabeln+'!AC432</f>
        <v>0</v>
      </c>
      <c r="J432" s="94"/>
      <c r="K432" s="93">
        <f>'II_Inkunabeln+'!AD432</f>
        <v>0</v>
      </c>
      <c r="L432" s="94"/>
      <c r="M432" s="94"/>
      <c r="N432" s="94"/>
      <c r="O432" s="94"/>
      <c r="P432" s="94"/>
      <c r="Q432" s="94"/>
      <c r="R432" s="94"/>
      <c r="S432" s="94"/>
      <c r="T432" s="94"/>
      <c r="U432" s="94"/>
      <c r="V432" s="94"/>
      <c r="W432" s="94">
        <f>'II_Inkunabeln+'!BA432</f>
        <v>0</v>
      </c>
      <c r="X432" s="108"/>
      <c r="Y432" s="93">
        <f>'II_Inkunabeln+'!BI432</f>
        <v>0</v>
      </c>
      <c r="Z432" s="81">
        <f>'II_Inkunabeln+'!BJ432</f>
        <v>0</v>
      </c>
    </row>
    <row r="433" spans="1:26" x14ac:dyDescent="0.25">
      <c r="A433" s="63">
        <f>'II_Inkunabeln+'!A433</f>
        <v>412</v>
      </c>
      <c r="B433" s="63" t="str">
        <f>'II_Inkunabeln+'!B433</f>
        <v>L-1473-315499303</v>
      </c>
      <c r="C433" s="63">
        <f>'II_Inkunabeln+'!C433</f>
        <v>1066969027</v>
      </c>
      <c r="D433" s="84" t="str">
        <f>'II_Inkunabeln+'!D433</f>
        <v>https://portal.dnb.de/opac.htm?method=simpleSearch&amp;cqlMode=true&amp;query=idn%3D1066969027</v>
      </c>
      <c r="E433" s="65" t="str">
        <f>'II_Inkunabeln+'!E433</f>
        <v>II 30,5c (angebunden)</v>
      </c>
      <c r="F433" s="65">
        <f>'II_Inkunabeln+'!H433</f>
        <v>0</v>
      </c>
      <c r="G433" s="93">
        <f>'II_Inkunabeln+'!X433</f>
        <v>0</v>
      </c>
      <c r="H433" s="93">
        <f>'II_Inkunabeln+'!AA433</f>
        <v>0</v>
      </c>
      <c r="I433" s="93">
        <f>'II_Inkunabeln+'!AC433</f>
        <v>0</v>
      </c>
      <c r="J433" s="94"/>
      <c r="K433" s="93">
        <f>'II_Inkunabeln+'!AD433</f>
        <v>0</v>
      </c>
      <c r="L433" s="94"/>
      <c r="M433" s="94"/>
      <c r="N433" s="94"/>
      <c r="O433" s="94"/>
      <c r="P433" s="94"/>
      <c r="Q433" s="94"/>
      <c r="R433" s="94"/>
      <c r="S433" s="94"/>
      <c r="T433" s="94"/>
      <c r="U433" s="94"/>
      <c r="V433" s="94"/>
      <c r="W433" s="94">
        <f>'II_Inkunabeln+'!BA433</f>
        <v>0</v>
      </c>
      <c r="X433" s="108"/>
      <c r="Y433" s="93">
        <f>'II_Inkunabeln+'!BI433</f>
        <v>0</v>
      </c>
      <c r="Z433" s="81">
        <f>'II_Inkunabeln+'!BJ433</f>
        <v>0</v>
      </c>
    </row>
    <row r="434" spans="1:26" x14ac:dyDescent="0.25">
      <c r="A434" s="63">
        <f>'II_Inkunabeln+'!A434</f>
        <v>413</v>
      </c>
      <c r="B434" s="63" t="str">
        <f>'II_Inkunabeln+'!B434</f>
        <v>L-1473-315501790</v>
      </c>
      <c r="C434" s="63">
        <f>'II_Inkunabeln+'!C434</f>
        <v>1066971420</v>
      </c>
      <c r="D434" s="84" t="str">
        <f>'II_Inkunabeln+'!D434</f>
        <v>https://portal.dnb.de/opac.htm?method=simpleSearch&amp;cqlMode=true&amp;query=idn%3D1066971420</v>
      </c>
      <c r="E434" s="65" t="str">
        <f>'II_Inkunabeln+'!E434</f>
        <v>II 30,5e</v>
      </c>
      <c r="F434" s="65" t="str">
        <f>'II_Inkunabeln+'!H434</f>
        <v>bis 35 cm</v>
      </c>
      <c r="G434" s="93">
        <f>'II_Inkunabeln+'!X434</f>
        <v>0</v>
      </c>
      <c r="H434" s="93">
        <f>'II_Inkunabeln+'!AA434</f>
        <v>0</v>
      </c>
      <c r="I434" s="93">
        <f>'II_Inkunabeln+'!AC434</f>
        <v>0</v>
      </c>
      <c r="J434" s="94"/>
      <c r="K434" s="93">
        <f>'II_Inkunabeln+'!AD434</f>
        <v>0</v>
      </c>
      <c r="L434" s="94"/>
      <c r="M434" s="94"/>
      <c r="N434" s="94"/>
      <c r="O434" s="94"/>
      <c r="P434" s="94"/>
      <c r="Q434" s="94"/>
      <c r="R434" s="94"/>
      <c r="S434" s="94"/>
      <c r="T434" s="94"/>
      <c r="U434" s="94"/>
      <c r="V434" s="94"/>
      <c r="W434" s="94">
        <f>'II_Inkunabeln+'!BA434</f>
        <v>0</v>
      </c>
      <c r="X434" s="108"/>
      <c r="Y434" s="93">
        <f>'II_Inkunabeln+'!BI434</f>
        <v>0</v>
      </c>
      <c r="Z434" s="81">
        <f>'II_Inkunabeln+'!BJ434</f>
        <v>0</v>
      </c>
    </row>
    <row r="435" spans="1:26" x14ac:dyDescent="0.25">
      <c r="A435" s="63">
        <f>'II_Inkunabeln+'!A435</f>
        <v>414</v>
      </c>
      <c r="B435" s="63" t="str">
        <f>'II_Inkunabeln+'!B435</f>
        <v>L-1474-315501456</v>
      </c>
      <c r="C435" s="63">
        <f>'II_Inkunabeln+'!C435</f>
        <v>1066971099</v>
      </c>
      <c r="D435" s="84" t="str">
        <f>'II_Inkunabeln+'!D435</f>
        <v>https://portal.dnb.de/opac.htm?method=simpleSearch&amp;cqlMode=true&amp;query=idn%3D1066971099</v>
      </c>
      <c r="E435" s="65" t="str">
        <f>'II_Inkunabeln+'!E435</f>
        <v>II 30,5f</v>
      </c>
      <c r="F435" s="65" t="str">
        <f>'II_Inkunabeln+'!H435</f>
        <v>bis 35 cm</v>
      </c>
      <c r="G435" s="93">
        <f>'II_Inkunabeln+'!X435</f>
        <v>0</v>
      </c>
      <c r="H435" s="93">
        <f>'II_Inkunabeln+'!AA435</f>
        <v>0</v>
      </c>
      <c r="I435" s="93">
        <f>'II_Inkunabeln+'!AC435</f>
        <v>0</v>
      </c>
      <c r="J435" s="94"/>
      <c r="K435" s="93">
        <f>'II_Inkunabeln+'!AD435</f>
        <v>0</v>
      </c>
      <c r="L435" s="94"/>
      <c r="M435" s="94"/>
      <c r="N435" s="94"/>
      <c r="O435" s="94"/>
      <c r="P435" s="94"/>
      <c r="Q435" s="94"/>
      <c r="R435" s="94"/>
      <c r="S435" s="94"/>
      <c r="T435" s="94"/>
      <c r="U435" s="94"/>
      <c r="V435" s="94"/>
      <c r="W435" s="94">
        <f>'II_Inkunabeln+'!BA435</f>
        <v>0</v>
      </c>
      <c r="X435" s="108"/>
      <c r="Y435" s="93">
        <f>'II_Inkunabeln+'!BI435</f>
        <v>0</v>
      </c>
      <c r="Z435" s="81">
        <f>'II_Inkunabeln+'!BJ435</f>
        <v>0</v>
      </c>
    </row>
    <row r="436" spans="1:26" x14ac:dyDescent="0.25">
      <c r="A436" s="63">
        <f>'II_Inkunabeln+'!A436</f>
        <v>415</v>
      </c>
      <c r="B436" s="63" t="str">
        <f>'II_Inkunabeln+'!B436</f>
        <v>L-1474-315502983</v>
      </c>
      <c r="C436" s="63">
        <f>'II_Inkunabeln+'!C436</f>
        <v>1066972567</v>
      </c>
      <c r="D436" s="84" t="str">
        <f>'II_Inkunabeln+'!D436</f>
        <v>https://portal.dnb.de/opac.htm?method=simpleSearch&amp;cqlMode=true&amp;query=idn%3D1066972567</v>
      </c>
      <c r="E436" s="65" t="str">
        <f>'II_Inkunabeln+'!E436</f>
        <v>II 30,5g</v>
      </c>
      <c r="F436" s="65">
        <f>'II_Inkunabeln+'!H436</f>
        <v>0</v>
      </c>
      <c r="G436" s="93">
        <f>'II_Inkunabeln+'!X436</f>
        <v>0</v>
      </c>
      <c r="H436" s="93">
        <f>'II_Inkunabeln+'!AA436</f>
        <v>0</v>
      </c>
      <c r="I436" s="93">
        <f>'II_Inkunabeln+'!AC436</f>
        <v>0</v>
      </c>
      <c r="J436" s="94"/>
      <c r="K436" s="93">
        <f>'II_Inkunabeln+'!AD436</f>
        <v>0</v>
      </c>
      <c r="L436" s="94"/>
      <c r="M436" s="94"/>
      <c r="N436" s="94"/>
      <c r="O436" s="94"/>
      <c r="P436" s="94"/>
      <c r="Q436" s="94"/>
      <c r="R436" s="94"/>
      <c r="S436" s="94"/>
      <c r="T436" s="94"/>
      <c r="U436" s="94"/>
      <c r="V436" s="94"/>
      <c r="W436" s="94">
        <f>'II_Inkunabeln+'!BA436</f>
        <v>0</v>
      </c>
      <c r="X436" s="108"/>
      <c r="Y436" s="93">
        <f>'II_Inkunabeln+'!BI436</f>
        <v>0</v>
      </c>
      <c r="Z436" s="81">
        <f>'II_Inkunabeln+'!BJ436</f>
        <v>0</v>
      </c>
    </row>
    <row r="437" spans="1:26" x14ac:dyDescent="0.25">
      <c r="A437" s="63">
        <f>'II_Inkunabeln+'!A437</f>
        <v>416</v>
      </c>
      <c r="B437" s="63" t="str">
        <f>'II_Inkunabeln+'!B437</f>
        <v>L-1474-315496460</v>
      </c>
      <c r="C437" s="63">
        <f>'II_Inkunabeln+'!C437</f>
        <v>1066966168</v>
      </c>
      <c r="D437" s="84" t="str">
        <f>'II_Inkunabeln+'!D437</f>
        <v>https://portal.dnb.de/opac.htm?method=simpleSearch&amp;cqlMode=true&amp;query=idn%3D1066966168</v>
      </c>
      <c r="E437" s="65" t="str">
        <f>'II_Inkunabeln+'!E437</f>
        <v>II 30,6a</v>
      </c>
      <c r="F437" s="65">
        <f>'II_Inkunabeln+'!H437</f>
        <v>0</v>
      </c>
      <c r="G437" s="93">
        <f>'II_Inkunabeln+'!X437</f>
        <v>0</v>
      </c>
      <c r="H437" s="93">
        <f>'II_Inkunabeln+'!AA437</f>
        <v>0</v>
      </c>
      <c r="I437" s="93">
        <f>'II_Inkunabeln+'!AC437</f>
        <v>0</v>
      </c>
      <c r="J437" s="94"/>
      <c r="K437" s="93">
        <f>'II_Inkunabeln+'!AD437</f>
        <v>0</v>
      </c>
      <c r="L437" s="94"/>
      <c r="M437" s="94"/>
      <c r="N437" s="94"/>
      <c r="O437" s="94"/>
      <c r="P437" s="94"/>
      <c r="Q437" s="94"/>
      <c r="R437" s="94"/>
      <c r="S437" s="94"/>
      <c r="T437" s="94"/>
      <c r="U437" s="94"/>
      <c r="V437" s="94"/>
      <c r="W437" s="94">
        <f>'II_Inkunabeln+'!BA437</f>
        <v>0</v>
      </c>
      <c r="X437" s="108"/>
      <c r="Y437" s="93">
        <f>'II_Inkunabeln+'!BI437</f>
        <v>0</v>
      </c>
      <c r="Z437" s="81">
        <f>'II_Inkunabeln+'!BJ437</f>
        <v>0</v>
      </c>
    </row>
    <row r="438" spans="1:26" x14ac:dyDescent="0.25">
      <c r="A438" s="63">
        <f>'II_Inkunabeln+'!A438</f>
        <v>417</v>
      </c>
      <c r="B438" s="63" t="str">
        <f>'II_Inkunabeln+'!B438</f>
        <v>L-1474-315494956</v>
      </c>
      <c r="C438" s="63">
        <f>'II_Inkunabeln+'!C438</f>
        <v>1066964769</v>
      </c>
      <c r="D438" s="84" t="str">
        <f>'II_Inkunabeln+'!D438</f>
        <v>https://portal.dnb.de/opac.htm?method=simpleSearch&amp;cqlMode=true&amp;query=idn%3D1066964769</v>
      </c>
      <c r="E438" s="65" t="str">
        <f>'II_Inkunabeln+'!E438</f>
        <v>II 30,6b</v>
      </c>
      <c r="F438" s="65">
        <f>'II_Inkunabeln+'!H438</f>
        <v>0</v>
      </c>
      <c r="G438" s="93">
        <f>'II_Inkunabeln+'!X438</f>
        <v>0</v>
      </c>
      <c r="H438" s="93">
        <f>'II_Inkunabeln+'!AA438</f>
        <v>0</v>
      </c>
      <c r="I438" s="93">
        <f>'II_Inkunabeln+'!AC438</f>
        <v>0</v>
      </c>
      <c r="J438" s="94"/>
      <c r="K438" s="93">
        <f>'II_Inkunabeln+'!AD438</f>
        <v>0</v>
      </c>
      <c r="L438" s="94"/>
      <c r="M438" s="94"/>
      <c r="N438" s="94"/>
      <c r="O438" s="94"/>
      <c r="P438" s="94"/>
      <c r="Q438" s="94"/>
      <c r="R438" s="94"/>
      <c r="S438" s="94"/>
      <c r="T438" s="94"/>
      <c r="U438" s="94"/>
      <c r="V438" s="94"/>
      <c r="W438" s="94">
        <f>'II_Inkunabeln+'!BA438</f>
        <v>0</v>
      </c>
      <c r="X438" s="108"/>
      <c r="Y438" s="93">
        <f>'II_Inkunabeln+'!BI438</f>
        <v>0</v>
      </c>
      <c r="Z438" s="81">
        <f>'II_Inkunabeln+'!BJ438</f>
        <v>0</v>
      </c>
    </row>
    <row r="439" spans="1:26" x14ac:dyDescent="0.25">
      <c r="A439" s="63">
        <f>'II_Inkunabeln+'!A439</f>
        <v>418</v>
      </c>
      <c r="B439" s="63" t="str">
        <f>'II_Inkunabeln+'!B439</f>
        <v>L-1473-315499656</v>
      </c>
      <c r="C439" s="63">
        <f>'II_Inkunabeln+'!C439</f>
        <v>1066969329</v>
      </c>
      <c r="D439" s="84" t="str">
        <f>'II_Inkunabeln+'!D439</f>
        <v>https://portal.dnb.de/opac.htm?method=simpleSearch&amp;cqlMode=true&amp;query=idn%3D1066969329</v>
      </c>
      <c r="E439" s="65" t="str">
        <f>'II_Inkunabeln+'!E439</f>
        <v>II 30,6c</v>
      </c>
      <c r="F439" s="65" t="str">
        <f>'II_Inkunabeln+'!H439</f>
        <v>bis 35 cm</v>
      </c>
      <c r="G439" s="93">
        <f>'II_Inkunabeln+'!X439</f>
        <v>0</v>
      </c>
      <c r="H439" s="93">
        <f>'II_Inkunabeln+'!AA439</f>
        <v>0</v>
      </c>
      <c r="I439" s="93">
        <f>'II_Inkunabeln+'!AC439</f>
        <v>0</v>
      </c>
      <c r="J439" s="94"/>
      <c r="K439" s="93">
        <f>'II_Inkunabeln+'!AD439</f>
        <v>0</v>
      </c>
      <c r="L439" s="94"/>
      <c r="M439" s="94"/>
      <c r="N439" s="94"/>
      <c r="O439" s="94"/>
      <c r="P439" s="94"/>
      <c r="Q439" s="94"/>
      <c r="R439" s="94"/>
      <c r="S439" s="94"/>
      <c r="T439" s="94"/>
      <c r="U439" s="94"/>
      <c r="V439" s="94"/>
      <c r="W439" s="94">
        <f>'II_Inkunabeln+'!BA439</f>
        <v>0</v>
      </c>
      <c r="X439" s="108"/>
      <c r="Y439" s="93">
        <f>'II_Inkunabeln+'!BI439</f>
        <v>0</v>
      </c>
      <c r="Z439" s="81">
        <f>'II_Inkunabeln+'!BJ439</f>
        <v>0</v>
      </c>
    </row>
    <row r="440" spans="1:26" x14ac:dyDescent="0.25">
      <c r="A440" s="63">
        <f>'II_Inkunabeln+'!A440</f>
        <v>419</v>
      </c>
      <c r="B440" s="63" t="str">
        <f>'II_Inkunabeln+'!B440</f>
        <v>L-1473-326859624</v>
      </c>
      <c r="C440" s="63">
        <f>'II_Inkunabeln+'!C440</f>
        <v>1072064456</v>
      </c>
      <c r="D440" s="84" t="str">
        <f>'II_Inkunabeln+'!D440</f>
        <v>https://portal.dnb.de/opac.htm?method=simpleSearch&amp;cqlMode=true&amp;query=idn%3D1072064456</v>
      </c>
      <c r="E440" s="65" t="str">
        <f>'II_Inkunabeln+'!E440</f>
        <v>II 30,7a</v>
      </c>
      <c r="F440" s="65">
        <f>'II_Inkunabeln+'!H440</f>
        <v>0</v>
      </c>
      <c r="G440" s="93">
        <f>'II_Inkunabeln+'!X440</f>
        <v>0</v>
      </c>
      <c r="H440" s="93">
        <f>'II_Inkunabeln+'!AA440</f>
        <v>0</v>
      </c>
      <c r="I440" s="93">
        <f>'II_Inkunabeln+'!AC440</f>
        <v>0</v>
      </c>
      <c r="J440" s="94"/>
      <c r="K440" s="93">
        <f>'II_Inkunabeln+'!AD440</f>
        <v>0</v>
      </c>
      <c r="L440" s="94"/>
      <c r="M440" s="94"/>
      <c r="N440" s="94"/>
      <c r="O440" s="94"/>
      <c r="P440" s="94"/>
      <c r="Q440" s="94"/>
      <c r="R440" s="94"/>
      <c r="S440" s="94"/>
      <c r="T440" s="94"/>
      <c r="U440" s="94"/>
      <c r="V440" s="94"/>
      <c r="W440" s="94">
        <f>'II_Inkunabeln+'!BA440</f>
        <v>0</v>
      </c>
      <c r="X440" s="108"/>
      <c r="Y440" s="93">
        <f>'II_Inkunabeln+'!BI440</f>
        <v>0</v>
      </c>
      <c r="Z440" s="81">
        <f>'II_Inkunabeln+'!BJ440</f>
        <v>0</v>
      </c>
    </row>
    <row r="441" spans="1:26" x14ac:dyDescent="0.25">
      <c r="A441" s="63">
        <f>'II_Inkunabeln+'!A441</f>
        <v>420</v>
      </c>
      <c r="B441" s="63" t="str">
        <f>'II_Inkunabeln+'!B441</f>
        <v>L-1476-315501618</v>
      </c>
      <c r="C441" s="63">
        <f>'II_Inkunabeln+'!C441</f>
        <v>1066971242</v>
      </c>
      <c r="D441" s="84" t="str">
        <f>'II_Inkunabeln+'!D441</f>
        <v>https://portal.dnb.de/opac.htm?method=simpleSearch&amp;cqlMode=true&amp;query=idn%3D1066971242</v>
      </c>
      <c r="E441" s="65" t="str">
        <f>'II_Inkunabeln+'!E441</f>
        <v>II 30,7b</v>
      </c>
      <c r="F441" s="65" t="str">
        <f>'II_Inkunabeln+'!H441</f>
        <v>bis 35 cm</v>
      </c>
      <c r="G441" s="93">
        <f>'II_Inkunabeln+'!X441</f>
        <v>0</v>
      </c>
      <c r="H441" s="93">
        <f>'II_Inkunabeln+'!AA441</f>
        <v>0</v>
      </c>
      <c r="I441" s="93">
        <f>'II_Inkunabeln+'!AC441</f>
        <v>0</v>
      </c>
      <c r="J441" s="94"/>
      <c r="K441" s="93">
        <f>'II_Inkunabeln+'!AD441</f>
        <v>0</v>
      </c>
      <c r="L441" s="94"/>
      <c r="M441" s="94"/>
      <c r="N441" s="94"/>
      <c r="O441" s="94"/>
      <c r="P441" s="94"/>
      <c r="Q441" s="94"/>
      <c r="R441" s="94"/>
      <c r="S441" s="94"/>
      <c r="T441" s="94"/>
      <c r="U441" s="94"/>
      <c r="V441" s="94"/>
      <c r="W441" s="94">
        <f>'II_Inkunabeln+'!BA441</f>
        <v>0</v>
      </c>
      <c r="X441" s="108"/>
      <c r="Y441" s="93">
        <f>'II_Inkunabeln+'!BI441</f>
        <v>0</v>
      </c>
      <c r="Z441" s="81">
        <f>'II_Inkunabeln+'!BJ441</f>
        <v>0</v>
      </c>
    </row>
    <row r="442" spans="1:26" x14ac:dyDescent="0.25">
      <c r="A442" s="63">
        <f>'II_Inkunabeln+'!A442</f>
        <v>421</v>
      </c>
      <c r="B442" s="63" t="str">
        <f>'II_Inkunabeln+'!B442</f>
        <v>L-1475-315495979</v>
      </c>
      <c r="C442" s="63">
        <f>'II_Inkunabeln+'!C442</f>
        <v>1066965749</v>
      </c>
      <c r="D442" s="84" t="str">
        <f>'II_Inkunabeln+'!D442</f>
        <v>https://portal.dnb.de/opac.htm?method=simpleSearch&amp;cqlMode=true&amp;query=idn%3D1066965749</v>
      </c>
      <c r="E442" s="65" t="str">
        <f>'II_Inkunabeln+'!E442</f>
        <v>II 30,7c</v>
      </c>
      <c r="F442" s="65" t="str">
        <f>'II_Inkunabeln+'!H442</f>
        <v>bis 35 cm</v>
      </c>
      <c r="G442" s="93">
        <f>'II_Inkunabeln+'!X442</f>
        <v>0</v>
      </c>
      <c r="H442" s="93">
        <f>'II_Inkunabeln+'!AA442</f>
        <v>0</v>
      </c>
      <c r="I442" s="93">
        <f>'II_Inkunabeln+'!AC442</f>
        <v>0</v>
      </c>
      <c r="J442" s="94"/>
      <c r="K442" s="93">
        <f>'II_Inkunabeln+'!AD442</f>
        <v>0</v>
      </c>
      <c r="L442" s="94"/>
      <c r="M442" s="94"/>
      <c r="N442" s="94"/>
      <c r="O442" s="94"/>
      <c r="P442" s="94"/>
      <c r="Q442" s="94"/>
      <c r="R442" s="94"/>
      <c r="S442" s="94"/>
      <c r="T442" s="94"/>
      <c r="U442" s="94"/>
      <c r="V442" s="94"/>
      <c r="W442" s="94">
        <f>'II_Inkunabeln+'!BA442</f>
        <v>0</v>
      </c>
      <c r="X442" s="108"/>
      <c r="Y442" s="93">
        <f>'II_Inkunabeln+'!BI442</f>
        <v>0</v>
      </c>
      <c r="Z442" s="81">
        <f>'II_Inkunabeln+'!BJ442</f>
        <v>0</v>
      </c>
    </row>
    <row r="443" spans="1:26" x14ac:dyDescent="0.25">
      <c r="A443" s="63">
        <f>'II_Inkunabeln+'!A443</f>
        <v>422</v>
      </c>
      <c r="B443" s="63" t="str">
        <f>'II_Inkunabeln+'!B443</f>
        <v>L-1476-315499427</v>
      </c>
      <c r="C443" s="63">
        <f>'II_Inkunabeln+'!C443</f>
        <v>1066969124</v>
      </c>
      <c r="D443" s="84" t="str">
        <f>'II_Inkunabeln+'!D443</f>
        <v>https://portal.dnb.de/opac.htm?method=simpleSearch&amp;cqlMode=true&amp;query=idn%3D1066969124</v>
      </c>
      <c r="E443" s="65" t="str">
        <f>'II_Inkunabeln+'!E443</f>
        <v>II 30,7e</v>
      </c>
      <c r="F443" s="65" t="str">
        <f>'II_Inkunabeln+'!H443</f>
        <v>bis 35 cm</v>
      </c>
      <c r="G443" s="93">
        <f>'II_Inkunabeln+'!X443</f>
        <v>0</v>
      </c>
      <c r="H443" s="93">
        <f>'II_Inkunabeln+'!AA443</f>
        <v>0</v>
      </c>
      <c r="I443" s="93">
        <f>'II_Inkunabeln+'!AC443</f>
        <v>0</v>
      </c>
      <c r="J443" s="94"/>
      <c r="K443" s="93">
        <f>'II_Inkunabeln+'!AD443</f>
        <v>0</v>
      </c>
      <c r="L443" s="94"/>
      <c r="M443" s="94"/>
      <c r="N443" s="94"/>
      <c r="O443" s="94"/>
      <c r="P443" s="94"/>
      <c r="Q443" s="94"/>
      <c r="R443" s="94"/>
      <c r="S443" s="94"/>
      <c r="T443" s="94"/>
      <c r="U443" s="94"/>
      <c r="V443" s="94"/>
      <c r="W443" s="94">
        <f>'II_Inkunabeln+'!BA443</f>
        <v>0</v>
      </c>
      <c r="X443" s="108"/>
      <c r="Y443" s="93">
        <f>'II_Inkunabeln+'!BI443</f>
        <v>0</v>
      </c>
      <c r="Z443" s="81">
        <f>'II_Inkunabeln+'!BJ443</f>
        <v>0</v>
      </c>
    </row>
    <row r="444" spans="1:26" x14ac:dyDescent="0.25">
      <c r="A444" s="63">
        <f>'II_Inkunabeln+'!A444</f>
        <v>423</v>
      </c>
      <c r="B444" s="63" t="str">
        <f>'II_Inkunabeln+'!B444</f>
        <v>L-1474-352276495</v>
      </c>
      <c r="C444" s="63">
        <f>'II_Inkunabeln+'!C444</f>
        <v>1084608782</v>
      </c>
      <c r="D444" s="84" t="str">
        <f>'II_Inkunabeln+'!D444</f>
        <v>https://portal.dnb.de/opac.htm?method=simpleSearch&amp;cqlMode=true&amp;query=idn%3D1084608782</v>
      </c>
      <c r="E444" s="65" t="str">
        <f>'II_Inkunabeln+'!E444</f>
        <v>II 30,7f</v>
      </c>
      <c r="F444" s="65" t="str">
        <f>'II_Inkunabeln+'!H444</f>
        <v>bis 35 cm</v>
      </c>
      <c r="G444" s="93">
        <f>'II_Inkunabeln+'!X444</f>
        <v>0</v>
      </c>
      <c r="H444" s="93">
        <f>'II_Inkunabeln+'!AA444</f>
        <v>0</v>
      </c>
      <c r="I444" s="93">
        <f>'II_Inkunabeln+'!AC444</f>
        <v>0</v>
      </c>
      <c r="J444" s="94"/>
      <c r="K444" s="93">
        <f>'II_Inkunabeln+'!AD444</f>
        <v>0</v>
      </c>
      <c r="L444" s="94"/>
      <c r="M444" s="94"/>
      <c r="N444" s="94"/>
      <c r="O444" s="94"/>
      <c r="P444" s="94"/>
      <c r="Q444" s="94"/>
      <c r="R444" s="94"/>
      <c r="S444" s="94"/>
      <c r="T444" s="94"/>
      <c r="U444" s="94"/>
      <c r="V444" s="94"/>
      <c r="W444" s="94">
        <f>'II_Inkunabeln+'!BA444</f>
        <v>0</v>
      </c>
      <c r="X444" s="108"/>
      <c r="Y444" s="93">
        <f>'II_Inkunabeln+'!BI444</f>
        <v>0</v>
      </c>
      <c r="Z444" s="81">
        <f>'II_Inkunabeln+'!BJ444</f>
        <v>0</v>
      </c>
    </row>
    <row r="445" spans="1:26" x14ac:dyDescent="0.25">
      <c r="A445" s="63">
        <f>'II_Inkunabeln+'!A445</f>
        <v>424</v>
      </c>
      <c r="B445" s="63" t="str">
        <f>'II_Inkunabeln+'!B445</f>
        <v>L-1474-315494859</v>
      </c>
      <c r="C445" s="63">
        <f>'II_Inkunabeln+'!C445</f>
        <v>1066964637</v>
      </c>
      <c r="D445" s="84" t="str">
        <f>'II_Inkunabeln+'!D445</f>
        <v>https://portal.dnb.de/opac.htm?method=simpleSearch&amp;cqlMode=true&amp;query=idn%3D1066964637</v>
      </c>
      <c r="E445" s="65" t="str">
        <f>'II_Inkunabeln+'!E445</f>
        <v>II 30,7f (angebunden)</v>
      </c>
      <c r="F445" s="65">
        <f>'II_Inkunabeln+'!H445</f>
        <v>0</v>
      </c>
      <c r="G445" s="93">
        <f>'II_Inkunabeln+'!X445</f>
        <v>0</v>
      </c>
      <c r="H445" s="93">
        <f>'II_Inkunabeln+'!AA445</f>
        <v>0</v>
      </c>
      <c r="I445" s="93">
        <f>'II_Inkunabeln+'!AC445</f>
        <v>0</v>
      </c>
      <c r="J445" s="94"/>
      <c r="K445" s="93">
        <f>'II_Inkunabeln+'!AD445</f>
        <v>0</v>
      </c>
      <c r="L445" s="94"/>
      <c r="M445" s="94"/>
      <c r="N445" s="94"/>
      <c r="O445" s="94"/>
      <c r="P445" s="94"/>
      <c r="Q445" s="94"/>
      <c r="R445" s="94"/>
      <c r="S445" s="94"/>
      <c r="T445" s="94"/>
      <c r="U445" s="94"/>
      <c r="V445" s="94"/>
      <c r="W445" s="94">
        <f>'II_Inkunabeln+'!BA445</f>
        <v>0</v>
      </c>
      <c r="X445" s="108"/>
      <c r="Y445" s="93">
        <f>'II_Inkunabeln+'!BI445</f>
        <v>0</v>
      </c>
      <c r="Z445" s="81">
        <f>'II_Inkunabeln+'!BJ445</f>
        <v>0</v>
      </c>
    </row>
    <row r="446" spans="1:26" x14ac:dyDescent="0.25">
      <c r="A446" s="63">
        <f>'II_Inkunabeln+'!A446</f>
        <v>425</v>
      </c>
      <c r="B446" s="63" t="str">
        <f>'II_Inkunabeln+'!B446</f>
        <v>L-1415-315497157</v>
      </c>
      <c r="C446" s="63">
        <f>'II_Inkunabeln+'!C446</f>
        <v>1066966850</v>
      </c>
      <c r="D446" s="84" t="str">
        <f>'II_Inkunabeln+'!D446</f>
        <v>https://portal.dnb.de/opac.htm?method=simpleSearch&amp;cqlMode=true&amp;query=idn%3D1066966850</v>
      </c>
      <c r="E446" s="65" t="str">
        <f>'II_Inkunabeln+'!E446</f>
        <v>II 30,7g</v>
      </c>
      <c r="F446" s="65" t="str">
        <f>'II_Inkunabeln+'!H446</f>
        <v>bis 25 cm</v>
      </c>
      <c r="G446" s="93">
        <f>'II_Inkunabeln+'!X446</f>
        <v>0</v>
      </c>
      <c r="H446" s="93">
        <f>'II_Inkunabeln+'!AA446</f>
        <v>0</v>
      </c>
      <c r="I446" s="93">
        <f>'II_Inkunabeln+'!AC446</f>
        <v>0</v>
      </c>
      <c r="J446" s="94"/>
      <c r="K446" s="93">
        <f>'II_Inkunabeln+'!AD446</f>
        <v>0</v>
      </c>
      <c r="L446" s="94"/>
      <c r="M446" s="94"/>
      <c r="N446" s="94"/>
      <c r="O446" s="94"/>
      <c r="P446" s="94"/>
      <c r="Q446" s="94"/>
      <c r="R446" s="94"/>
      <c r="S446" s="94"/>
      <c r="T446" s="94"/>
      <c r="U446" s="94"/>
      <c r="V446" s="94"/>
      <c r="W446" s="94">
        <f>'II_Inkunabeln+'!BA446</f>
        <v>0</v>
      </c>
      <c r="X446" s="108"/>
      <c r="Y446" s="93">
        <f>'II_Inkunabeln+'!BI446</f>
        <v>0</v>
      </c>
      <c r="Z446" s="81">
        <f>'II_Inkunabeln+'!BJ446</f>
        <v>0</v>
      </c>
    </row>
    <row r="447" spans="1:26" x14ac:dyDescent="0.25">
      <c r="A447" s="63">
        <f>'II_Inkunabeln+'!A447</f>
        <v>426</v>
      </c>
      <c r="B447" s="63" t="str">
        <f>'II_Inkunabeln+'!B447</f>
        <v>L-1493-315496215</v>
      </c>
      <c r="C447" s="63">
        <f>'II_Inkunabeln+'!C447</f>
        <v>1066965927</v>
      </c>
      <c r="D447" s="84" t="str">
        <f>'II_Inkunabeln+'!D447</f>
        <v>https://portal.dnb.de/opac.htm?method=simpleSearch&amp;cqlMode=true&amp;query=idn%3D1066965927</v>
      </c>
      <c r="E447" s="65" t="str">
        <f>'II_Inkunabeln+'!E447</f>
        <v>II 30,7h</v>
      </c>
      <c r="F447" s="65">
        <f>'II_Inkunabeln+'!H447</f>
        <v>0</v>
      </c>
      <c r="G447" s="93">
        <f>'II_Inkunabeln+'!X447</f>
        <v>0</v>
      </c>
      <c r="H447" s="93">
        <f>'II_Inkunabeln+'!AA447</f>
        <v>0</v>
      </c>
      <c r="I447" s="93">
        <f>'II_Inkunabeln+'!AC447</f>
        <v>0</v>
      </c>
      <c r="J447" s="94"/>
      <c r="K447" s="93">
        <f>'II_Inkunabeln+'!AD447</f>
        <v>0</v>
      </c>
      <c r="L447" s="94"/>
      <c r="M447" s="94"/>
      <c r="N447" s="94"/>
      <c r="O447" s="94"/>
      <c r="P447" s="94"/>
      <c r="Q447" s="94"/>
      <c r="R447" s="94"/>
      <c r="S447" s="94"/>
      <c r="T447" s="94"/>
      <c r="U447" s="94"/>
      <c r="V447" s="94"/>
      <c r="W447" s="94">
        <f>'II_Inkunabeln+'!BA447</f>
        <v>0</v>
      </c>
      <c r="X447" s="108"/>
      <c r="Y447" s="93">
        <f>'II_Inkunabeln+'!BI447</f>
        <v>0</v>
      </c>
      <c r="Z447" s="81">
        <f>'II_Inkunabeln+'!BJ447</f>
        <v>0</v>
      </c>
    </row>
    <row r="448" spans="1:26" x14ac:dyDescent="0.25">
      <c r="A448" s="63">
        <f>'II_Inkunabeln+'!A448</f>
        <v>427</v>
      </c>
      <c r="B448" s="63" t="str">
        <f>'II_Inkunabeln+'!B448</f>
        <v>L-1493-315496207</v>
      </c>
      <c r="C448" s="63">
        <f>'II_Inkunabeln+'!C448</f>
        <v>1066965927</v>
      </c>
      <c r="D448" s="84" t="str">
        <f>'II_Inkunabeln+'!D448</f>
        <v>https://portal.dnb.de/opac.htm?method=simpleSearch&amp;cqlMode=true&amp;query=idn%3D1066965927</v>
      </c>
      <c r="E448" s="65" t="str">
        <f>'II_Inkunabeln+'!E448</f>
        <v>II 30,7ha</v>
      </c>
      <c r="F448" s="65">
        <f>'II_Inkunabeln+'!H448</f>
        <v>0</v>
      </c>
      <c r="G448" s="93">
        <f>'II_Inkunabeln+'!X448</f>
        <v>0</v>
      </c>
      <c r="H448" s="93">
        <f>'II_Inkunabeln+'!AA448</f>
        <v>0</v>
      </c>
      <c r="I448" s="93">
        <f>'II_Inkunabeln+'!AC448</f>
        <v>0</v>
      </c>
      <c r="J448" s="94"/>
      <c r="K448" s="93">
        <f>'II_Inkunabeln+'!AD448</f>
        <v>0</v>
      </c>
      <c r="L448" s="94"/>
      <c r="M448" s="94"/>
      <c r="N448" s="94"/>
      <c r="O448" s="94"/>
      <c r="P448" s="94"/>
      <c r="Q448" s="94"/>
      <c r="R448" s="94"/>
      <c r="S448" s="94"/>
      <c r="T448" s="94"/>
      <c r="U448" s="94"/>
      <c r="V448" s="94"/>
      <c r="W448" s="94">
        <f>'II_Inkunabeln+'!BA448</f>
        <v>0</v>
      </c>
      <c r="X448" s="108"/>
      <c r="Y448" s="93">
        <f>'II_Inkunabeln+'!BI448</f>
        <v>0</v>
      </c>
      <c r="Z448" s="81">
        <f>'II_Inkunabeln+'!BJ448</f>
        <v>0</v>
      </c>
    </row>
    <row r="449" spans="1:26" x14ac:dyDescent="0.25">
      <c r="A449" s="63">
        <f>'II_Inkunabeln+'!A449</f>
        <v>428</v>
      </c>
      <c r="B449" s="63" t="str">
        <f>'II_Inkunabeln+'!B449</f>
        <v>L-1483-315500093</v>
      </c>
      <c r="C449" s="63">
        <f>'II_Inkunabeln+'!C449</f>
        <v>1066969752</v>
      </c>
      <c r="D449" s="84" t="str">
        <f>'II_Inkunabeln+'!D449</f>
        <v>https://portal.dnb.de/opac.htm?method=simpleSearch&amp;cqlMode=true&amp;query=idn%3D1066969752</v>
      </c>
      <c r="E449" s="65" t="str">
        <f>'II_Inkunabeln+'!E449</f>
        <v>II 30,7i</v>
      </c>
      <c r="F449" s="65">
        <f>'II_Inkunabeln+'!H449</f>
        <v>0</v>
      </c>
      <c r="G449" s="93">
        <f>'II_Inkunabeln+'!X449</f>
        <v>0</v>
      </c>
      <c r="H449" s="93">
        <f>'II_Inkunabeln+'!AA449</f>
        <v>0</v>
      </c>
      <c r="I449" s="93">
        <f>'II_Inkunabeln+'!AC449</f>
        <v>0</v>
      </c>
      <c r="J449" s="94"/>
      <c r="K449" s="93">
        <f>'II_Inkunabeln+'!AD449</f>
        <v>0</v>
      </c>
      <c r="L449" s="94"/>
      <c r="M449" s="94"/>
      <c r="N449" s="94"/>
      <c r="O449" s="94"/>
      <c r="P449" s="94"/>
      <c r="Q449" s="94"/>
      <c r="R449" s="94"/>
      <c r="S449" s="94"/>
      <c r="T449" s="94"/>
      <c r="U449" s="94"/>
      <c r="V449" s="94"/>
      <c r="W449" s="94">
        <f>'II_Inkunabeln+'!BA449</f>
        <v>0</v>
      </c>
      <c r="X449" s="108"/>
      <c r="Y449" s="93">
        <f>'II_Inkunabeln+'!BI449</f>
        <v>0</v>
      </c>
      <c r="Z449" s="81">
        <f>'II_Inkunabeln+'!BJ449</f>
        <v>0</v>
      </c>
    </row>
    <row r="450" spans="1:26" x14ac:dyDescent="0.25">
      <c r="A450" s="63">
        <f>'II_Inkunabeln+'!A450</f>
        <v>429</v>
      </c>
      <c r="B450" s="63" t="str">
        <f>'II_Inkunabeln+'!B450</f>
        <v>L-1482-315500212</v>
      </c>
      <c r="C450" s="63">
        <f>'II_Inkunabeln+'!C450</f>
        <v>1066969884</v>
      </c>
      <c r="D450" s="84" t="str">
        <f>'II_Inkunabeln+'!D450</f>
        <v>https://portal.dnb.de/opac.htm?method=simpleSearch&amp;cqlMode=true&amp;query=idn%3D1066969884</v>
      </c>
      <c r="E450" s="65" t="str">
        <f>'II_Inkunabeln+'!E450</f>
        <v>II 30,8b</v>
      </c>
      <c r="F450" s="65">
        <f>'II_Inkunabeln+'!H450</f>
        <v>0</v>
      </c>
      <c r="G450" s="93">
        <f>'II_Inkunabeln+'!X450</f>
        <v>0</v>
      </c>
      <c r="H450" s="93">
        <f>'II_Inkunabeln+'!AA450</f>
        <v>0</v>
      </c>
      <c r="I450" s="93">
        <f>'II_Inkunabeln+'!AC450</f>
        <v>0</v>
      </c>
      <c r="J450" s="94"/>
      <c r="K450" s="93">
        <f>'II_Inkunabeln+'!AD450</f>
        <v>0</v>
      </c>
      <c r="L450" s="94"/>
      <c r="M450" s="94"/>
      <c r="N450" s="94"/>
      <c r="O450" s="94"/>
      <c r="P450" s="94"/>
      <c r="Q450" s="94"/>
      <c r="R450" s="94"/>
      <c r="S450" s="94"/>
      <c r="T450" s="94"/>
      <c r="U450" s="94"/>
      <c r="V450" s="94"/>
      <c r="W450" s="94">
        <f>'II_Inkunabeln+'!BA450</f>
        <v>0</v>
      </c>
      <c r="X450" s="108"/>
      <c r="Y450" s="93">
        <f>'II_Inkunabeln+'!BI450</f>
        <v>0</v>
      </c>
      <c r="Z450" s="81">
        <f>'II_Inkunabeln+'!BJ450</f>
        <v>0</v>
      </c>
    </row>
    <row r="451" spans="1:26" x14ac:dyDescent="0.25">
      <c r="A451" s="63">
        <f>'II_Inkunabeln+'!A451</f>
        <v>430</v>
      </c>
      <c r="B451" s="63" t="str">
        <f>'II_Inkunabeln+'!B451</f>
        <v>L-1490-31548862X</v>
      </c>
      <c r="C451" s="63">
        <f>'II_Inkunabeln+'!C451</f>
        <v>1066957983</v>
      </c>
      <c r="D451" s="84" t="str">
        <f>'II_Inkunabeln+'!D451</f>
        <v>https://portal.dnb.de/opac.htm?method=simpleSearch&amp;cqlMode=true&amp;query=idn%3D1066957983</v>
      </c>
      <c r="E451" s="65" t="str">
        <f>'II_Inkunabeln+'!E451</f>
        <v>II 30,9b</v>
      </c>
      <c r="F451" s="65">
        <f>'II_Inkunabeln+'!H451</f>
        <v>0</v>
      </c>
      <c r="G451" s="93">
        <f>'II_Inkunabeln+'!X451</f>
        <v>0</v>
      </c>
      <c r="H451" s="93">
        <f>'II_Inkunabeln+'!AA451</f>
        <v>0</v>
      </c>
      <c r="I451" s="93">
        <f>'II_Inkunabeln+'!AC451</f>
        <v>0</v>
      </c>
      <c r="J451" s="94"/>
      <c r="K451" s="93">
        <f>'II_Inkunabeln+'!AD451</f>
        <v>0</v>
      </c>
      <c r="L451" s="94"/>
      <c r="M451" s="94"/>
      <c r="N451" s="94"/>
      <c r="O451" s="94"/>
      <c r="P451" s="94"/>
      <c r="Q451" s="94"/>
      <c r="R451" s="94"/>
      <c r="S451" s="94"/>
      <c r="T451" s="94"/>
      <c r="U451" s="94"/>
      <c r="V451" s="94"/>
      <c r="W451" s="94">
        <f>'II_Inkunabeln+'!BA451</f>
        <v>0</v>
      </c>
      <c r="X451" s="108"/>
      <c r="Y451" s="93">
        <f>'II_Inkunabeln+'!BI451</f>
        <v>0</v>
      </c>
      <c r="Z451" s="81">
        <f>'II_Inkunabeln+'!BJ451</f>
        <v>0</v>
      </c>
    </row>
    <row r="452" spans="1:26" x14ac:dyDescent="0.25">
      <c r="A452" s="63">
        <f>'II_Inkunabeln+'!A452</f>
        <v>431</v>
      </c>
      <c r="B452" s="63" t="str">
        <f>'II_Inkunabeln+'!B452</f>
        <v>L-1498-315503599</v>
      </c>
      <c r="C452" s="63">
        <f>'II_Inkunabeln+'!C452</f>
        <v>1066973202</v>
      </c>
      <c r="D452" s="84" t="str">
        <f>'II_Inkunabeln+'!D452</f>
        <v>https://portal.dnb.de/opac.htm?method=simpleSearch&amp;cqlMode=true&amp;query=idn%3D1066973202</v>
      </c>
      <c r="E452" s="65" t="str">
        <f>'II_Inkunabeln+'!E452</f>
        <v>II 30,9c</v>
      </c>
      <c r="F452" s="65" t="str">
        <f>'II_Inkunabeln+'!H452</f>
        <v>bis 25 cm</v>
      </c>
      <c r="G452" s="93">
        <f>'II_Inkunabeln+'!X452</f>
        <v>0</v>
      </c>
      <c r="H452" s="93">
        <f>'II_Inkunabeln+'!AA452</f>
        <v>0</v>
      </c>
      <c r="I452" s="93">
        <f>'II_Inkunabeln+'!AC452</f>
        <v>0</v>
      </c>
      <c r="J452" s="94"/>
      <c r="K452" s="93">
        <f>'II_Inkunabeln+'!AD452</f>
        <v>0</v>
      </c>
      <c r="L452" s="94"/>
      <c r="M452" s="94"/>
      <c r="N452" s="94"/>
      <c r="O452" s="94"/>
      <c r="P452" s="94"/>
      <c r="Q452" s="94"/>
      <c r="R452" s="94"/>
      <c r="S452" s="94"/>
      <c r="T452" s="94"/>
      <c r="U452" s="94"/>
      <c r="V452" s="94"/>
      <c r="W452" s="94">
        <f>'II_Inkunabeln+'!BA452</f>
        <v>0</v>
      </c>
      <c r="X452" s="108"/>
      <c r="Y452" s="93">
        <f>'II_Inkunabeln+'!BI452</f>
        <v>0</v>
      </c>
      <c r="Z452" s="81">
        <f>'II_Inkunabeln+'!BJ452</f>
        <v>0</v>
      </c>
    </row>
    <row r="453" spans="1:26" x14ac:dyDescent="0.25">
      <c r="A453" s="63">
        <f>'II_Inkunabeln+'!A453</f>
        <v>432</v>
      </c>
      <c r="B453" s="63" t="str">
        <f>'II_Inkunabeln+'!B453</f>
        <v>L-1484-315497610</v>
      </c>
      <c r="C453" s="63">
        <f>'II_Inkunabeln+'!C453</f>
        <v>1066967369</v>
      </c>
      <c r="D453" s="84" t="str">
        <f>'II_Inkunabeln+'!D453</f>
        <v>https://portal.dnb.de/opac.htm?method=simpleSearch&amp;cqlMode=true&amp;query=idn%3D1066967369</v>
      </c>
      <c r="E453" s="65" t="str">
        <f>'II_Inkunabeln+'!E453</f>
        <v>II 30,9d</v>
      </c>
      <c r="F453" s="65" t="str">
        <f>'II_Inkunabeln+'!H453</f>
        <v>bis 35 cm</v>
      </c>
      <c r="G453" s="93">
        <f>'II_Inkunabeln+'!X453</f>
        <v>0</v>
      </c>
      <c r="H453" s="93">
        <f>'II_Inkunabeln+'!AA453</f>
        <v>0</v>
      </c>
      <c r="I453" s="93">
        <f>'II_Inkunabeln+'!AC453</f>
        <v>0</v>
      </c>
      <c r="J453" s="94"/>
      <c r="K453" s="93">
        <f>'II_Inkunabeln+'!AD453</f>
        <v>0</v>
      </c>
      <c r="L453" s="94"/>
      <c r="M453" s="94"/>
      <c r="N453" s="94"/>
      <c r="O453" s="94"/>
      <c r="P453" s="94"/>
      <c r="Q453" s="94"/>
      <c r="R453" s="94"/>
      <c r="S453" s="94"/>
      <c r="T453" s="94"/>
      <c r="U453" s="94"/>
      <c r="V453" s="94"/>
      <c r="W453" s="94">
        <f>'II_Inkunabeln+'!BA453</f>
        <v>0</v>
      </c>
      <c r="X453" s="108"/>
      <c r="Y453" s="93">
        <f>'II_Inkunabeln+'!BI453</f>
        <v>0</v>
      </c>
      <c r="Z453" s="81">
        <f>'II_Inkunabeln+'!BJ453</f>
        <v>0</v>
      </c>
    </row>
    <row r="454" spans="1:26" x14ac:dyDescent="0.25">
      <c r="A454" s="63">
        <f>'II_Inkunabeln+'!A454</f>
        <v>433</v>
      </c>
      <c r="B454" s="63" t="str">
        <f>'II_Inkunabeln+'!B454</f>
        <v>L-1481-315500417</v>
      </c>
      <c r="C454" s="63">
        <f>'II_Inkunabeln+'!C454</f>
        <v>1066970068</v>
      </c>
      <c r="D454" s="84" t="str">
        <f>'II_Inkunabeln+'!D454</f>
        <v>https://portal.dnb.de/opac.htm?method=simpleSearch&amp;cqlMode=true&amp;query=idn%3D1066970068</v>
      </c>
      <c r="E454" s="65" t="str">
        <f>'II_Inkunabeln+'!E454</f>
        <v>II 30,10a</v>
      </c>
      <c r="F454" s="65" t="str">
        <f>'II_Inkunabeln+'!H454</f>
        <v>bis 35 cm</v>
      </c>
      <c r="G454" s="93">
        <f>'II_Inkunabeln+'!X454</f>
        <v>0</v>
      </c>
      <c r="H454" s="93">
        <f>'II_Inkunabeln+'!AA454</f>
        <v>0</v>
      </c>
      <c r="I454" s="93">
        <f>'II_Inkunabeln+'!AC454</f>
        <v>0</v>
      </c>
      <c r="J454" s="94"/>
      <c r="K454" s="93">
        <f>'II_Inkunabeln+'!AD454</f>
        <v>0</v>
      </c>
      <c r="L454" s="94"/>
      <c r="M454" s="94"/>
      <c r="N454" s="94"/>
      <c r="O454" s="94"/>
      <c r="P454" s="94"/>
      <c r="Q454" s="94"/>
      <c r="R454" s="94"/>
      <c r="S454" s="94"/>
      <c r="T454" s="94"/>
      <c r="U454" s="94"/>
      <c r="V454" s="94"/>
      <c r="W454" s="94">
        <f>'II_Inkunabeln+'!BA454</f>
        <v>0</v>
      </c>
      <c r="X454" s="108"/>
      <c r="Y454" s="93">
        <f>'II_Inkunabeln+'!BI454</f>
        <v>0</v>
      </c>
      <c r="Z454" s="81">
        <f>'II_Inkunabeln+'!BJ454</f>
        <v>0</v>
      </c>
    </row>
    <row r="455" spans="1:26" x14ac:dyDescent="0.25">
      <c r="A455" s="63">
        <f>'II_Inkunabeln+'!A455</f>
        <v>434</v>
      </c>
      <c r="B455" s="63" t="str">
        <f>'II_Inkunabeln+'!B455</f>
        <v>L-1484-315501847</v>
      </c>
      <c r="C455" s="63">
        <f>'II_Inkunabeln+'!C455</f>
        <v>1066971463</v>
      </c>
      <c r="D455" s="84" t="str">
        <f>'II_Inkunabeln+'!D455</f>
        <v>https://portal.dnb.de/opac.htm?method=simpleSearch&amp;cqlMode=true&amp;query=idn%3D1066971463</v>
      </c>
      <c r="E455" s="65" t="str">
        <f>'II_Inkunabeln+'!E455</f>
        <v>II 30,11a</v>
      </c>
      <c r="F455" s="65">
        <f>'II_Inkunabeln+'!H455</f>
        <v>0</v>
      </c>
      <c r="G455" s="93">
        <f>'II_Inkunabeln+'!X455</f>
        <v>0</v>
      </c>
      <c r="H455" s="93">
        <f>'II_Inkunabeln+'!AA455</f>
        <v>0</v>
      </c>
      <c r="I455" s="93">
        <f>'II_Inkunabeln+'!AC455</f>
        <v>0</v>
      </c>
      <c r="J455" s="94"/>
      <c r="K455" s="93">
        <f>'II_Inkunabeln+'!AD455</f>
        <v>0</v>
      </c>
      <c r="L455" s="94"/>
      <c r="M455" s="94"/>
      <c r="N455" s="94"/>
      <c r="O455" s="94"/>
      <c r="P455" s="94"/>
      <c r="Q455" s="94"/>
      <c r="R455" s="94"/>
      <c r="S455" s="94"/>
      <c r="T455" s="94"/>
      <c r="U455" s="94"/>
      <c r="V455" s="94"/>
      <c r="W455" s="94">
        <f>'II_Inkunabeln+'!BA455</f>
        <v>0</v>
      </c>
      <c r="X455" s="108"/>
      <c r="Y455" s="93">
        <f>'II_Inkunabeln+'!BI455</f>
        <v>0</v>
      </c>
      <c r="Z455" s="81">
        <f>'II_Inkunabeln+'!BJ455</f>
        <v>0</v>
      </c>
    </row>
    <row r="456" spans="1:26" x14ac:dyDescent="0.25">
      <c r="A456" s="63">
        <f>'II_Inkunabeln+'!A456</f>
        <v>435</v>
      </c>
      <c r="B456" s="63" t="str">
        <f>'II_Inkunabeln+'!B456</f>
        <v>L-1484-315497823</v>
      </c>
      <c r="C456" s="63">
        <f>'II_Inkunabeln+'!C456</f>
        <v>1066967563</v>
      </c>
      <c r="D456" s="84" t="str">
        <f>'II_Inkunabeln+'!D456</f>
        <v>https://portal.dnb.de/opac.htm?method=simpleSearch&amp;cqlMode=true&amp;query=idn%3D1066967563</v>
      </c>
      <c r="E456" s="65" t="str">
        <f>'II_Inkunabeln+'!E456</f>
        <v>II 30,12a</v>
      </c>
      <c r="F456" s="65" t="str">
        <f>'II_Inkunabeln+'!H456</f>
        <v>bis 35 cm</v>
      </c>
      <c r="G456" s="93">
        <f>'II_Inkunabeln+'!X456</f>
        <v>0</v>
      </c>
      <c r="H456" s="93">
        <f>'II_Inkunabeln+'!AA456</f>
        <v>0</v>
      </c>
      <c r="I456" s="93">
        <f>'II_Inkunabeln+'!AC456</f>
        <v>0</v>
      </c>
      <c r="J456" s="94"/>
      <c r="K456" s="93">
        <f>'II_Inkunabeln+'!AD456</f>
        <v>0</v>
      </c>
      <c r="L456" s="94"/>
      <c r="M456" s="94"/>
      <c r="N456" s="94"/>
      <c r="O456" s="94"/>
      <c r="P456" s="94"/>
      <c r="Q456" s="94"/>
      <c r="R456" s="94"/>
      <c r="S456" s="94"/>
      <c r="T456" s="94"/>
      <c r="U456" s="94"/>
      <c r="V456" s="94"/>
      <c r="W456" s="94">
        <f>'II_Inkunabeln+'!BA456</f>
        <v>0</v>
      </c>
      <c r="X456" s="108"/>
      <c r="Y456" s="93">
        <f>'II_Inkunabeln+'!BI456</f>
        <v>0</v>
      </c>
      <c r="Z456" s="81">
        <f>'II_Inkunabeln+'!BJ456</f>
        <v>0</v>
      </c>
    </row>
    <row r="457" spans="1:26" x14ac:dyDescent="0.25">
      <c r="A457" s="63">
        <f>'II_Inkunabeln+'!A457</f>
        <v>436</v>
      </c>
      <c r="B457" s="63" t="str">
        <f>'II_Inkunabeln+'!B457</f>
        <v>L-1486-315498242</v>
      </c>
      <c r="C457" s="63">
        <f>'II_Inkunabeln+'!C457</f>
        <v>1066967970</v>
      </c>
      <c r="D457" s="84" t="str">
        <f>'II_Inkunabeln+'!D457</f>
        <v>https://portal.dnb.de/opac.htm?method=simpleSearch&amp;cqlMode=true&amp;query=idn%3D1066967970</v>
      </c>
      <c r="E457" s="65" t="str">
        <f>'II_Inkunabeln+'!E457</f>
        <v>II 30,12b</v>
      </c>
      <c r="F457" s="65">
        <f>'II_Inkunabeln+'!H457</f>
        <v>0</v>
      </c>
      <c r="G457" s="93">
        <f>'II_Inkunabeln+'!X457</f>
        <v>0</v>
      </c>
      <c r="H457" s="93">
        <f>'II_Inkunabeln+'!AA457</f>
        <v>0</v>
      </c>
      <c r="I457" s="93">
        <f>'II_Inkunabeln+'!AC457</f>
        <v>0</v>
      </c>
      <c r="J457" s="94"/>
      <c r="K457" s="93">
        <f>'II_Inkunabeln+'!AD457</f>
        <v>0</v>
      </c>
      <c r="L457" s="94"/>
      <c r="M457" s="94"/>
      <c r="N457" s="94"/>
      <c r="O457" s="94"/>
      <c r="P457" s="94"/>
      <c r="Q457" s="94"/>
      <c r="R457" s="94"/>
      <c r="S457" s="94"/>
      <c r="T457" s="94"/>
      <c r="U457" s="94"/>
      <c r="V457" s="94"/>
      <c r="W457" s="94">
        <f>'II_Inkunabeln+'!BA457</f>
        <v>0</v>
      </c>
      <c r="X457" s="108"/>
      <c r="Y457" s="93">
        <f>'II_Inkunabeln+'!BI457</f>
        <v>0</v>
      </c>
      <c r="Z457" s="81">
        <f>'II_Inkunabeln+'!BJ457</f>
        <v>0</v>
      </c>
    </row>
    <row r="458" spans="1:26" x14ac:dyDescent="0.25">
      <c r="A458" s="63">
        <f>'II_Inkunabeln+'!A458</f>
        <v>437</v>
      </c>
      <c r="B458" s="63" t="str">
        <f>'II_Inkunabeln+'!B458</f>
        <v>L-1490-31550143X</v>
      </c>
      <c r="C458" s="63">
        <f>'II_Inkunabeln+'!C458</f>
        <v>1066971072</v>
      </c>
      <c r="D458" s="84" t="str">
        <f>'II_Inkunabeln+'!D458</f>
        <v>https://portal.dnb.de/opac.htm?method=simpleSearch&amp;cqlMode=true&amp;query=idn%3D1066971072</v>
      </c>
      <c r="E458" s="65" t="str">
        <f>'II_Inkunabeln+'!E458</f>
        <v>II 30,12c</v>
      </c>
      <c r="F458" s="65" t="str">
        <f>'II_Inkunabeln+'!H458</f>
        <v>bis 25 cm</v>
      </c>
      <c r="G458" s="93">
        <f>'II_Inkunabeln+'!X458</f>
        <v>0</v>
      </c>
      <c r="H458" s="93">
        <f>'II_Inkunabeln+'!AA458</f>
        <v>0</v>
      </c>
      <c r="I458" s="93">
        <f>'II_Inkunabeln+'!AC458</f>
        <v>0</v>
      </c>
      <c r="J458" s="94"/>
      <c r="K458" s="93">
        <f>'II_Inkunabeln+'!AD458</f>
        <v>0</v>
      </c>
      <c r="L458" s="94"/>
      <c r="M458" s="94"/>
      <c r="N458" s="94"/>
      <c r="O458" s="94"/>
      <c r="P458" s="94"/>
      <c r="Q458" s="94"/>
      <c r="R458" s="94"/>
      <c r="S458" s="94"/>
      <c r="T458" s="94"/>
      <c r="U458" s="94"/>
      <c r="V458" s="94"/>
      <c r="W458" s="94">
        <f>'II_Inkunabeln+'!BA458</f>
        <v>0</v>
      </c>
      <c r="X458" s="108"/>
      <c r="Y458" s="93">
        <f>'II_Inkunabeln+'!BI458</f>
        <v>0</v>
      </c>
      <c r="Z458" s="81">
        <f>'II_Inkunabeln+'!BJ458</f>
        <v>0</v>
      </c>
    </row>
    <row r="459" spans="1:26" x14ac:dyDescent="0.25">
      <c r="A459" s="63">
        <f>'II_Inkunabeln+'!A459</f>
        <v>438</v>
      </c>
      <c r="B459" s="63" t="str">
        <f>'II_Inkunabeln+'!B459</f>
        <v>L-1492-460784927</v>
      </c>
      <c r="C459" s="63">
        <f>'II_Inkunabeln+'!C459</f>
        <v>1166155838</v>
      </c>
      <c r="D459" s="84" t="str">
        <f>'II_Inkunabeln+'!D459</f>
        <v>https://portal.dnb.de/opac.htm?method=simpleSearch&amp;cqlMode=true&amp;query=idn%3D1166155838</v>
      </c>
      <c r="E459" s="65" t="str">
        <f>'II_Inkunabeln+'!E459</f>
        <v>II 30,12d</v>
      </c>
      <c r="F459" s="65" t="str">
        <f>'II_Inkunabeln+'!H459</f>
        <v>bis 35 cm</v>
      </c>
      <c r="G459" s="93">
        <f>'II_Inkunabeln+'!X459</f>
        <v>0</v>
      </c>
      <c r="H459" s="93">
        <f>'II_Inkunabeln+'!AA459</f>
        <v>0</v>
      </c>
      <c r="I459" s="93">
        <f>'II_Inkunabeln+'!AC459</f>
        <v>0</v>
      </c>
      <c r="J459" s="94"/>
      <c r="K459" s="93">
        <f>'II_Inkunabeln+'!AD459</f>
        <v>0</v>
      </c>
      <c r="L459" s="94"/>
      <c r="M459" s="94"/>
      <c r="N459" s="94"/>
      <c r="O459" s="94"/>
      <c r="P459" s="94"/>
      <c r="Q459" s="94"/>
      <c r="R459" s="94"/>
      <c r="S459" s="94"/>
      <c r="T459" s="94"/>
      <c r="U459" s="94"/>
      <c r="V459" s="94"/>
      <c r="W459" s="94">
        <f>'II_Inkunabeln+'!BA459</f>
        <v>0</v>
      </c>
      <c r="X459" s="108"/>
      <c r="Y459" s="93">
        <f>'II_Inkunabeln+'!BI459</f>
        <v>0</v>
      </c>
      <c r="Z459" s="81">
        <f>'II_Inkunabeln+'!BJ459</f>
        <v>0</v>
      </c>
    </row>
    <row r="460" spans="1:26" x14ac:dyDescent="0.25">
      <c r="A460" s="63">
        <f>'II_Inkunabeln+'!A460</f>
        <v>439</v>
      </c>
      <c r="B460" s="63" t="str">
        <f>'II_Inkunabeln+'!B460</f>
        <v>L-1496-315495057</v>
      </c>
      <c r="C460" s="63">
        <f>'II_Inkunabeln+'!C460</f>
        <v>1066964882</v>
      </c>
      <c r="D460" s="84" t="str">
        <f>'II_Inkunabeln+'!D460</f>
        <v>https://portal.dnb.de/opac.htm?method=simpleSearch&amp;cqlMode=true&amp;query=idn%3D1066964882</v>
      </c>
      <c r="E460" s="65" t="str">
        <f>'II_Inkunabeln+'!E460</f>
        <v>II 30,12e</v>
      </c>
      <c r="F460" s="65">
        <f>'II_Inkunabeln+'!H460</f>
        <v>0</v>
      </c>
      <c r="G460" s="93">
        <f>'II_Inkunabeln+'!X460</f>
        <v>0</v>
      </c>
      <c r="H460" s="93">
        <f>'II_Inkunabeln+'!AA460</f>
        <v>0</v>
      </c>
      <c r="I460" s="93">
        <f>'II_Inkunabeln+'!AC460</f>
        <v>0</v>
      </c>
      <c r="J460" s="94"/>
      <c r="K460" s="93">
        <f>'II_Inkunabeln+'!AD460</f>
        <v>0</v>
      </c>
      <c r="L460" s="94"/>
      <c r="M460" s="94"/>
      <c r="N460" s="94"/>
      <c r="O460" s="94"/>
      <c r="P460" s="94"/>
      <c r="Q460" s="94"/>
      <c r="R460" s="94"/>
      <c r="S460" s="94"/>
      <c r="T460" s="94"/>
      <c r="U460" s="94"/>
      <c r="V460" s="94"/>
      <c r="W460" s="94">
        <f>'II_Inkunabeln+'!BA460</f>
        <v>0</v>
      </c>
      <c r="X460" s="108"/>
      <c r="Y460" s="93">
        <f>'II_Inkunabeln+'!BI460</f>
        <v>0</v>
      </c>
      <c r="Z460" s="81">
        <f>'II_Inkunabeln+'!BJ460</f>
        <v>0</v>
      </c>
    </row>
    <row r="461" spans="1:26" x14ac:dyDescent="0.25">
      <c r="A461" s="63">
        <f>'II_Inkunabeln+'!A461</f>
        <v>0</v>
      </c>
      <c r="B461" s="63">
        <f>'II_Inkunabeln+'!B461</f>
        <v>0</v>
      </c>
      <c r="C461" s="63">
        <f>'II_Inkunabeln+'!C461</f>
        <v>0</v>
      </c>
      <c r="D461" s="84">
        <f>'II_Inkunabeln+'!D461</f>
        <v>0</v>
      </c>
      <c r="E461" s="65" t="str">
        <f>'II_Inkunabeln+'!E461</f>
        <v>II 30,12g</v>
      </c>
      <c r="F461" s="65" t="str">
        <f>'II_Inkunabeln+'!H461</f>
        <v>bis 35 cm</v>
      </c>
      <c r="G461" s="93">
        <f>'II_Inkunabeln+'!X461</f>
        <v>0</v>
      </c>
      <c r="H461" s="93">
        <f>'II_Inkunabeln+'!AA461</f>
        <v>0</v>
      </c>
      <c r="I461" s="93">
        <f>'II_Inkunabeln+'!AC461</f>
        <v>0</v>
      </c>
      <c r="J461" s="94"/>
      <c r="K461" s="93">
        <f>'II_Inkunabeln+'!AD461</f>
        <v>0</v>
      </c>
      <c r="L461" s="94"/>
      <c r="M461" s="94"/>
      <c r="N461" s="94"/>
      <c r="O461" s="94"/>
      <c r="P461" s="94"/>
      <c r="Q461" s="94"/>
      <c r="R461" s="94"/>
      <c r="S461" s="94"/>
      <c r="T461" s="94"/>
      <c r="U461" s="94"/>
      <c r="V461" s="94"/>
      <c r="W461" s="94">
        <f>'II_Inkunabeln+'!BA461</f>
        <v>0</v>
      </c>
      <c r="X461" s="108"/>
      <c r="Y461" s="93">
        <f>'II_Inkunabeln+'!BI461</f>
        <v>0</v>
      </c>
      <c r="Z461" s="81">
        <f>'II_Inkunabeln+'!BJ461</f>
        <v>0</v>
      </c>
    </row>
    <row r="462" spans="1:26" x14ac:dyDescent="0.25">
      <c r="A462" s="63">
        <f>'II_Inkunabeln+'!A462</f>
        <v>440</v>
      </c>
      <c r="B462" s="63" t="str">
        <f>'II_Inkunabeln+'!B462</f>
        <v>L-1500-315493674</v>
      </c>
      <c r="C462" s="63">
        <f>'II_Inkunabeln+'!C462</f>
        <v>1066963428</v>
      </c>
      <c r="D462" s="84" t="str">
        <f>'II_Inkunabeln+'!D462</f>
        <v>https://portal.dnb.de/opac.htm?method=simpleSearch&amp;cqlMode=true&amp;query=idn%3D1066963428</v>
      </c>
      <c r="E462" s="65" t="str">
        <f>'II_Inkunabeln+'!E462</f>
        <v>II 30,13 m</v>
      </c>
      <c r="F462" s="65" t="str">
        <f>'II_Inkunabeln+'!H462</f>
        <v>bis 25 cm</v>
      </c>
      <c r="G462" s="93">
        <f>'II_Inkunabeln+'!X462</f>
        <v>0</v>
      </c>
      <c r="H462" s="93">
        <f>'II_Inkunabeln+'!AA462</f>
        <v>0</v>
      </c>
      <c r="I462" s="93">
        <f>'II_Inkunabeln+'!AC462</f>
        <v>0</v>
      </c>
      <c r="J462" s="94"/>
      <c r="K462" s="93">
        <f>'II_Inkunabeln+'!AD462</f>
        <v>0</v>
      </c>
      <c r="L462" s="94"/>
      <c r="M462" s="94"/>
      <c r="N462" s="94"/>
      <c r="O462" s="94"/>
      <c r="P462" s="94"/>
      <c r="Q462" s="94"/>
      <c r="R462" s="94"/>
      <c r="S462" s="94"/>
      <c r="T462" s="94"/>
      <c r="U462" s="94"/>
      <c r="V462" s="94"/>
      <c r="W462" s="94">
        <f>'II_Inkunabeln+'!BA462</f>
        <v>0</v>
      </c>
      <c r="X462" s="108"/>
      <c r="Y462" s="93">
        <f>'II_Inkunabeln+'!BI462</f>
        <v>0</v>
      </c>
      <c r="Z462" s="81">
        <f>'II_Inkunabeln+'!BJ462</f>
        <v>0</v>
      </c>
    </row>
    <row r="463" spans="1:26" x14ac:dyDescent="0.25">
      <c r="A463" s="63">
        <f>'II_Inkunabeln+'!A463</f>
        <v>441</v>
      </c>
      <c r="B463" s="63" t="str">
        <f>'II_Inkunabeln+'!B463</f>
        <v>L-1500-315493674</v>
      </c>
      <c r="C463" s="63">
        <f>'II_Inkunabeln+'!C463</f>
        <v>1066963428</v>
      </c>
      <c r="D463" s="84" t="str">
        <f>'II_Inkunabeln+'!D463</f>
        <v>https://portal.dnb.de/opac.htm?method=simpleSearch&amp;cqlMode=true&amp;query=idn%3D1066963428</v>
      </c>
      <c r="E463" s="65" t="str">
        <f>'II_Inkunabeln+'!E463</f>
        <v>II 30,13 m</v>
      </c>
      <c r="F463" s="65">
        <f>'II_Inkunabeln+'!H463</f>
        <v>0</v>
      </c>
      <c r="G463" s="93">
        <f>'II_Inkunabeln+'!X463</f>
        <v>0</v>
      </c>
      <c r="H463" s="93">
        <f>'II_Inkunabeln+'!AA463</f>
        <v>0</v>
      </c>
      <c r="I463" s="93">
        <f>'II_Inkunabeln+'!AC463</f>
        <v>0</v>
      </c>
      <c r="J463" s="94"/>
      <c r="K463" s="93">
        <f>'II_Inkunabeln+'!AD463</f>
        <v>0</v>
      </c>
      <c r="L463" s="94"/>
      <c r="M463" s="94"/>
      <c r="N463" s="94"/>
      <c r="O463" s="94"/>
      <c r="P463" s="94"/>
      <c r="Q463" s="94"/>
      <c r="R463" s="94"/>
      <c r="S463" s="94"/>
      <c r="T463" s="94"/>
      <c r="U463" s="94"/>
      <c r="V463" s="94"/>
      <c r="W463" s="94">
        <f>'II_Inkunabeln+'!BA463</f>
        <v>0</v>
      </c>
      <c r="X463" s="108"/>
      <c r="Y463" s="93">
        <f>'II_Inkunabeln+'!BI463</f>
        <v>0</v>
      </c>
      <c r="Z463" s="81">
        <f>'II_Inkunabeln+'!BJ463</f>
        <v>0</v>
      </c>
    </row>
    <row r="464" spans="1:26" x14ac:dyDescent="0.25">
      <c r="A464" s="63">
        <f>'II_Inkunabeln+'!A464</f>
        <v>442</v>
      </c>
      <c r="B464" s="63" t="str">
        <f>'II_Inkunabeln+'!B464</f>
        <v>L-1487-315498455</v>
      </c>
      <c r="C464" s="63">
        <f>'II_Inkunabeln+'!C464</f>
        <v>1066968187</v>
      </c>
      <c r="D464" s="84" t="str">
        <f>'II_Inkunabeln+'!D464</f>
        <v>https://portal.dnb.de/opac.htm?method=simpleSearch&amp;cqlMode=true&amp;query=idn%3D1066968187</v>
      </c>
      <c r="E464" s="65" t="str">
        <f>'II_Inkunabeln+'!E464</f>
        <v>II 30,13b</v>
      </c>
      <c r="F464" s="65">
        <f>'II_Inkunabeln+'!H464</f>
        <v>0</v>
      </c>
      <c r="G464" s="93">
        <f>'II_Inkunabeln+'!X464</f>
        <v>0</v>
      </c>
      <c r="H464" s="93">
        <f>'II_Inkunabeln+'!AA464</f>
        <v>0</v>
      </c>
      <c r="I464" s="93">
        <f>'II_Inkunabeln+'!AC464</f>
        <v>0</v>
      </c>
      <c r="J464" s="94"/>
      <c r="K464" s="93">
        <f>'II_Inkunabeln+'!AD464</f>
        <v>0</v>
      </c>
      <c r="L464" s="94"/>
      <c r="M464" s="94"/>
      <c r="N464" s="94"/>
      <c r="O464" s="94"/>
      <c r="P464" s="94"/>
      <c r="Q464" s="94"/>
      <c r="R464" s="94"/>
      <c r="S464" s="94"/>
      <c r="T464" s="94"/>
      <c r="U464" s="94"/>
      <c r="V464" s="94"/>
      <c r="W464" s="94">
        <f>'II_Inkunabeln+'!BA464</f>
        <v>0</v>
      </c>
      <c r="X464" s="108"/>
      <c r="Y464" s="93">
        <f>'II_Inkunabeln+'!BI464</f>
        <v>0</v>
      </c>
      <c r="Z464" s="81">
        <f>'II_Inkunabeln+'!BJ464</f>
        <v>0</v>
      </c>
    </row>
    <row r="465" spans="1:26" x14ac:dyDescent="0.25">
      <c r="A465" s="63">
        <f>'II_Inkunabeln+'!A465</f>
        <v>443</v>
      </c>
      <c r="B465" s="63" t="str">
        <f>'II_Inkunabeln+'!B465</f>
        <v>L-1488-315502487</v>
      </c>
      <c r="C465" s="63">
        <f>'II_Inkunabeln+'!C465</f>
        <v>1066972060</v>
      </c>
      <c r="D465" s="84" t="str">
        <f>'II_Inkunabeln+'!D465</f>
        <v>https://portal.dnb.de/opac.htm?method=simpleSearch&amp;cqlMode=true&amp;query=idn%3D1066972060</v>
      </c>
      <c r="E465" s="65" t="str">
        <f>'II_Inkunabeln+'!E465</f>
        <v>II 30,13c</v>
      </c>
      <c r="F465" s="65">
        <f>'II_Inkunabeln+'!H465</f>
        <v>0</v>
      </c>
      <c r="G465" s="93">
        <f>'II_Inkunabeln+'!X465</f>
        <v>0</v>
      </c>
      <c r="H465" s="93">
        <f>'II_Inkunabeln+'!AA465</f>
        <v>0</v>
      </c>
      <c r="I465" s="93">
        <f>'II_Inkunabeln+'!AC465</f>
        <v>0</v>
      </c>
      <c r="J465" s="94"/>
      <c r="K465" s="93">
        <f>'II_Inkunabeln+'!AD465</f>
        <v>0</v>
      </c>
      <c r="L465" s="94"/>
      <c r="M465" s="94"/>
      <c r="N465" s="94"/>
      <c r="O465" s="94"/>
      <c r="P465" s="94"/>
      <c r="Q465" s="94"/>
      <c r="R465" s="94"/>
      <c r="S465" s="94"/>
      <c r="T465" s="94"/>
      <c r="U465" s="94"/>
      <c r="V465" s="94"/>
      <c r="W465" s="94">
        <f>'II_Inkunabeln+'!BA465</f>
        <v>0</v>
      </c>
      <c r="X465" s="108"/>
      <c r="Y465" s="93">
        <f>'II_Inkunabeln+'!BI465</f>
        <v>0</v>
      </c>
      <c r="Z465" s="81">
        <f>'II_Inkunabeln+'!BJ465</f>
        <v>0</v>
      </c>
    </row>
    <row r="466" spans="1:26" x14ac:dyDescent="0.25">
      <c r="A466" s="63">
        <f>'II_Inkunabeln+'!A466</f>
        <v>444</v>
      </c>
      <c r="B466" s="63" t="str">
        <f>'II_Inkunabeln+'!B466</f>
        <v>L-1489-315499605</v>
      </c>
      <c r="C466" s="63">
        <f>'II_Inkunabeln+'!C466</f>
        <v>1066969299</v>
      </c>
      <c r="D466" s="84" t="str">
        <f>'II_Inkunabeln+'!D466</f>
        <v>https://portal.dnb.de/opac.htm?method=simpleSearch&amp;cqlMode=true&amp;query=idn%3D1066969299</v>
      </c>
      <c r="E466" s="65" t="str">
        <f>'II_Inkunabeln+'!E466</f>
        <v>II 30,13d</v>
      </c>
      <c r="F466" s="65" t="str">
        <f>'II_Inkunabeln+'!H466</f>
        <v>bis 35 cm</v>
      </c>
      <c r="G466" s="93">
        <f>'II_Inkunabeln+'!X466</f>
        <v>0</v>
      </c>
      <c r="H466" s="93">
        <f>'II_Inkunabeln+'!AA466</f>
        <v>0</v>
      </c>
      <c r="I466" s="93">
        <f>'II_Inkunabeln+'!AC466</f>
        <v>0</v>
      </c>
      <c r="J466" s="94"/>
      <c r="K466" s="93">
        <f>'II_Inkunabeln+'!AD466</f>
        <v>0</v>
      </c>
      <c r="L466" s="94"/>
      <c r="M466" s="94"/>
      <c r="N466" s="94"/>
      <c r="O466" s="94"/>
      <c r="P466" s="94"/>
      <c r="Q466" s="94"/>
      <c r="R466" s="94"/>
      <c r="S466" s="94"/>
      <c r="T466" s="94"/>
      <c r="U466" s="94"/>
      <c r="V466" s="94"/>
      <c r="W466" s="94">
        <f>'II_Inkunabeln+'!BA466</f>
        <v>0</v>
      </c>
      <c r="X466" s="108"/>
      <c r="Y466" s="93">
        <f>'II_Inkunabeln+'!BI466</f>
        <v>0</v>
      </c>
      <c r="Z466" s="81">
        <f>'II_Inkunabeln+'!BJ466</f>
        <v>0</v>
      </c>
    </row>
    <row r="467" spans="1:26" x14ac:dyDescent="0.25">
      <c r="A467" s="63">
        <f>'II_Inkunabeln+'!A467</f>
        <v>445</v>
      </c>
      <c r="B467" s="63" t="str">
        <f>'II_Inkunabeln+'!B467</f>
        <v>L-1489-352277181</v>
      </c>
      <c r="C467" s="63">
        <f>'II_Inkunabeln+'!C467</f>
        <v>1084609754</v>
      </c>
      <c r="D467" s="84" t="str">
        <f>'II_Inkunabeln+'!D467</f>
        <v>https://portal.dnb.de/opac.htm?method=simpleSearch&amp;cqlMode=true&amp;query=idn%3D1084609754</v>
      </c>
      <c r="E467" s="65" t="str">
        <f>'II_Inkunabeln+'!E467</f>
        <v>II 30,13d (angebunden)</v>
      </c>
      <c r="F467" s="65">
        <f>'II_Inkunabeln+'!H467</f>
        <v>0</v>
      </c>
      <c r="G467" s="93">
        <f>'II_Inkunabeln+'!X467</f>
        <v>0</v>
      </c>
      <c r="H467" s="93">
        <f>'II_Inkunabeln+'!AA467</f>
        <v>0</v>
      </c>
      <c r="I467" s="93">
        <f>'II_Inkunabeln+'!AC467</f>
        <v>0</v>
      </c>
      <c r="J467" s="94"/>
      <c r="K467" s="93">
        <f>'II_Inkunabeln+'!AD467</f>
        <v>0</v>
      </c>
      <c r="L467" s="94"/>
      <c r="M467" s="94"/>
      <c r="N467" s="94"/>
      <c r="O467" s="94"/>
      <c r="P467" s="94"/>
      <c r="Q467" s="94"/>
      <c r="R467" s="94"/>
      <c r="S467" s="94"/>
      <c r="T467" s="94"/>
      <c r="U467" s="94"/>
      <c r="V467" s="94"/>
      <c r="W467" s="94">
        <f>'II_Inkunabeln+'!BA467</f>
        <v>0</v>
      </c>
      <c r="X467" s="108"/>
      <c r="Y467" s="93">
        <f>'II_Inkunabeln+'!BI467</f>
        <v>0</v>
      </c>
      <c r="Z467" s="81">
        <f>'II_Inkunabeln+'!BJ467</f>
        <v>0</v>
      </c>
    </row>
    <row r="468" spans="1:26" x14ac:dyDescent="0.25">
      <c r="A468" s="63">
        <f>'II_Inkunabeln+'!A468</f>
        <v>446</v>
      </c>
      <c r="B468" s="63" t="str">
        <f>'II_Inkunabeln+'!B468</f>
        <v>L-1488-315498633</v>
      </c>
      <c r="C468" s="63">
        <f>'II_Inkunabeln+'!C468</f>
        <v>1066968381</v>
      </c>
      <c r="D468" s="84" t="str">
        <f>'II_Inkunabeln+'!D468</f>
        <v>https://portal.dnb.de/opac.htm?method=simpleSearch&amp;cqlMode=true&amp;query=idn%3D1066968381</v>
      </c>
      <c r="E468" s="65" t="str">
        <f>'II_Inkunabeln+'!E468</f>
        <v>II 30,13e</v>
      </c>
      <c r="F468" s="65" t="str">
        <f>'II_Inkunabeln+'!H468</f>
        <v>bis 25 cm</v>
      </c>
      <c r="G468" s="93">
        <f>'II_Inkunabeln+'!X468</f>
        <v>0</v>
      </c>
      <c r="H468" s="93">
        <f>'II_Inkunabeln+'!AA468</f>
        <v>0</v>
      </c>
      <c r="I468" s="93">
        <f>'II_Inkunabeln+'!AC468</f>
        <v>0</v>
      </c>
      <c r="J468" s="94"/>
      <c r="K468" s="93">
        <f>'II_Inkunabeln+'!AD468</f>
        <v>0</v>
      </c>
      <c r="L468" s="94"/>
      <c r="M468" s="94"/>
      <c r="N468" s="94"/>
      <c r="O468" s="94"/>
      <c r="P468" s="94"/>
      <c r="Q468" s="94"/>
      <c r="R468" s="94"/>
      <c r="S468" s="94"/>
      <c r="T468" s="94"/>
      <c r="U468" s="94"/>
      <c r="V468" s="94"/>
      <c r="W468" s="94">
        <f>'II_Inkunabeln+'!BA468</f>
        <v>0</v>
      </c>
      <c r="X468" s="108"/>
      <c r="Y468" s="93">
        <f>'II_Inkunabeln+'!BI468</f>
        <v>0</v>
      </c>
      <c r="Z468" s="81">
        <f>'II_Inkunabeln+'!BJ468</f>
        <v>0</v>
      </c>
    </row>
    <row r="469" spans="1:26" x14ac:dyDescent="0.25">
      <c r="A469" s="63">
        <f>'II_Inkunabeln+'!A469</f>
        <v>0</v>
      </c>
      <c r="B469" s="63">
        <f>'II_Inkunabeln+'!B469</f>
        <v>0</v>
      </c>
      <c r="C469" s="63">
        <f>'II_Inkunabeln+'!C469</f>
        <v>0</v>
      </c>
      <c r="D469" s="84">
        <f>'II_Inkunabeln+'!D469</f>
        <v>0</v>
      </c>
      <c r="E469" s="65" t="str">
        <f>'II_Inkunabeln+'!E469</f>
        <v>II 30,13e</v>
      </c>
      <c r="F469" s="65">
        <f>'II_Inkunabeln+'!H469</f>
        <v>0</v>
      </c>
      <c r="G469" s="93">
        <f>'II_Inkunabeln+'!X469</f>
        <v>0</v>
      </c>
      <c r="H469" s="93">
        <f>'II_Inkunabeln+'!AA469</f>
        <v>0</v>
      </c>
      <c r="I469" s="93">
        <f>'II_Inkunabeln+'!AC469</f>
        <v>0</v>
      </c>
      <c r="J469" s="94"/>
      <c r="K469" s="93">
        <f>'II_Inkunabeln+'!AD469</f>
        <v>0</v>
      </c>
      <c r="L469" s="94"/>
      <c r="M469" s="94"/>
      <c r="N469" s="94"/>
      <c r="O469" s="94"/>
      <c r="P469" s="94"/>
      <c r="Q469" s="94"/>
      <c r="R469" s="94"/>
      <c r="S469" s="94"/>
      <c r="T469" s="94"/>
      <c r="U469" s="94"/>
      <c r="V469" s="94"/>
      <c r="W469" s="94">
        <f>'II_Inkunabeln+'!BA469</f>
        <v>0</v>
      </c>
      <c r="X469" s="108"/>
      <c r="Y469" s="93">
        <f>'II_Inkunabeln+'!BI469</f>
        <v>0</v>
      </c>
      <c r="Z469" s="81">
        <f>'II_Inkunabeln+'!BJ469</f>
        <v>0</v>
      </c>
    </row>
    <row r="470" spans="1:26" x14ac:dyDescent="0.25">
      <c r="A470" s="63">
        <f>'II_Inkunabeln+'!A470</f>
        <v>447</v>
      </c>
      <c r="B470" s="63" t="str">
        <f>'II_Inkunabeln+'!B470</f>
        <v>L-1498-352277645</v>
      </c>
      <c r="C470" s="63">
        <f>'II_Inkunabeln+'!C470</f>
        <v>1084610876</v>
      </c>
      <c r="D470" s="84" t="str">
        <f>'II_Inkunabeln+'!D470</f>
        <v>https://portal.dnb.de/opac.htm?method=simpleSearch&amp;cqlMode=true&amp;query=idn%3D1084610876</v>
      </c>
      <c r="E470" s="65" t="str">
        <f>'II_Inkunabeln+'!E470</f>
        <v>II 30,13g</v>
      </c>
      <c r="F470" s="65" t="str">
        <f>'II_Inkunabeln+'!H470</f>
        <v>bis 35 cm</v>
      </c>
      <c r="G470" s="93">
        <f>'II_Inkunabeln+'!X470</f>
        <v>0</v>
      </c>
      <c r="H470" s="93">
        <f>'II_Inkunabeln+'!AA470</f>
        <v>0</v>
      </c>
      <c r="I470" s="93">
        <f>'II_Inkunabeln+'!AC470</f>
        <v>0</v>
      </c>
      <c r="J470" s="94"/>
      <c r="K470" s="93">
        <f>'II_Inkunabeln+'!AD470</f>
        <v>0</v>
      </c>
      <c r="L470" s="94"/>
      <c r="M470" s="94"/>
      <c r="N470" s="94"/>
      <c r="O470" s="94"/>
      <c r="P470" s="94"/>
      <c r="Q470" s="94"/>
      <c r="R470" s="94"/>
      <c r="S470" s="94"/>
      <c r="T470" s="94"/>
      <c r="U470" s="94"/>
      <c r="V470" s="94"/>
      <c r="W470" s="94">
        <f>'II_Inkunabeln+'!BA470</f>
        <v>0</v>
      </c>
      <c r="X470" s="108"/>
      <c r="Y470" s="93">
        <f>'II_Inkunabeln+'!BI470</f>
        <v>0</v>
      </c>
      <c r="Z470" s="81">
        <f>'II_Inkunabeln+'!BJ470</f>
        <v>0</v>
      </c>
    </row>
    <row r="471" spans="1:26" x14ac:dyDescent="0.25">
      <c r="A471" s="63">
        <f>'II_Inkunabeln+'!A471</f>
        <v>448</v>
      </c>
      <c r="B471" s="63" t="str">
        <f>'II_Inkunabeln+'!B471</f>
        <v>L-1497-315499567</v>
      </c>
      <c r="C471" s="63">
        <f>'II_Inkunabeln+'!C471</f>
        <v>1066969256</v>
      </c>
      <c r="D471" s="84" t="str">
        <f>'II_Inkunabeln+'!D471</f>
        <v>https://portal.dnb.de/opac.htm?method=simpleSearch&amp;cqlMode=true&amp;query=idn%3D1066969256</v>
      </c>
      <c r="E471" s="65" t="str">
        <f>'II_Inkunabeln+'!E471</f>
        <v>II 30,13gb</v>
      </c>
      <c r="F471" s="65">
        <f>'II_Inkunabeln+'!H471</f>
        <v>0</v>
      </c>
      <c r="G471" s="93">
        <f>'II_Inkunabeln+'!X471</f>
        <v>0</v>
      </c>
      <c r="H471" s="93">
        <f>'II_Inkunabeln+'!AA471</f>
        <v>0</v>
      </c>
      <c r="I471" s="93">
        <f>'II_Inkunabeln+'!AC471</f>
        <v>0</v>
      </c>
      <c r="J471" s="94"/>
      <c r="K471" s="93">
        <f>'II_Inkunabeln+'!AD471</f>
        <v>0</v>
      </c>
      <c r="L471" s="94"/>
      <c r="M471" s="94"/>
      <c r="N471" s="94"/>
      <c r="O471" s="94"/>
      <c r="P471" s="94"/>
      <c r="Q471" s="94"/>
      <c r="R471" s="94"/>
      <c r="S471" s="94"/>
      <c r="T471" s="94"/>
      <c r="U471" s="94"/>
      <c r="V471" s="94"/>
      <c r="W471" s="94">
        <f>'II_Inkunabeln+'!BA471</f>
        <v>0</v>
      </c>
      <c r="X471" s="108"/>
      <c r="Y471" s="93">
        <f>'II_Inkunabeln+'!BI471</f>
        <v>0</v>
      </c>
      <c r="Z471" s="81">
        <f>'II_Inkunabeln+'!BJ471</f>
        <v>0</v>
      </c>
    </row>
    <row r="472" spans="1:26" x14ac:dyDescent="0.25">
      <c r="A472" s="63">
        <f>'II_Inkunabeln+'!A472</f>
        <v>449</v>
      </c>
      <c r="B472" s="63" t="str">
        <f>'II_Inkunabeln+'!B472</f>
        <v>L-1484-315502665</v>
      </c>
      <c r="C472" s="63">
        <f>'II_Inkunabeln+'!C472</f>
        <v>1066972249</v>
      </c>
      <c r="D472" s="84" t="str">
        <f>'II_Inkunabeln+'!D472</f>
        <v>https://portal.dnb.de/opac.htm?method=simpleSearch&amp;cqlMode=true&amp;query=idn%3D1066972249</v>
      </c>
      <c r="E472" s="65" t="str">
        <f>'II_Inkunabeln+'!E472</f>
        <v>II 30,13i</v>
      </c>
      <c r="F472" s="65">
        <f>'II_Inkunabeln+'!H472</f>
        <v>0</v>
      </c>
      <c r="G472" s="93">
        <f>'II_Inkunabeln+'!X472</f>
        <v>0</v>
      </c>
      <c r="H472" s="93">
        <f>'II_Inkunabeln+'!AA472</f>
        <v>0</v>
      </c>
      <c r="I472" s="93">
        <f>'II_Inkunabeln+'!AC472</f>
        <v>0</v>
      </c>
      <c r="J472" s="94"/>
      <c r="K472" s="93">
        <f>'II_Inkunabeln+'!AD472</f>
        <v>0</v>
      </c>
      <c r="L472" s="94"/>
      <c r="M472" s="94"/>
      <c r="N472" s="94"/>
      <c r="O472" s="94"/>
      <c r="P472" s="94"/>
      <c r="Q472" s="94"/>
      <c r="R472" s="94"/>
      <c r="S472" s="94"/>
      <c r="T472" s="94"/>
      <c r="U472" s="94"/>
      <c r="V472" s="94"/>
      <c r="W472" s="94">
        <f>'II_Inkunabeln+'!BA472</f>
        <v>0</v>
      </c>
      <c r="X472" s="108"/>
      <c r="Y472" s="93">
        <f>'II_Inkunabeln+'!BI472</f>
        <v>0</v>
      </c>
      <c r="Z472" s="81">
        <f>'II_Inkunabeln+'!BJ472</f>
        <v>0</v>
      </c>
    </row>
    <row r="473" spans="1:26" x14ac:dyDescent="0.25">
      <c r="A473" s="63">
        <f>'II_Inkunabeln+'!A473</f>
        <v>450</v>
      </c>
      <c r="B473" s="63" t="str">
        <f>'II_Inkunabeln+'!B473</f>
        <v>L-1490-315499435</v>
      </c>
      <c r="C473" s="63">
        <f>'II_Inkunabeln+'!C473</f>
        <v>1066969132</v>
      </c>
      <c r="D473" s="84" t="str">
        <f>'II_Inkunabeln+'!D473</f>
        <v>https://portal.dnb.de/opac.htm?method=simpleSearch&amp;cqlMode=true&amp;query=idn%3D1066969132</v>
      </c>
      <c r="E473" s="65" t="str">
        <f>'II_Inkunabeln+'!E473</f>
        <v>II 30,13k</v>
      </c>
      <c r="F473" s="65">
        <f>'II_Inkunabeln+'!H473</f>
        <v>0</v>
      </c>
      <c r="G473" s="93">
        <f>'II_Inkunabeln+'!X473</f>
        <v>0</v>
      </c>
      <c r="H473" s="93">
        <f>'II_Inkunabeln+'!AA473</f>
        <v>0</v>
      </c>
      <c r="I473" s="93">
        <f>'II_Inkunabeln+'!AC473</f>
        <v>0</v>
      </c>
      <c r="J473" s="94"/>
      <c r="K473" s="93">
        <f>'II_Inkunabeln+'!AD473</f>
        <v>0</v>
      </c>
      <c r="L473" s="94"/>
      <c r="M473" s="94"/>
      <c r="N473" s="94"/>
      <c r="O473" s="94"/>
      <c r="P473" s="94"/>
      <c r="Q473" s="94"/>
      <c r="R473" s="94"/>
      <c r="S473" s="94"/>
      <c r="T473" s="94"/>
      <c r="U473" s="94"/>
      <c r="V473" s="94"/>
      <c r="W473" s="94">
        <f>'II_Inkunabeln+'!BA473</f>
        <v>0</v>
      </c>
      <c r="X473" s="108"/>
      <c r="Y473" s="93">
        <f>'II_Inkunabeln+'!BI473</f>
        <v>0</v>
      </c>
      <c r="Z473" s="81">
        <f>'II_Inkunabeln+'!BJ473</f>
        <v>0</v>
      </c>
    </row>
    <row r="474" spans="1:26" x14ac:dyDescent="0.25">
      <c r="A474" s="63">
        <f>'II_Inkunabeln+'!A474</f>
        <v>451</v>
      </c>
      <c r="B474" s="63" t="str">
        <f>'II_Inkunabeln+'!B474</f>
        <v>L-1483-315499761</v>
      </c>
      <c r="C474" s="63">
        <f>'II_Inkunabeln+'!C474</f>
        <v>1066969434</v>
      </c>
      <c r="D474" s="84" t="str">
        <f>'II_Inkunabeln+'!D474</f>
        <v>https://portal.dnb.de/opac.htm?method=simpleSearch&amp;cqlMode=true&amp;query=idn%3D1066969434</v>
      </c>
      <c r="E474" s="65" t="str">
        <f>'II_Inkunabeln+'!E474</f>
        <v>II 30,14a</v>
      </c>
      <c r="F474" s="65">
        <f>'II_Inkunabeln+'!H474</f>
        <v>0</v>
      </c>
      <c r="G474" s="93">
        <f>'II_Inkunabeln+'!X474</f>
        <v>0</v>
      </c>
      <c r="H474" s="93">
        <f>'II_Inkunabeln+'!AA474</f>
        <v>0</v>
      </c>
      <c r="I474" s="93">
        <f>'II_Inkunabeln+'!AC474</f>
        <v>0</v>
      </c>
      <c r="J474" s="94"/>
      <c r="K474" s="93">
        <f>'II_Inkunabeln+'!AD474</f>
        <v>0</v>
      </c>
      <c r="L474" s="94"/>
      <c r="M474" s="94"/>
      <c r="N474" s="94"/>
      <c r="O474" s="94"/>
      <c r="P474" s="94"/>
      <c r="Q474" s="94"/>
      <c r="R474" s="94"/>
      <c r="S474" s="94"/>
      <c r="T474" s="94"/>
      <c r="U474" s="94"/>
      <c r="V474" s="94"/>
      <c r="W474" s="94">
        <f>'II_Inkunabeln+'!BA474</f>
        <v>0</v>
      </c>
      <c r="X474" s="108"/>
      <c r="Y474" s="93">
        <f>'II_Inkunabeln+'!BI474</f>
        <v>0</v>
      </c>
      <c r="Z474" s="81">
        <f>'II_Inkunabeln+'!BJ474</f>
        <v>0</v>
      </c>
    </row>
    <row r="475" spans="1:26" x14ac:dyDescent="0.25">
      <c r="A475" s="63">
        <f>'II_Inkunabeln+'!A475</f>
        <v>452</v>
      </c>
      <c r="B475" s="63" t="str">
        <f>'II_Inkunabeln+'!B475</f>
        <v>L-1483-315496312</v>
      </c>
      <c r="C475" s="63" t="str">
        <f>'II_Inkunabeln+'!C475</f>
        <v>106696601X</v>
      </c>
      <c r="D475" s="84" t="str">
        <f>'II_Inkunabeln+'!D475</f>
        <v>https://portal.dnb.de/opac.htm?method=simpleSearch&amp;cqlMode=true&amp;query=idn%3D106696601X</v>
      </c>
      <c r="E475" s="65" t="str">
        <f>'II_Inkunabeln+'!E475</f>
        <v>II 30,14b</v>
      </c>
      <c r="F475" s="65">
        <f>'II_Inkunabeln+'!H475</f>
        <v>0</v>
      </c>
      <c r="G475" s="93">
        <f>'II_Inkunabeln+'!X475</f>
        <v>0</v>
      </c>
      <c r="H475" s="93">
        <f>'II_Inkunabeln+'!AA475</f>
        <v>0</v>
      </c>
      <c r="I475" s="93">
        <f>'II_Inkunabeln+'!AC475</f>
        <v>0</v>
      </c>
      <c r="J475" s="94"/>
      <c r="K475" s="93">
        <f>'II_Inkunabeln+'!AD475</f>
        <v>0</v>
      </c>
      <c r="L475" s="94"/>
      <c r="M475" s="94"/>
      <c r="N475" s="94"/>
      <c r="O475" s="94"/>
      <c r="P475" s="94"/>
      <c r="Q475" s="94"/>
      <c r="R475" s="94"/>
      <c r="S475" s="94"/>
      <c r="T475" s="94"/>
      <c r="U475" s="94"/>
      <c r="V475" s="94"/>
      <c r="W475" s="94">
        <f>'II_Inkunabeln+'!BA475</f>
        <v>0</v>
      </c>
      <c r="X475" s="108"/>
      <c r="Y475" s="93">
        <f>'II_Inkunabeln+'!BI475</f>
        <v>0</v>
      </c>
      <c r="Z475" s="81">
        <f>'II_Inkunabeln+'!BJ475</f>
        <v>0</v>
      </c>
    </row>
    <row r="476" spans="1:26" x14ac:dyDescent="0.25">
      <c r="A476" s="63">
        <f>'II_Inkunabeln+'!A476</f>
        <v>453</v>
      </c>
      <c r="B476" s="63" t="str">
        <f>'II_Inkunabeln+'!B476</f>
        <v>L-1483-315501804</v>
      </c>
      <c r="C476" s="63">
        <f>'II_Inkunabeln+'!C476</f>
        <v>1066971439</v>
      </c>
      <c r="D476" s="84" t="str">
        <f>'II_Inkunabeln+'!D476</f>
        <v>https://portal.dnb.de/opac.htm?method=simpleSearch&amp;cqlMode=true&amp;query=idn%3D1066971439</v>
      </c>
      <c r="E476" s="65" t="str">
        <f>'II_Inkunabeln+'!E476</f>
        <v>II 30,14c</v>
      </c>
      <c r="F476" s="65">
        <f>'II_Inkunabeln+'!H476</f>
        <v>0</v>
      </c>
      <c r="G476" s="93">
        <f>'II_Inkunabeln+'!X476</f>
        <v>0</v>
      </c>
      <c r="H476" s="93">
        <f>'II_Inkunabeln+'!AA476</f>
        <v>0</v>
      </c>
      <c r="I476" s="93">
        <f>'II_Inkunabeln+'!AC476</f>
        <v>0</v>
      </c>
      <c r="J476" s="94"/>
      <c r="K476" s="93">
        <f>'II_Inkunabeln+'!AD476</f>
        <v>0</v>
      </c>
      <c r="L476" s="94"/>
      <c r="M476" s="94"/>
      <c r="N476" s="94"/>
      <c r="O476" s="94"/>
      <c r="P476" s="94"/>
      <c r="Q476" s="94"/>
      <c r="R476" s="94"/>
      <c r="S476" s="94"/>
      <c r="T476" s="94"/>
      <c r="U476" s="94"/>
      <c r="V476" s="94"/>
      <c r="W476" s="94">
        <f>'II_Inkunabeln+'!BA476</f>
        <v>0</v>
      </c>
      <c r="X476" s="108"/>
      <c r="Y476" s="93">
        <f>'II_Inkunabeln+'!BI476</f>
        <v>0</v>
      </c>
      <c r="Z476" s="81">
        <f>'II_Inkunabeln+'!BJ476</f>
        <v>0</v>
      </c>
    </row>
    <row r="477" spans="1:26" x14ac:dyDescent="0.25">
      <c r="A477" s="63">
        <f>'II_Inkunabeln+'!A477</f>
        <v>454</v>
      </c>
      <c r="B477" s="63" t="str">
        <f>'II_Inkunabeln+'!B477</f>
        <v>L-1483-315500441</v>
      </c>
      <c r="C477" s="63">
        <f>'II_Inkunabeln+'!C477</f>
        <v>1066970092</v>
      </c>
      <c r="D477" s="84" t="str">
        <f>'II_Inkunabeln+'!D477</f>
        <v>https://portal.dnb.de/opac.htm?method=simpleSearch&amp;cqlMode=true&amp;query=idn%3D1066970092</v>
      </c>
      <c r="E477" s="65" t="str">
        <f>'II_Inkunabeln+'!E477</f>
        <v>II 30,14d</v>
      </c>
      <c r="F477" s="65">
        <f>'II_Inkunabeln+'!H477</f>
        <v>0</v>
      </c>
      <c r="G477" s="93">
        <f>'II_Inkunabeln+'!X477</f>
        <v>0</v>
      </c>
      <c r="H477" s="93">
        <f>'II_Inkunabeln+'!AA477</f>
        <v>0</v>
      </c>
      <c r="I477" s="93">
        <f>'II_Inkunabeln+'!AC477</f>
        <v>0</v>
      </c>
      <c r="J477" s="94"/>
      <c r="K477" s="93">
        <f>'II_Inkunabeln+'!AD477</f>
        <v>0</v>
      </c>
      <c r="L477" s="94"/>
      <c r="M477" s="94"/>
      <c r="N477" s="94"/>
      <c r="O477" s="94"/>
      <c r="P477" s="94"/>
      <c r="Q477" s="94"/>
      <c r="R477" s="94"/>
      <c r="S477" s="94"/>
      <c r="T477" s="94"/>
      <c r="U477" s="94"/>
      <c r="V477" s="94"/>
      <c r="W477" s="94">
        <f>'II_Inkunabeln+'!BA477</f>
        <v>0</v>
      </c>
      <c r="X477" s="108"/>
      <c r="Y477" s="93">
        <f>'II_Inkunabeln+'!BI477</f>
        <v>0</v>
      </c>
      <c r="Z477" s="81">
        <f>'II_Inkunabeln+'!BJ477</f>
        <v>0</v>
      </c>
    </row>
    <row r="478" spans="1:26" x14ac:dyDescent="0.25">
      <c r="A478" s="63">
        <f>'II_Inkunabeln+'!A478</f>
        <v>455</v>
      </c>
      <c r="B478" s="63" t="str">
        <f>'II_Inkunabeln+'!B478</f>
        <v>L-1483-315500425</v>
      </c>
      <c r="C478" s="63">
        <f>'II_Inkunabeln+'!C478</f>
        <v>1066970076</v>
      </c>
      <c r="D478" s="84" t="str">
        <f>'II_Inkunabeln+'!D478</f>
        <v>https://portal.dnb.de/opac.htm?method=simpleSearch&amp;cqlMode=true&amp;query=idn%3D1066970076</v>
      </c>
      <c r="E478" s="65" t="str">
        <f>'II_Inkunabeln+'!E478</f>
        <v>II 30,14e</v>
      </c>
      <c r="F478" s="65">
        <f>'II_Inkunabeln+'!H478</f>
        <v>0</v>
      </c>
      <c r="G478" s="93">
        <f>'II_Inkunabeln+'!X478</f>
        <v>0</v>
      </c>
      <c r="H478" s="93">
        <f>'II_Inkunabeln+'!AA478</f>
        <v>0</v>
      </c>
      <c r="I478" s="93">
        <f>'II_Inkunabeln+'!AC478</f>
        <v>0</v>
      </c>
      <c r="J478" s="94"/>
      <c r="K478" s="93">
        <f>'II_Inkunabeln+'!AD478</f>
        <v>0</v>
      </c>
      <c r="L478" s="94"/>
      <c r="M478" s="94"/>
      <c r="N478" s="94"/>
      <c r="O478" s="94"/>
      <c r="P478" s="94"/>
      <c r="Q478" s="94"/>
      <c r="R478" s="94"/>
      <c r="S478" s="94"/>
      <c r="T478" s="94"/>
      <c r="U478" s="94"/>
      <c r="V478" s="94"/>
      <c r="W478" s="94">
        <f>'II_Inkunabeln+'!BA478</f>
        <v>0</v>
      </c>
      <c r="X478" s="108"/>
      <c r="Y478" s="93">
        <f>'II_Inkunabeln+'!BI478</f>
        <v>0</v>
      </c>
      <c r="Z478" s="81">
        <f>'II_Inkunabeln+'!BJ478</f>
        <v>0</v>
      </c>
    </row>
    <row r="479" spans="1:26" x14ac:dyDescent="0.25">
      <c r="A479" s="63">
        <f>'II_Inkunabeln+'!A479</f>
        <v>456</v>
      </c>
      <c r="B479" s="63" t="str">
        <f>'II_Inkunabeln+'!B479</f>
        <v>L-1483-315497955</v>
      </c>
      <c r="C479" s="63">
        <f>'II_Inkunabeln+'!C479</f>
        <v>1066967695</v>
      </c>
      <c r="D479" s="84" t="str">
        <f>'II_Inkunabeln+'!D479</f>
        <v>https://portal.dnb.de/opac.htm?method=simpleSearch&amp;cqlMode=true&amp;query=idn%3D1066967695</v>
      </c>
      <c r="E479" s="65" t="str">
        <f>'II_Inkunabeln+'!E479</f>
        <v>II 30,14f</v>
      </c>
      <c r="F479" s="65">
        <f>'II_Inkunabeln+'!H479</f>
        <v>0</v>
      </c>
      <c r="G479" s="93">
        <f>'II_Inkunabeln+'!X479</f>
        <v>0</v>
      </c>
      <c r="H479" s="93">
        <f>'II_Inkunabeln+'!AA479</f>
        <v>0</v>
      </c>
      <c r="I479" s="93">
        <f>'II_Inkunabeln+'!AC479</f>
        <v>0</v>
      </c>
      <c r="J479" s="94"/>
      <c r="K479" s="93">
        <f>'II_Inkunabeln+'!AD479</f>
        <v>0</v>
      </c>
      <c r="L479" s="94"/>
      <c r="M479" s="94"/>
      <c r="N479" s="94"/>
      <c r="O479" s="94"/>
      <c r="P479" s="94"/>
      <c r="Q479" s="94"/>
      <c r="R479" s="94"/>
      <c r="S479" s="94"/>
      <c r="T479" s="94"/>
      <c r="U479" s="94"/>
      <c r="V479" s="94"/>
      <c r="W479" s="94">
        <f>'II_Inkunabeln+'!BA479</f>
        <v>0</v>
      </c>
      <c r="X479" s="108"/>
      <c r="Y479" s="93">
        <f>'II_Inkunabeln+'!BI479</f>
        <v>0</v>
      </c>
      <c r="Z479" s="81">
        <f>'II_Inkunabeln+'!BJ479</f>
        <v>0</v>
      </c>
    </row>
    <row r="480" spans="1:26" x14ac:dyDescent="0.25">
      <c r="A480" s="63">
        <f>'II_Inkunabeln+'!A480</f>
        <v>457</v>
      </c>
      <c r="B480" s="63" t="str">
        <f>'II_Inkunabeln+'!B480</f>
        <v>L-1483-315499524</v>
      </c>
      <c r="C480" s="63">
        <f>'II_Inkunabeln+'!C480</f>
        <v>1066969213</v>
      </c>
      <c r="D480" s="84" t="str">
        <f>'II_Inkunabeln+'!D480</f>
        <v>https://portal.dnb.de/opac.htm?method=simpleSearch&amp;cqlMode=true&amp;query=idn%3D1066969213</v>
      </c>
      <c r="E480" s="65" t="str">
        <f>'II_Inkunabeln+'!E480</f>
        <v>II 30,14h</v>
      </c>
      <c r="F480" s="65">
        <f>'II_Inkunabeln+'!H480</f>
        <v>0</v>
      </c>
      <c r="G480" s="93">
        <f>'II_Inkunabeln+'!X480</f>
        <v>0</v>
      </c>
      <c r="H480" s="93">
        <f>'II_Inkunabeln+'!AA480</f>
        <v>0</v>
      </c>
      <c r="I480" s="93">
        <f>'II_Inkunabeln+'!AC480</f>
        <v>0</v>
      </c>
      <c r="J480" s="94"/>
      <c r="K480" s="93">
        <f>'II_Inkunabeln+'!AD480</f>
        <v>0</v>
      </c>
      <c r="L480" s="94"/>
      <c r="M480" s="94"/>
      <c r="N480" s="94"/>
      <c r="O480" s="94"/>
      <c r="P480" s="94"/>
      <c r="Q480" s="94"/>
      <c r="R480" s="94"/>
      <c r="S480" s="94"/>
      <c r="T480" s="94"/>
      <c r="U480" s="94"/>
      <c r="V480" s="94"/>
      <c r="W480" s="94">
        <f>'II_Inkunabeln+'!BA480</f>
        <v>0</v>
      </c>
      <c r="X480" s="108"/>
      <c r="Y480" s="93">
        <f>'II_Inkunabeln+'!BI480</f>
        <v>0</v>
      </c>
      <c r="Z480" s="81">
        <f>'II_Inkunabeln+'!BJ480</f>
        <v>0</v>
      </c>
    </row>
    <row r="481" spans="1:26" x14ac:dyDescent="0.25">
      <c r="A481" s="63">
        <f>'II_Inkunabeln+'!A481</f>
        <v>458</v>
      </c>
      <c r="B481" s="63" t="str">
        <f>'II_Inkunabeln+'!B481</f>
        <v>L-1484-315502657</v>
      </c>
      <c r="C481" s="63">
        <f>'II_Inkunabeln+'!C481</f>
        <v>1066972249</v>
      </c>
      <c r="D481" s="84" t="str">
        <f>'II_Inkunabeln+'!D481</f>
        <v>https://portal.dnb.de/opac.htm?method=simpleSearch&amp;cqlMode=true&amp;query=idn%3D1066972249</v>
      </c>
      <c r="E481" s="65" t="str">
        <f>'II_Inkunabeln+'!E481</f>
        <v>II 30,14i</v>
      </c>
      <c r="F481" s="65">
        <f>'II_Inkunabeln+'!H481</f>
        <v>0</v>
      </c>
      <c r="G481" s="93">
        <f>'II_Inkunabeln+'!X481</f>
        <v>0</v>
      </c>
      <c r="H481" s="93">
        <f>'II_Inkunabeln+'!AA481</f>
        <v>0</v>
      </c>
      <c r="I481" s="93">
        <f>'II_Inkunabeln+'!AC481</f>
        <v>0</v>
      </c>
      <c r="J481" s="94"/>
      <c r="K481" s="93">
        <f>'II_Inkunabeln+'!AD481</f>
        <v>0</v>
      </c>
      <c r="L481" s="94"/>
      <c r="M481" s="94"/>
      <c r="N481" s="94"/>
      <c r="O481" s="94"/>
      <c r="P481" s="94"/>
      <c r="Q481" s="94"/>
      <c r="R481" s="94"/>
      <c r="S481" s="94"/>
      <c r="T481" s="94"/>
      <c r="U481" s="94"/>
      <c r="V481" s="94"/>
      <c r="W481" s="94">
        <f>'II_Inkunabeln+'!BA481</f>
        <v>0</v>
      </c>
      <c r="X481" s="108"/>
      <c r="Y481" s="93">
        <f>'II_Inkunabeln+'!BI481</f>
        <v>0</v>
      </c>
      <c r="Z481" s="81">
        <f>'II_Inkunabeln+'!BJ481</f>
        <v>0</v>
      </c>
    </row>
    <row r="482" spans="1:26" x14ac:dyDescent="0.25">
      <c r="A482" s="63">
        <f>'II_Inkunabeln+'!A482</f>
        <v>459</v>
      </c>
      <c r="B482" s="63" t="str">
        <f>'II_Inkunabeln+'!B482</f>
        <v>L-1489-315495065</v>
      </c>
      <c r="C482" s="63">
        <f>'II_Inkunabeln+'!C482</f>
        <v>1066964890</v>
      </c>
      <c r="D482" s="84" t="str">
        <f>'II_Inkunabeln+'!D482</f>
        <v>https://portal.dnb.de/opac.htm?method=simpleSearch&amp;cqlMode=true&amp;query=idn%3D1066964890</v>
      </c>
      <c r="E482" s="65" t="str">
        <f>'II_Inkunabeln+'!E482</f>
        <v>II 30,14k</v>
      </c>
      <c r="F482" s="65">
        <f>'II_Inkunabeln+'!H482</f>
        <v>0</v>
      </c>
      <c r="G482" s="93">
        <f>'II_Inkunabeln+'!X482</f>
        <v>0</v>
      </c>
      <c r="H482" s="93">
        <f>'II_Inkunabeln+'!AA482</f>
        <v>0</v>
      </c>
      <c r="I482" s="93">
        <f>'II_Inkunabeln+'!AC482</f>
        <v>0</v>
      </c>
      <c r="J482" s="94"/>
      <c r="K482" s="93">
        <f>'II_Inkunabeln+'!AD482</f>
        <v>0</v>
      </c>
      <c r="L482" s="94"/>
      <c r="M482" s="94"/>
      <c r="N482" s="94"/>
      <c r="O482" s="94"/>
      <c r="P482" s="94"/>
      <c r="Q482" s="94"/>
      <c r="R482" s="94"/>
      <c r="S482" s="94"/>
      <c r="T482" s="94"/>
      <c r="U482" s="94"/>
      <c r="V482" s="94"/>
      <c r="W482" s="94">
        <f>'II_Inkunabeln+'!BA482</f>
        <v>0</v>
      </c>
      <c r="X482" s="108"/>
      <c r="Y482" s="93">
        <f>'II_Inkunabeln+'!BI482</f>
        <v>0</v>
      </c>
      <c r="Z482" s="81">
        <f>'II_Inkunabeln+'!BJ482</f>
        <v>0</v>
      </c>
    </row>
    <row r="483" spans="1:26" x14ac:dyDescent="0.25">
      <c r="A483" s="63">
        <f>'II_Inkunabeln+'!A483</f>
        <v>460</v>
      </c>
      <c r="B483" s="63" t="str">
        <f>'II_Inkunabeln+'!B483</f>
        <v>L-1483-31550045X</v>
      </c>
      <c r="C483" s="63">
        <f>'II_Inkunabeln+'!C483</f>
        <v>1066970106</v>
      </c>
      <c r="D483" s="84" t="str">
        <f>'II_Inkunabeln+'!D483</f>
        <v>https://portal.dnb.de/opac.htm?method=simpleSearch&amp;cqlMode=true&amp;query=idn%3D1066970106</v>
      </c>
      <c r="E483" s="65" t="str">
        <f>'II_Inkunabeln+'!E483</f>
        <v>II 30,14l</v>
      </c>
      <c r="F483" s="65">
        <f>'II_Inkunabeln+'!H483</f>
        <v>0</v>
      </c>
      <c r="G483" s="93">
        <f>'II_Inkunabeln+'!X483</f>
        <v>0</v>
      </c>
      <c r="H483" s="93">
        <f>'II_Inkunabeln+'!AA483</f>
        <v>0</v>
      </c>
      <c r="I483" s="93">
        <f>'II_Inkunabeln+'!AC483</f>
        <v>0</v>
      </c>
      <c r="J483" s="94"/>
      <c r="K483" s="93">
        <f>'II_Inkunabeln+'!AD483</f>
        <v>0</v>
      </c>
      <c r="L483" s="94"/>
      <c r="M483" s="94"/>
      <c r="N483" s="94"/>
      <c r="O483" s="94"/>
      <c r="P483" s="94"/>
      <c r="Q483" s="94"/>
      <c r="R483" s="94"/>
      <c r="S483" s="94"/>
      <c r="T483" s="94"/>
      <c r="U483" s="94"/>
      <c r="V483" s="94"/>
      <c r="W483" s="94">
        <f>'II_Inkunabeln+'!BA483</f>
        <v>0</v>
      </c>
      <c r="X483" s="108"/>
      <c r="Y483" s="93">
        <f>'II_Inkunabeln+'!BI483</f>
        <v>0</v>
      </c>
      <c r="Z483" s="81">
        <f>'II_Inkunabeln+'!BJ483</f>
        <v>0</v>
      </c>
    </row>
    <row r="484" spans="1:26" x14ac:dyDescent="0.25">
      <c r="A484" s="63">
        <f>'II_Inkunabeln+'!A484</f>
        <v>461</v>
      </c>
      <c r="B484" s="63" t="str">
        <f>'II_Inkunabeln+'!B484</f>
        <v>L-1483-315500506</v>
      </c>
      <c r="C484" s="63">
        <f>'II_Inkunabeln+'!C484</f>
        <v>1066970157</v>
      </c>
      <c r="D484" s="84" t="str">
        <f>'II_Inkunabeln+'!D484</f>
        <v>https://portal.dnb.de/opac.htm?method=simpleSearch&amp;cqlMode=true&amp;query=idn%3D1066970157</v>
      </c>
      <c r="E484" s="65" t="str">
        <f>'II_Inkunabeln+'!E484</f>
        <v>II 30,14m</v>
      </c>
      <c r="F484" s="65" t="str">
        <f>'II_Inkunabeln+'!H484</f>
        <v>bis 35 cm</v>
      </c>
      <c r="G484" s="93">
        <f>'II_Inkunabeln+'!X484</f>
        <v>0</v>
      </c>
      <c r="H484" s="93">
        <f>'II_Inkunabeln+'!AA484</f>
        <v>0</v>
      </c>
      <c r="I484" s="93">
        <f>'II_Inkunabeln+'!AC484</f>
        <v>0</v>
      </c>
      <c r="J484" s="94"/>
      <c r="K484" s="93">
        <f>'II_Inkunabeln+'!AD484</f>
        <v>0</v>
      </c>
      <c r="L484" s="94"/>
      <c r="M484" s="94"/>
      <c r="N484" s="94"/>
      <c r="O484" s="94"/>
      <c r="P484" s="94"/>
      <c r="Q484" s="94"/>
      <c r="R484" s="94"/>
      <c r="S484" s="94"/>
      <c r="T484" s="94"/>
      <c r="U484" s="94"/>
      <c r="V484" s="94"/>
      <c r="W484" s="94">
        <f>'II_Inkunabeln+'!BA484</f>
        <v>0</v>
      </c>
      <c r="X484" s="108"/>
      <c r="Y484" s="93">
        <f>'II_Inkunabeln+'!BI484</f>
        <v>0</v>
      </c>
      <c r="Z484" s="81">
        <f>'II_Inkunabeln+'!BJ484</f>
        <v>0</v>
      </c>
    </row>
    <row r="485" spans="1:26" x14ac:dyDescent="0.25">
      <c r="A485" s="63">
        <f>'II_Inkunabeln+'!A485</f>
        <v>462</v>
      </c>
      <c r="B485" s="63" t="str">
        <f>'II_Inkunabeln+'!B485</f>
        <v>L-1483-315501340</v>
      </c>
      <c r="C485" s="63" t="str">
        <f>'II_Inkunabeln+'!C485</f>
        <v>106697098X</v>
      </c>
      <c r="D485" s="84" t="str">
        <f>'II_Inkunabeln+'!D485</f>
        <v>https://portal.dnb.de/opac.htm?method=simpleSearch&amp;cqlMode=true&amp;query=idn%3D106697098X</v>
      </c>
      <c r="E485" s="65" t="str">
        <f>'II_Inkunabeln+'!E485</f>
        <v>II 30,14o</v>
      </c>
      <c r="F485" s="65" t="str">
        <f>'II_Inkunabeln+'!H485</f>
        <v>bis 35 cm</v>
      </c>
      <c r="G485" s="93">
        <f>'II_Inkunabeln+'!X485</f>
        <v>0</v>
      </c>
      <c r="H485" s="93">
        <f>'II_Inkunabeln+'!AA485</f>
        <v>0</v>
      </c>
      <c r="I485" s="93">
        <f>'II_Inkunabeln+'!AC485</f>
        <v>0</v>
      </c>
      <c r="J485" s="94"/>
      <c r="K485" s="93">
        <f>'II_Inkunabeln+'!AD485</f>
        <v>0</v>
      </c>
      <c r="L485" s="94"/>
      <c r="M485" s="94"/>
      <c r="N485" s="94"/>
      <c r="O485" s="94"/>
      <c r="P485" s="94"/>
      <c r="Q485" s="94"/>
      <c r="R485" s="94"/>
      <c r="S485" s="94"/>
      <c r="T485" s="94"/>
      <c r="U485" s="94"/>
      <c r="V485" s="94"/>
      <c r="W485" s="94">
        <f>'II_Inkunabeln+'!BA485</f>
        <v>0</v>
      </c>
      <c r="X485" s="108"/>
      <c r="Y485" s="93">
        <f>'II_Inkunabeln+'!BI485</f>
        <v>0</v>
      </c>
      <c r="Z485" s="81">
        <f>'II_Inkunabeln+'!BJ485</f>
        <v>0</v>
      </c>
    </row>
    <row r="486" spans="1:26" x14ac:dyDescent="0.25">
      <c r="A486" s="63">
        <f>'II_Inkunabeln+'!A486</f>
        <v>463</v>
      </c>
      <c r="B486" s="63" t="str">
        <f>'II_Inkunabeln+'!B486</f>
        <v>L-1483-315501561</v>
      </c>
      <c r="C486" s="63">
        <f>'II_Inkunabeln+'!C486</f>
        <v>1066971196</v>
      </c>
      <c r="D486" s="84" t="str">
        <f>'II_Inkunabeln+'!D486</f>
        <v>https://portal.dnb.de/opac.htm?method=simpleSearch&amp;cqlMode=true&amp;query=idn%3D1066971196</v>
      </c>
      <c r="E486" s="65" t="str">
        <f>'II_Inkunabeln+'!E486</f>
        <v>II 30,14oa</v>
      </c>
      <c r="F486" s="65" t="str">
        <f>'II_Inkunabeln+'!H486</f>
        <v>bis 35 cm</v>
      </c>
      <c r="G486" s="93">
        <f>'II_Inkunabeln+'!X486</f>
        <v>0</v>
      </c>
      <c r="H486" s="93">
        <f>'II_Inkunabeln+'!AA486</f>
        <v>0</v>
      </c>
      <c r="I486" s="93">
        <f>'II_Inkunabeln+'!AC486</f>
        <v>0</v>
      </c>
      <c r="J486" s="94"/>
      <c r="K486" s="93">
        <f>'II_Inkunabeln+'!AD486</f>
        <v>0</v>
      </c>
      <c r="L486" s="94"/>
      <c r="M486" s="94"/>
      <c r="N486" s="94"/>
      <c r="O486" s="94"/>
      <c r="P486" s="94"/>
      <c r="Q486" s="94"/>
      <c r="R486" s="94"/>
      <c r="S486" s="94"/>
      <c r="T486" s="94"/>
      <c r="U486" s="94"/>
      <c r="V486" s="94"/>
      <c r="W486" s="94">
        <f>'II_Inkunabeln+'!BA486</f>
        <v>0</v>
      </c>
      <c r="X486" s="108"/>
      <c r="Y486" s="93">
        <f>'II_Inkunabeln+'!BI486</f>
        <v>0</v>
      </c>
      <c r="Z486" s="81">
        <f>'II_Inkunabeln+'!BJ486</f>
        <v>0</v>
      </c>
    </row>
    <row r="487" spans="1:26" x14ac:dyDescent="0.25">
      <c r="A487" s="63">
        <f>'II_Inkunabeln+'!A487</f>
        <v>464</v>
      </c>
      <c r="B487" s="63" t="str">
        <f>'II_Inkunabeln+'!B487</f>
        <v>L-1483-315497246</v>
      </c>
      <c r="C487" s="63" t="str">
        <f>'II_Inkunabeln+'!C487</f>
        <v>106696694X</v>
      </c>
      <c r="D487" s="84" t="str">
        <f>'II_Inkunabeln+'!D487</f>
        <v>https://portal.dnb.de/opac.htm?method=simpleSearch&amp;cqlMode=true&amp;query=idn%3D106696694X</v>
      </c>
      <c r="E487" s="65" t="str">
        <f>'II_Inkunabeln+'!E487</f>
        <v>II 30,14p</v>
      </c>
      <c r="F487" s="65" t="str">
        <f>'II_Inkunabeln+'!H487</f>
        <v>bis 25 cm</v>
      </c>
      <c r="G487" s="93">
        <f>'II_Inkunabeln+'!X487</f>
        <v>0</v>
      </c>
      <c r="H487" s="93">
        <f>'II_Inkunabeln+'!AA487</f>
        <v>0</v>
      </c>
      <c r="I487" s="93">
        <f>'II_Inkunabeln+'!AC487</f>
        <v>0</v>
      </c>
      <c r="J487" s="94"/>
      <c r="K487" s="93">
        <f>'II_Inkunabeln+'!AD487</f>
        <v>0</v>
      </c>
      <c r="L487" s="94"/>
      <c r="M487" s="94"/>
      <c r="N487" s="94"/>
      <c r="O487" s="94"/>
      <c r="P487" s="94"/>
      <c r="Q487" s="94"/>
      <c r="R487" s="94"/>
      <c r="S487" s="94"/>
      <c r="T487" s="94"/>
      <c r="U487" s="94"/>
      <c r="V487" s="94"/>
      <c r="W487" s="94">
        <f>'II_Inkunabeln+'!BA487</f>
        <v>0</v>
      </c>
      <c r="X487" s="108"/>
      <c r="Y487" s="93">
        <f>'II_Inkunabeln+'!BI487</f>
        <v>0</v>
      </c>
      <c r="Z487" s="81">
        <f>'II_Inkunabeln+'!BJ487</f>
        <v>0</v>
      </c>
    </row>
    <row r="488" spans="1:26" x14ac:dyDescent="0.25">
      <c r="A488" s="63">
        <f>'II_Inkunabeln+'!A488</f>
        <v>465</v>
      </c>
      <c r="B488" s="63" t="str">
        <f>'II_Inkunabeln+'!B488</f>
        <v>L-1483-315497785</v>
      </c>
      <c r="C488" s="63">
        <f>'II_Inkunabeln+'!C488</f>
        <v>1066967539</v>
      </c>
      <c r="D488" s="84" t="str">
        <f>'II_Inkunabeln+'!D488</f>
        <v>https://portal.dnb.de/opac.htm?method=simpleSearch&amp;cqlMode=true&amp;query=idn%3D1066967539</v>
      </c>
      <c r="E488" s="65" t="str">
        <f>'II_Inkunabeln+'!E488</f>
        <v>II 30,14q</v>
      </c>
      <c r="F488" s="65" t="str">
        <f>'II_Inkunabeln+'!H488</f>
        <v>bis 35 cm</v>
      </c>
      <c r="G488" s="93">
        <f>'II_Inkunabeln+'!X488</f>
        <v>0</v>
      </c>
      <c r="H488" s="93">
        <f>'II_Inkunabeln+'!AA488</f>
        <v>0</v>
      </c>
      <c r="I488" s="93">
        <f>'II_Inkunabeln+'!AC488</f>
        <v>0</v>
      </c>
      <c r="J488" s="94"/>
      <c r="K488" s="93">
        <f>'II_Inkunabeln+'!AD488</f>
        <v>0</v>
      </c>
      <c r="L488" s="94"/>
      <c r="M488" s="94"/>
      <c r="N488" s="94"/>
      <c r="O488" s="94"/>
      <c r="P488" s="94"/>
      <c r="Q488" s="94"/>
      <c r="R488" s="94"/>
      <c r="S488" s="94"/>
      <c r="T488" s="94"/>
      <c r="U488" s="94"/>
      <c r="V488" s="94"/>
      <c r="W488" s="94">
        <f>'II_Inkunabeln+'!BA488</f>
        <v>0</v>
      </c>
      <c r="X488" s="108"/>
      <c r="Y488" s="93">
        <f>'II_Inkunabeln+'!BI488</f>
        <v>0</v>
      </c>
      <c r="Z488" s="81">
        <f>'II_Inkunabeln+'!BJ488</f>
        <v>0</v>
      </c>
    </row>
    <row r="489" spans="1:26" x14ac:dyDescent="0.25">
      <c r="A489" s="63">
        <f>'II_Inkunabeln+'!A489</f>
        <v>466</v>
      </c>
      <c r="B489" s="63" t="str">
        <f>'II_Inkunabeln+'!B489</f>
        <v>L-1488-315495510</v>
      </c>
      <c r="C489" s="63" t="str">
        <f>'II_Inkunabeln+'!C489</f>
        <v>106696534X</v>
      </c>
      <c r="D489" s="84" t="str">
        <f>'II_Inkunabeln+'!D489</f>
        <v>https://portal.dnb.de/opac.htm?method=simpleSearch&amp;cqlMode=true&amp;query=idn%3D106696534X</v>
      </c>
      <c r="E489" s="65" t="str">
        <f>'II_Inkunabeln+'!E489</f>
        <v>II 30,15a</v>
      </c>
      <c r="F489" s="65" t="str">
        <f>'II_Inkunabeln+'!H489</f>
        <v>bis 25 cm</v>
      </c>
      <c r="G489" s="93">
        <f>'II_Inkunabeln+'!X489</f>
        <v>0</v>
      </c>
      <c r="H489" s="93">
        <f>'II_Inkunabeln+'!AA489</f>
        <v>0</v>
      </c>
      <c r="I489" s="93">
        <f>'II_Inkunabeln+'!AC489</f>
        <v>0</v>
      </c>
      <c r="J489" s="94"/>
      <c r="K489" s="93">
        <f>'II_Inkunabeln+'!AD489</f>
        <v>0</v>
      </c>
      <c r="L489" s="94"/>
      <c r="M489" s="94"/>
      <c r="N489" s="94"/>
      <c r="O489" s="94"/>
      <c r="P489" s="94"/>
      <c r="Q489" s="94"/>
      <c r="R489" s="94"/>
      <c r="S489" s="94"/>
      <c r="T489" s="94"/>
      <c r="U489" s="94"/>
      <c r="V489" s="94"/>
      <c r="W489" s="94">
        <f>'II_Inkunabeln+'!BA489</f>
        <v>0</v>
      </c>
      <c r="X489" s="108"/>
      <c r="Y489" s="93">
        <f>'II_Inkunabeln+'!BI489</f>
        <v>0</v>
      </c>
      <c r="Z489" s="81">
        <f>'II_Inkunabeln+'!BJ489</f>
        <v>0</v>
      </c>
    </row>
    <row r="490" spans="1:26" x14ac:dyDescent="0.25">
      <c r="A490" s="63">
        <f>'II_Inkunabeln+'!A490</f>
        <v>467</v>
      </c>
      <c r="B490" s="63" t="str">
        <f>'II_Inkunabeln+'!B490</f>
        <v>L-1489-315495472</v>
      </c>
      <c r="C490" s="63">
        <f>'II_Inkunabeln+'!C490</f>
        <v>1066965293</v>
      </c>
      <c r="D490" s="84" t="str">
        <f>'II_Inkunabeln+'!D490</f>
        <v>https://portal.dnb.de/opac.htm?method=simpleSearch&amp;cqlMode=true&amp;query=idn%3D1066965293</v>
      </c>
      <c r="E490" s="65" t="str">
        <f>'II_Inkunabeln+'!E490</f>
        <v>II 30,15b</v>
      </c>
      <c r="F490" s="65" t="str">
        <f>'II_Inkunabeln+'!H490</f>
        <v>bis 35 cm</v>
      </c>
      <c r="G490" s="93">
        <f>'II_Inkunabeln+'!X490</f>
        <v>0</v>
      </c>
      <c r="H490" s="93">
        <f>'II_Inkunabeln+'!AA490</f>
        <v>0</v>
      </c>
      <c r="I490" s="93">
        <f>'II_Inkunabeln+'!AC490</f>
        <v>0</v>
      </c>
      <c r="J490" s="94"/>
      <c r="K490" s="93">
        <f>'II_Inkunabeln+'!AD490</f>
        <v>0</v>
      </c>
      <c r="L490" s="94"/>
      <c r="M490" s="94"/>
      <c r="N490" s="94"/>
      <c r="O490" s="94"/>
      <c r="P490" s="94"/>
      <c r="Q490" s="94"/>
      <c r="R490" s="94"/>
      <c r="S490" s="94"/>
      <c r="T490" s="94"/>
      <c r="U490" s="94"/>
      <c r="V490" s="94"/>
      <c r="W490" s="94">
        <f>'II_Inkunabeln+'!BA490</f>
        <v>0</v>
      </c>
      <c r="X490" s="108"/>
      <c r="Y490" s="93">
        <f>'II_Inkunabeln+'!BI490</f>
        <v>0</v>
      </c>
      <c r="Z490" s="81">
        <f>'II_Inkunabeln+'!BJ490</f>
        <v>0</v>
      </c>
    </row>
    <row r="491" spans="1:26" x14ac:dyDescent="0.25">
      <c r="A491" s="63">
        <f>'II_Inkunabeln+'!A491</f>
        <v>468</v>
      </c>
      <c r="B491" s="63" t="str">
        <f>'II_Inkunabeln+'!B491</f>
        <v>L-1489-315497238</v>
      </c>
      <c r="C491" s="63">
        <f>'II_Inkunabeln+'!C491</f>
        <v>1066966931</v>
      </c>
      <c r="D491" s="84" t="str">
        <f>'II_Inkunabeln+'!D491</f>
        <v>https://portal.dnb.de/opac.htm?method=simpleSearch&amp;cqlMode=true&amp;query=idn%3D1066966931</v>
      </c>
      <c r="E491" s="65" t="str">
        <f>'II_Inkunabeln+'!E491</f>
        <v>II 30,15c</v>
      </c>
      <c r="F491" s="65" t="str">
        <f>'II_Inkunabeln+'!H491</f>
        <v>bis 35 cm</v>
      </c>
      <c r="G491" s="93">
        <f>'II_Inkunabeln+'!X491</f>
        <v>0</v>
      </c>
      <c r="H491" s="93">
        <f>'II_Inkunabeln+'!AA491</f>
        <v>0</v>
      </c>
      <c r="I491" s="93">
        <f>'II_Inkunabeln+'!AC491</f>
        <v>0</v>
      </c>
      <c r="J491" s="94"/>
      <c r="K491" s="93">
        <f>'II_Inkunabeln+'!AD491</f>
        <v>0</v>
      </c>
      <c r="L491" s="94"/>
      <c r="M491" s="94"/>
      <c r="N491" s="94"/>
      <c r="O491" s="94"/>
      <c r="P491" s="94"/>
      <c r="Q491" s="94"/>
      <c r="R491" s="94"/>
      <c r="S491" s="94"/>
      <c r="T491" s="94"/>
      <c r="U491" s="94"/>
      <c r="V491" s="94"/>
      <c r="W491" s="94">
        <f>'II_Inkunabeln+'!BA491</f>
        <v>0</v>
      </c>
      <c r="X491" s="108"/>
      <c r="Y491" s="93">
        <f>'II_Inkunabeln+'!BI491</f>
        <v>0</v>
      </c>
      <c r="Z491" s="81">
        <f>'II_Inkunabeln+'!BJ491</f>
        <v>0</v>
      </c>
    </row>
    <row r="492" spans="1:26" x14ac:dyDescent="0.25">
      <c r="A492" s="63">
        <f>'II_Inkunabeln+'!A492</f>
        <v>469</v>
      </c>
      <c r="B492" s="63" t="str">
        <f>'II_Inkunabeln+'!B492</f>
        <v>L-1491-315496134</v>
      </c>
      <c r="C492" s="63">
        <f>'II_Inkunabeln+'!C492</f>
        <v>1066965862</v>
      </c>
      <c r="D492" s="84" t="str">
        <f>'II_Inkunabeln+'!D492</f>
        <v>https://portal.dnb.de/opac.htm?method=simpleSearch&amp;cqlMode=true&amp;query=idn%3D1066965862</v>
      </c>
      <c r="E492" s="65" t="str">
        <f>'II_Inkunabeln+'!E492</f>
        <v>II 30,15d</v>
      </c>
      <c r="F492" s="65" t="str">
        <f>'II_Inkunabeln+'!H492</f>
        <v>bis 35 cm</v>
      </c>
      <c r="G492" s="93">
        <f>'II_Inkunabeln+'!X492</f>
        <v>0</v>
      </c>
      <c r="H492" s="93">
        <f>'II_Inkunabeln+'!AA492</f>
        <v>0</v>
      </c>
      <c r="I492" s="93">
        <f>'II_Inkunabeln+'!AC492</f>
        <v>0</v>
      </c>
      <c r="J492" s="94"/>
      <c r="K492" s="93">
        <f>'II_Inkunabeln+'!AD492</f>
        <v>0</v>
      </c>
      <c r="L492" s="94"/>
      <c r="M492" s="94"/>
      <c r="N492" s="94"/>
      <c r="O492" s="94"/>
      <c r="P492" s="94"/>
      <c r="Q492" s="94"/>
      <c r="R492" s="94"/>
      <c r="S492" s="94"/>
      <c r="T492" s="94"/>
      <c r="U492" s="94"/>
      <c r="V492" s="94"/>
      <c r="W492" s="94">
        <f>'II_Inkunabeln+'!BA492</f>
        <v>0</v>
      </c>
      <c r="X492" s="108"/>
      <c r="Y492" s="93">
        <f>'II_Inkunabeln+'!BI492</f>
        <v>0</v>
      </c>
      <c r="Z492" s="81">
        <f>'II_Inkunabeln+'!BJ492</f>
        <v>0</v>
      </c>
    </row>
    <row r="493" spans="1:26" x14ac:dyDescent="0.25">
      <c r="A493" s="63">
        <f>'II_Inkunabeln+'!A493</f>
        <v>470</v>
      </c>
      <c r="B493" s="63" t="str">
        <f>'II_Inkunabeln+'!B493</f>
        <v>L-1491-315501855</v>
      </c>
      <c r="C493" s="63">
        <f>'II_Inkunabeln+'!C493</f>
        <v>1066971471</v>
      </c>
      <c r="D493" s="84" t="str">
        <f>'II_Inkunabeln+'!D493</f>
        <v>https://portal.dnb.de/opac.htm?method=simpleSearch&amp;cqlMode=true&amp;query=idn%3D1066971471</v>
      </c>
      <c r="E493" s="65" t="str">
        <f>'II_Inkunabeln+'!E493</f>
        <v>II 30,15f</v>
      </c>
      <c r="F493" s="65" t="str">
        <f>'II_Inkunabeln+'!H493</f>
        <v>bis 35 cm</v>
      </c>
      <c r="G493" s="93">
        <f>'II_Inkunabeln+'!X493</f>
        <v>0</v>
      </c>
      <c r="H493" s="93">
        <f>'II_Inkunabeln+'!AA493</f>
        <v>0</v>
      </c>
      <c r="I493" s="93">
        <f>'II_Inkunabeln+'!AC493</f>
        <v>0</v>
      </c>
      <c r="J493" s="94"/>
      <c r="K493" s="93">
        <f>'II_Inkunabeln+'!AD493</f>
        <v>0</v>
      </c>
      <c r="L493" s="94"/>
      <c r="M493" s="94"/>
      <c r="N493" s="94"/>
      <c r="O493" s="94"/>
      <c r="P493" s="94"/>
      <c r="Q493" s="94"/>
      <c r="R493" s="94"/>
      <c r="S493" s="94"/>
      <c r="T493" s="94"/>
      <c r="U493" s="94"/>
      <c r="V493" s="94"/>
      <c r="W493" s="94">
        <f>'II_Inkunabeln+'!BA493</f>
        <v>0</v>
      </c>
      <c r="X493" s="108"/>
      <c r="Y493" s="93">
        <f>'II_Inkunabeln+'!BI493</f>
        <v>0</v>
      </c>
      <c r="Z493" s="81">
        <f>'II_Inkunabeln+'!BJ493</f>
        <v>0</v>
      </c>
    </row>
    <row r="494" spans="1:26" x14ac:dyDescent="0.25">
      <c r="A494" s="63">
        <f>'II_Inkunabeln+'!A494</f>
        <v>471</v>
      </c>
      <c r="B494" s="63" t="str">
        <f>'II_Inkunabeln+'!B494</f>
        <v>L-1491-352278366</v>
      </c>
      <c r="C494" s="63">
        <f>'II_Inkunabeln+'!C494</f>
        <v>1084611961</v>
      </c>
      <c r="D494" s="84" t="str">
        <f>'II_Inkunabeln+'!D494</f>
        <v>https://portal.dnb.de/opac.htm?method=simpleSearch&amp;cqlMode=true&amp;query=idn%3D1084611961</v>
      </c>
      <c r="E494" s="65" t="str">
        <f>'II_Inkunabeln+'!E494</f>
        <v>II 30,15f (angebunden)</v>
      </c>
      <c r="F494" s="65">
        <f>'II_Inkunabeln+'!H494</f>
        <v>0</v>
      </c>
      <c r="G494" s="93">
        <f>'II_Inkunabeln+'!X494</f>
        <v>0</v>
      </c>
      <c r="H494" s="93">
        <f>'II_Inkunabeln+'!AA494</f>
        <v>0</v>
      </c>
      <c r="I494" s="93">
        <f>'II_Inkunabeln+'!AC494</f>
        <v>0</v>
      </c>
      <c r="J494" s="94"/>
      <c r="K494" s="93">
        <f>'II_Inkunabeln+'!AD494</f>
        <v>0</v>
      </c>
      <c r="L494" s="94"/>
      <c r="M494" s="94"/>
      <c r="N494" s="94"/>
      <c r="O494" s="94"/>
      <c r="P494" s="94"/>
      <c r="Q494" s="94"/>
      <c r="R494" s="94"/>
      <c r="S494" s="94"/>
      <c r="T494" s="94"/>
      <c r="U494" s="94"/>
      <c r="V494" s="94"/>
      <c r="W494" s="94">
        <f>'II_Inkunabeln+'!BA494</f>
        <v>0</v>
      </c>
      <c r="X494" s="108"/>
      <c r="Y494" s="93">
        <f>'II_Inkunabeln+'!BI494</f>
        <v>0</v>
      </c>
      <c r="Z494" s="81">
        <f>'II_Inkunabeln+'!BJ494</f>
        <v>0</v>
      </c>
    </row>
    <row r="495" spans="1:26" x14ac:dyDescent="0.25">
      <c r="A495" s="63">
        <f>'II_Inkunabeln+'!A495</f>
        <v>472</v>
      </c>
      <c r="B495" s="63" t="str">
        <f>'II_Inkunabeln+'!B495</f>
        <v>L-1493-315499133</v>
      </c>
      <c r="C495" s="63">
        <f>'II_Inkunabeln+'!C495</f>
        <v>1066968861</v>
      </c>
      <c r="D495" s="84" t="str">
        <f>'II_Inkunabeln+'!D495</f>
        <v>https://portal.dnb.de/opac.htm?method=simpleSearch&amp;cqlMode=true&amp;query=idn%3D1066968861</v>
      </c>
      <c r="E495" s="65" t="str">
        <f>'II_Inkunabeln+'!E495</f>
        <v>II 30,15g</v>
      </c>
      <c r="F495" s="65" t="str">
        <f>'II_Inkunabeln+'!H495</f>
        <v>bis 25 cm</v>
      </c>
      <c r="G495" s="93">
        <f>'II_Inkunabeln+'!X495</f>
        <v>0</v>
      </c>
      <c r="H495" s="93">
        <f>'II_Inkunabeln+'!AA495</f>
        <v>0</v>
      </c>
      <c r="I495" s="93">
        <f>'II_Inkunabeln+'!AC495</f>
        <v>0</v>
      </c>
      <c r="J495" s="94"/>
      <c r="K495" s="93">
        <f>'II_Inkunabeln+'!AD495</f>
        <v>0</v>
      </c>
      <c r="L495" s="94"/>
      <c r="M495" s="94"/>
      <c r="N495" s="94"/>
      <c r="O495" s="94"/>
      <c r="P495" s="94"/>
      <c r="Q495" s="94"/>
      <c r="R495" s="94"/>
      <c r="S495" s="94"/>
      <c r="T495" s="94"/>
      <c r="U495" s="94"/>
      <c r="V495" s="94"/>
      <c r="W495" s="94">
        <f>'II_Inkunabeln+'!BA495</f>
        <v>0</v>
      </c>
      <c r="X495" s="108"/>
      <c r="Y495" s="93">
        <f>'II_Inkunabeln+'!BI495</f>
        <v>0</v>
      </c>
      <c r="Z495" s="81">
        <f>'II_Inkunabeln+'!BJ495</f>
        <v>0</v>
      </c>
    </row>
    <row r="496" spans="1:26" x14ac:dyDescent="0.25">
      <c r="A496" s="63">
        <f>'II_Inkunabeln+'!A496</f>
        <v>473</v>
      </c>
      <c r="B496" s="63" t="str">
        <f>'II_Inkunabeln+'!B496</f>
        <v>L-1493-31550238X</v>
      </c>
      <c r="C496" s="63">
        <f>'II_Inkunabeln+'!C496</f>
        <v>1066971978</v>
      </c>
      <c r="D496" s="84" t="str">
        <f>'II_Inkunabeln+'!D496</f>
        <v>https://portal.dnb.de/opac.htm?method=simpleSearch&amp;cqlMode=true&amp;query=idn%3D1066971978</v>
      </c>
      <c r="E496" s="65" t="str">
        <f>'II_Inkunabeln+'!E496</f>
        <v>II 30,15h</v>
      </c>
      <c r="F496" s="65" t="str">
        <f>'II_Inkunabeln+'!H496</f>
        <v>bis 35 cm</v>
      </c>
      <c r="G496" s="93">
        <f>'II_Inkunabeln+'!X496</f>
        <v>0</v>
      </c>
      <c r="H496" s="93">
        <f>'II_Inkunabeln+'!AA496</f>
        <v>0</v>
      </c>
      <c r="I496" s="93">
        <f>'II_Inkunabeln+'!AC496</f>
        <v>0</v>
      </c>
      <c r="J496" s="94"/>
      <c r="K496" s="93">
        <f>'II_Inkunabeln+'!AD496</f>
        <v>0</v>
      </c>
      <c r="L496" s="94"/>
      <c r="M496" s="94"/>
      <c r="N496" s="94"/>
      <c r="O496" s="94"/>
      <c r="P496" s="94"/>
      <c r="Q496" s="94"/>
      <c r="R496" s="94"/>
      <c r="S496" s="94"/>
      <c r="T496" s="94"/>
      <c r="U496" s="94"/>
      <c r="V496" s="94"/>
      <c r="W496" s="94">
        <f>'II_Inkunabeln+'!BA496</f>
        <v>0</v>
      </c>
      <c r="X496" s="108"/>
      <c r="Y496" s="93">
        <f>'II_Inkunabeln+'!BI496</f>
        <v>0</v>
      </c>
      <c r="Z496" s="81">
        <f>'II_Inkunabeln+'!BJ496</f>
        <v>0</v>
      </c>
    </row>
    <row r="497" spans="1:26" x14ac:dyDescent="0.25">
      <c r="A497" s="63">
        <f>'II_Inkunabeln+'!A497</f>
        <v>474</v>
      </c>
      <c r="B497" s="63" t="str">
        <f>'II_Inkunabeln+'!B497</f>
        <v>L-1493-315501863</v>
      </c>
      <c r="C497" s="63" t="str">
        <f>'II_Inkunabeln+'!C497</f>
        <v>106697148X</v>
      </c>
      <c r="D497" s="84" t="str">
        <f>'II_Inkunabeln+'!D497</f>
        <v>https://portal.dnb.de/opac.htm?method=simpleSearch&amp;cqlMode=true&amp;query=idn%3D106697148X</v>
      </c>
      <c r="E497" s="65" t="str">
        <f>'II_Inkunabeln+'!E497</f>
        <v>II 30,15ha</v>
      </c>
      <c r="F497" s="65" t="str">
        <f>'II_Inkunabeln+'!H497</f>
        <v>bis 35 cm</v>
      </c>
      <c r="G497" s="93">
        <f>'II_Inkunabeln+'!X497</f>
        <v>0</v>
      </c>
      <c r="H497" s="93">
        <f>'II_Inkunabeln+'!AA497</f>
        <v>0</v>
      </c>
      <c r="I497" s="93">
        <f>'II_Inkunabeln+'!AC497</f>
        <v>0</v>
      </c>
      <c r="J497" s="94"/>
      <c r="K497" s="93">
        <f>'II_Inkunabeln+'!AD497</f>
        <v>0</v>
      </c>
      <c r="L497" s="94"/>
      <c r="M497" s="94"/>
      <c r="N497" s="94"/>
      <c r="O497" s="94"/>
      <c r="P497" s="94"/>
      <c r="Q497" s="94"/>
      <c r="R497" s="94"/>
      <c r="S497" s="94"/>
      <c r="T497" s="94"/>
      <c r="U497" s="94"/>
      <c r="V497" s="94"/>
      <c r="W497" s="94">
        <f>'II_Inkunabeln+'!BA497</f>
        <v>0</v>
      </c>
      <c r="X497" s="108"/>
      <c r="Y497" s="93">
        <f>'II_Inkunabeln+'!BI497</f>
        <v>0</v>
      </c>
      <c r="Z497" s="81">
        <f>'II_Inkunabeln+'!BJ497</f>
        <v>0</v>
      </c>
    </row>
    <row r="498" spans="1:26" x14ac:dyDescent="0.25">
      <c r="A498" s="63">
        <f>'II_Inkunabeln+'!A498</f>
        <v>475</v>
      </c>
      <c r="B498" s="63" t="str">
        <f>'II_Inkunabeln+'!B498</f>
        <v>L-1495-315495480</v>
      </c>
      <c r="C498" s="63">
        <f>'II_Inkunabeln+'!C498</f>
        <v>1066965307</v>
      </c>
      <c r="D498" s="84" t="str">
        <f>'II_Inkunabeln+'!D498</f>
        <v>https://portal.dnb.de/opac.htm?method=simpleSearch&amp;cqlMode=true&amp;query=idn%3D1066965307</v>
      </c>
      <c r="E498" s="65" t="str">
        <f>'II_Inkunabeln+'!E498</f>
        <v>II 30,15i</v>
      </c>
      <c r="F498" s="65" t="str">
        <f>'II_Inkunabeln+'!H498</f>
        <v>bis 35 cm</v>
      </c>
      <c r="G498" s="93">
        <f>'II_Inkunabeln+'!X498</f>
        <v>0</v>
      </c>
      <c r="H498" s="93">
        <f>'II_Inkunabeln+'!AA498</f>
        <v>0</v>
      </c>
      <c r="I498" s="93">
        <f>'II_Inkunabeln+'!AC498</f>
        <v>0</v>
      </c>
      <c r="J498" s="94"/>
      <c r="K498" s="93">
        <f>'II_Inkunabeln+'!AD498</f>
        <v>0</v>
      </c>
      <c r="L498" s="94"/>
      <c r="M498" s="94"/>
      <c r="N498" s="94"/>
      <c r="O498" s="94"/>
      <c r="P498" s="94"/>
      <c r="Q498" s="94"/>
      <c r="R498" s="94"/>
      <c r="S498" s="94"/>
      <c r="T498" s="94"/>
      <c r="U498" s="94"/>
      <c r="V498" s="94"/>
      <c r="W498" s="94">
        <f>'II_Inkunabeln+'!BA498</f>
        <v>0</v>
      </c>
      <c r="X498" s="108"/>
      <c r="Y498" s="93">
        <f>'II_Inkunabeln+'!BI498</f>
        <v>0</v>
      </c>
      <c r="Z498" s="81">
        <f>'II_Inkunabeln+'!BJ498</f>
        <v>0</v>
      </c>
    </row>
    <row r="499" spans="1:26" x14ac:dyDescent="0.25">
      <c r="A499" s="63">
        <f>'II_Inkunabeln+'!A499</f>
        <v>476</v>
      </c>
      <c r="B499" s="63" t="str">
        <f>'II_Inkunabeln+'!B499</f>
        <v>L-1496-315502274</v>
      </c>
      <c r="C499" s="63">
        <f>'II_Inkunabeln+'!C499</f>
        <v>1066971870</v>
      </c>
      <c r="D499" s="84" t="str">
        <f>'II_Inkunabeln+'!D499</f>
        <v>https://portal.dnb.de/opac.htm?method=simpleSearch&amp;cqlMode=true&amp;query=idn%3D1066971870</v>
      </c>
      <c r="E499" s="65" t="str">
        <f>'II_Inkunabeln+'!E499</f>
        <v>II 30,15k</v>
      </c>
      <c r="F499" s="65" t="str">
        <f>'II_Inkunabeln+'!H499</f>
        <v>bis 35 cm</v>
      </c>
      <c r="G499" s="93">
        <f>'II_Inkunabeln+'!X499</f>
        <v>0</v>
      </c>
      <c r="H499" s="93">
        <f>'II_Inkunabeln+'!AA499</f>
        <v>0</v>
      </c>
      <c r="I499" s="93">
        <f>'II_Inkunabeln+'!AC499</f>
        <v>0</v>
      </c>
      <c r="J499" s="94"/>
      <c r="K499" s="93">
        <f>'II_Inkunabeln+'!AD499</f>
        <v>0</v>
      </c>
      <c r="L499" s="94"/>
      <c r="M499" s="94"/>
      <c r="N499" s="94"/>
      <c r="O499" s="94"/>
      <c r="P499" s="94"/>
      <c r="Q499" s="94"/>
      <c r="R499" s="94"/>
      <c r="S499" s="94"/>
      <c r="T499" s="94"/>
      <c r="U499" s="94"/>
      <c r="V499" s="94"/>
      <c r="W499" s="94">
        <f>'II_Inkunabeln+'!BA499</f>
        <v>0</v>
      </c>
      <c r="X499" s="108"/>
      <c r="Y499" s="93">
        <f>'II_Inkunabeln+'!BI499</f>
        <v>0</v>
      </c>
      <c r="Z499" s="81">
        <f>'II_Inkunabeln+'!BJ499</f>
        <v>0</v>
      </c>
    </row>
    <row r="500" spans="1:26" x14ac:dyDescent="0.25">
      <c r="A500" s="63">
        <f>'II_Inkunabeln+'!A500</f>
        <v>477</v>
      </c>
      <c r="B500" s="63" t="str">
        <f>'II_Inkunabeln+'!B500</f>
        <v>L-1496-315496509</v>
      </c>
      <c r="C500" s="63">
        <f>'II_Inkunabeln+'!C500</f>
        <v>1066966214</v>
      </c>
      <c r="D500" s="84" t="str">
        <f>'II_Inkunabeln+'!D500</f>
        <v>https://portal.dnb.de/opac.htm?method=simpleSearch&amp;cqlMode=true&amp;query=idn%3D1066966214</v>
      </c>
      <c r="E500" s="65" t="str">
        <f>'II_Inkunabeln+'!E500</f>
        <v>II 30,15l</v>
      </c>
      <c r="F500" s="65" t="str">
        <f>'II_Inkunabeln+'!H500</f>
        <v>bis 35 cm</v>
      </c>
      <c r="G500" s="93">
        <f>'II_Inkunabeln+'!X500</f>
        <v>0</v>
      </c>
      <c r="H500" s="93">
        <f>'II_Inkunabeln+'!AA500</f>
        <v>0</v>
      </c>
      <c r="I500" s="93">
        <f>'II_Inkunabeln+'!AC500</f>
        <v>0</v>
      </c>
      <c r="J500" s="94"/>
      <c r="K500" s="93">
        <f>'II_Inkunabeln+'!AD500</f>
        <v>0</v>
      </c>
      <c r="L500" s="94"/>
      <c r="M500" s="94"/>
      <c r="N500" s="94"/>
      <c r="O500" s="94"/>
      <c r="P500" s="94"/>
      <c r="Q500" s="94"/>
      <c r="R500" s="94"/>
      <c r="S500" s="94"/>
      <c r="T500" s="94"/>
      <c r="U500" s="94"/>
      <c r="V500" s="94"/>
      <c r="W500" s="94">
        <f>'II_Inkunabeln+'!BA500</f>
        <v>0</v>
      </c>
      <c r="X500" s="108"/>
      <c r="Y500" s="93">
        <f>'II_Inkunabeln+'!BI500</f>
        <v>0</v>
      </c>
      <c r="Z500" s="81">
        <f>'II_Inkunabeln+'!BJ500</f>
        <v>0</v>
      </c>
    </row>
    <row r="501" spans="1:26" x14ac:dyDescent="0.25">
      <c r="A501" s="63">
        <f>'II_Inkunabeln+'!A501</f>
        <v>478</v>
      </c>
      <c r="B501" s="63" t="str">
        <f>'II_Inkunabeln+'!B501</f>
        <v>L-1497-315496592</v>
      </c>
      <c r="C501" s="63">
        <f>'II_Inkunabeln+'!C501</f>
        <v>1066966311</v>
      </c>
      <c r="D501" s="84" t="str">
        <f>'II_Inkunabeln+'!D501</f>
        <v>https://portal.dnb.de/opac.htm?method=simpleSearch&amp;cqlMode=true&amp;query=idn%3D1066966311</v>
      </c>
      <c r="E501" s="65" t="str">
        <f>'II_Inkunabeln+'!E501</f>
        <v>II 30,15m</v>
      </c>
      <c r="F501" s="65" t="str">
        <f>'II_Inkunabeln+'!H501</f>
        <v>bis 35 cm</v>
      </c>
      <c r="G501" s="93">
        <f>'II_Inkunabeln+'!X501</f>
        <v>0</v>
      </c>
      <c r="H501" s="93">
        <f>'II_Inkunabeln+'!AA501</f>
        <v>0</v>
      </c>
      <c r="I501" s="93">
        <f>'II_Inkunabeln+'!AC501</f>
        <v>0</v>
      </c>
      <c r="J501" s="94"/>
      <c r="K501" s="93">
        <f>'II_Inkunabeln+'!AD501</f>
        <v>0</v>
      </c>
      <c r="L501" s="94"/>
      <c r="M501" s="94"/>
      <c r="N501" s="94"/>
      <c r="O501" s="94"/>
      <c r="P501" s="94"/>
      <c r="Q501" s="94"/>
      <c r="R501" s="94"/>
      <c r="S501" s="94"/>
      <c r="T501" s="94"/>
      <c r="U501" s="94"/>
      <c r="V501" s="94"/>
      <c r="W501" s="94">
        <f>'II_Inkunabeln+'!BA501</f>
        <v>0</v>
      </c>
      <c r="X501" s="108"/>
      <c r="Y501" s="93">
        <f>'II_Inkunabeln+'!BI501</f>
        <v>0</v>
      </c>
      <c r="Z501" s="81">
        <f>'II_Inkunabeln+'!BJ501</f>
        <v>0</v>
      </c>
    </row>
    <row r="502" spans="1:26" x14ac:dyDescent="0.25">
      <c r="A502" s="63">
        <f>'II_Inkunabeln+'!A502</f>
        <v>479</v>
      </c>
      <c r="B502" s="63" t="str">
        <f>'II_Inkunabeln+'!B502</f>
        <v>L-1499-327280379</v>
      </c>
      <c r="C502" s="63">
        <f>'II_Inkunabeln+'!C502</f>
        <v>1072320894</v>
      </c>
      <c r="D502" s="84" t="str">
        <f>'II_Inkunabeln+'!D502</f>
        <v>https://portal.dnb.de/opac.htm?method=simpleSearch&amp;cqlMode=true&amp;query=idn%3D1072320894</v>
      </c>
      <c r="E502" s="65" t="str">
        <f>'II_Inkunabeln+'!E502</f>
        <v>II 30,15o</v>
      </c>
      <c r="F502" s="65" t="str">
        <f>'II_Inkunabeln+'!H502</f>
        <v>bis 25 cm</v>
      </c>
      <c r="G502" s="93">
        <f>'II_Inkunabeln+'!X502</f>
        <v>0</v>
      </c>
      <c r="H502" s="93">
        <f>'II_Inkunabeln+'!AA502</f>
        <v>0</v>
      </c>
      <c r="I502" s="93">
        <f>'II_Inkunabeln+'!AC502</f>
        <v>0</v>
      </c>
      <c r="J502" s="94"/>
      <c r="K502" s="93">
        <f>'II_Inkunabeln+'!AD502</f>
        <v>0</v>
      </c>
      <c r="L502" s="94"/>
      <c r="M502" s="94"/>
      <c r="N502" s="94"/>
      <c r="O502" s="94"/>
      <c r="P502" s="94"/>
      <c r="Q502" s="94"/>
      <c r="R502" s="94"/>
      <c r="S502" s="94"/>
      <c r="T502" s="94"/>
      <c r="U502" s="94"/>
      <c r="V502" s="94"/>
      <c r="W502" s="94">
        <f>'II_Inkunabeln+'!BA502</f>
        <v>0</v>
      </c>
      <c r="X502" s="108"/>
      <c r="Y502" s="93">
        <f>'II_Inkunabeln+'!BI502</f>
        <v>0</v>
      </c>
      <c r="Z502" s="81">
        <f>'II_Inkunabeln+'!BJ502</f>
        <v>0</v>
      </c>
    </row>
    <row r="503" spans="1:26" x14ac:dyDescent="0.25">
      <c r="A503" s="63">
        <f>'II_Inkunabeln+'!A503</f>
        <v>480</v>
      </c>
      <c r="B503" s="63" t="str">
        <f>'II_Inkunabeln+'!B503</f>
        <v>L-1487-327280646</v>
      </c>
      <c r="C503" s="63">
        <f>'II_Inkunabeln+'!C503</f>
        <v>1072321378</v>
      </c>
      <c r="D503" s="84" t="str">
        <f>'II_Inkunabeln+'!D503</f>
        <v>https://portal.dnb.de/opac.htm?method=simpleSearch&amp;cqlMode=true&amp;query=idn%3D1072321378</v>
      </c>
      <c r="E503" s="65" t="str">
        <f>'II_Inkunabeln+'!E503</f>
        <v>II 30,15p</v>
      </c>
      <c r="F503" s="65" t="str">
        <f>'II_Inkunabeln+'!H503</f>
        <v>bis 25 cm</v>
      </c>
      <c r="G503" s="93">
        <f>'II_Inkunabeln+'!X503</f>
        <v>0</v>
      </c>
      <c r="H503" s="93">
        <f>'II_Inkunabeln+'!AA503</f>
        <v>0</v>
      </c>
      <c r="I503" s="93">
        <f>'II_Inkunabeln+'!AC503</f>
        <v>0</v>
      </c>
      <c r="J503" s="94"/>
      <c r="K503" s="93">
        <f>'II_Inkunabeln+'!AD503</f>
        <v>0</v>
      </c>
      <c r="L503" s="94"/>
      <c r="M503" s="94"/>
      <c r="N503" s="94"/>
      <c r="O503" s="94"/>
      <c r="P503" s="94"/>
      <c r="Q503" s="94"/>
      <c r="R503" s="94"/>
      <c r="S503" s="94"/>
      <c r="T503" s="94"/>
      <c r="U503" s="94"/>
      <c r="V503" s="94"/>
      <c r="W503" s="94">
        <f>'II_Inkunabeln+'!BA503</f>
        <v>0</v>
      </c>
      <c r="X503" s="108"/>
      <c r="Y503" s="93">
        <f>'II_Inkunabeln+'!BI503</f>
        <v>0</v>
      </c>
      <c r="Z503" s="81">
        <f>'II_Inkunabeln+'!BJ503</f>
        <v>0</v>
      </c>
    </row>
    <row r="504" spans="1:26" x14ac:dyDescent="0.25">
      <c r="A504" s="63">
        <f>'II_Inkunabeln+'!A504</f>
        <v>481</v>
      </c>
      <c r="B504" s="63" t="str">
        <f>'II_Inkunabeln+'!B504</f>
        <v>L-1489-315498072</v>
      </c>
      <c r="C504" s="63">
        <f>'II_Inkunabeln+'!C504</f>
        <v>1066967806</v>
      </c>
      <c r="D504" s="84" t="str">
        <f>'II_Inkunabeln+'!D504</f>
        <v>https://portal.dnb.de/opac.htm?method=simpleSearch&amp;cqlMode=true&amp;query=idn%3D1066967806</v>
      </c>
      <c r="E504" s="65" t="str">
        <f>'II_Inkunabeln+'!E504</f>
        <v>II 30,16a</v>
      </c>
      <c r="F504" s="65">
        <f>'II_Inkunabeln+'!H504</f>
        <v>0</v>
      </c>
      <c r="G504" s="93">
        <f>'II_Inkunabeln+'!X504</f>
        <v>0</v>
      </c>
      <c r="H504" s="93">
        <f>'II_Inkunabeln+'!AA504</f>
        <v>0</v>
      </c>
      <c r="I504" s="93">
        <f>'II_Inkunabeln+'!AC504</f>
        <v>0</v>
      </c>
      <c r="J504" s="94"/>
      <c r="K504" s="93">
        <f>'II_Inkunabeln+'!AD504</f>
        <v>0</v>
      </c>
      <c r="L504" s="94"/>
      <c r="M504" s="94"/>
      <c r="N504" s="94"/>
      <c r="O504" s="94"/>
      <c r="P504" s="94"/>
      <c r="Q504" s="94"/>
      <c r="R504" s="94"/>
      <c r="S504" s="94"/>
      <c r="T504" s="94"/>
      <c r="U504" s="94"/>
      <c r="V504" s="94"/>
      <c r="W504" s="94">
        <f>'II_Inkunabeln+'!BA504</f>
        <v>0</v>
      </c>
      <c r="X504" s="108"/>
      <c r="Y504" s="93">
        <f>'II_Inkunabeln+'!BI504</f>
        <v>0</v>
      </c>
      <c r="Z504" s="81">
        <f>'II_Inkunabeln+'!BJ504</f>
        <v>0</v>
      </c>
    </row>
    <row r="505" spans="1:26" x14ac:dyDescent="0.25">
      <c r="A505" s="63">
        <f>'II_Inkunabeln+'!A505</f>
        <v>482</v>
      </c>
      <c r="B505" s="63" t="str">
        <f>'II_Inkunabeln+'!B505</f>
        <v>L-1500-315501693</v>
      </c>
      <c r="C505" s="63">
        <f>'II_Inkunabeln+'!C505</f>
        <v>1066971323</v>
      </c>
      <c r="D505" s="84" t="str">
        <f>'II_Inkunabeln+'!D505</f>
        <v>https://portal.dnb.de/opac.htm?method=simpleSearch&amp;cqlMode=true&amp;query=idn%3D1066971323</v>
      </c>
      <c r="E505" s="65" t="str">
        <f>'II_Inkunabeln+'!E505</f>
        <v>II 30,18a</v>
      </c>
      <c r="F505" s="65">
        <f>'II_Inkunabeln+'!H505</f>
        <v>0</v>
      </c>
      <c r="G505" s="93">
        <f>'II_Inkunabeln+'!X505</f>
        <v>0</v>
      </c>
      <c r="H505" s="93">
        <f>'II_Inkunabeln+'!AA505</f>
        <v>0</v>
      </c>
      <c r="I505" s="93">
        <f>'II_Inkunabeln+'!AC505</f>
        <v>0</v>
      </c>
      <c r="J505" s="94"/>
      <c r="K505" s="93">
        <f>'II_Inkunabeln+'!AD505</f>
        <v>0</v>
      </c>
      <c r="L505" s="94"/>
      <c r="M505" s="94"/>
      <c r="N505" s="94"/>
      <c r="O505" s="94"/>
      <c r="P505" s="94"/>
      <c r="Q505" s="94"/>
      <c r="R505" s="94"/>
      <c r="S505" s="94"/>
      <c r="T505" s="94"/>
      <c r="U505" s="94"/>
      <c r="V505" s="94"/>
      <c r="W505" s="94">
        <f>'II_Inkunabeln+'!BA505</f>
        <v>0</v>
      </c>
      <c r="X505" s="108"/>
      <c r="Y505" s="93">
        <f>'II_Inkunabeln+'!BI505</f>
        <v>0</v>
      </c>
      <c r="Z505" s="81">
        <f>'II_Inkunabeln+'!BJ505</f>
        <v>0</v>
      </c>
    </row>
    <row r="506" spans="1:26" x14ac:dyDescent="0.25">
      <c r="A506" s="63">
        <f>'II_Inkunabeln+'!A506</f>
        <v>483</v>
      </c>
      <c r="B506" s="63" t="str">
        <f>'II_Inkunabeln+'!B506</f>
        <v>L-1500-315497149</v>
      </c>
      <c r="C506" s="63">
        <f>'II_Inkunabeln+'!C506</f>
        <v>1066966842</v>
      </c>
      <c r="D506" s="84" t="str">
        <f>'II_Inkunabeln+'!D506</f>
        <v>https://portal.dnb.de/opac.htm?method=simpleSearch&amp;cqlMode=true&amp;query=idn%3D1066966842</v>
      </c>
      <c r="E506" s="65" t="str">
        <f>'II_Inkunabeln+'!E506</f>
        <v>II 30,18b</v>
      </c>
      <c r="F506" s="65">
        <f>'II_Inkunabeln+'!H506</f>
        <v>0</v>
      </c>
      <c r="G506" s="93">
        <f>'II_Inkunabeln+'!X506</f>
        <v>0</v>
      </c>
      <c r="H506" s="93">
        <f>'II_Inkunabeln+'!AA506</f>
        <v>0</v>
      </c>
      <c r="I506" s="93">
        <f>'II_Inkunabeln+'!AC506</f>
        <v>0</v>
      </c>
      <c r="J506" s="94"/>
      <c r="K506" s="93">
        <f>'II_Inkunabeln+'!AD506</f>
        <v>0</v>
      </c>
      <c r="L506" s="94"/>
      <c r="M506" s="94"/>
      <c r="N506" s="94"/>
      <c r="O506" s="94"/>
      <c r="P506" s="94"/>
      <c r="Q506" s="94"/>
      <c r="R506" s="94"/>
      <c r="S506" s="94"/>
      <c r="T506" s="94"/>
      <c r="U506" s="94"/>
      <c r="V506" s="94"/>
      <c r="W506" s="94">
        <f>'II_Inkunabeln+'!BA506</f>
        <v>0</v>
      </c>
      <c r="X506" s="108"/>
      <c r="Y506" s="93">
        <f>'II_Inkunabeln+'!BI506</f>
        <v>0</v>
      </c>
      <c r="Z506" s="81">
        <f>'II_Inkunabeln+'!BJ506</f>
        <v>0</v>
      </c>
    </row>
    <row r="507" spans="1:26" x14ac:dyDescent="0.25">
      <c r="A507" s="63">
        <f>'II_Inkunabeln+'!A507</f>
        <v>484</v>
      </c>
      <c r="B507" s="63" t="str">
        <f>'II_Inkunabeln+'!B507</f>
        <v>L-1499-315499249</v>
      </c>
      <c r="C507" s="63">
        <f>'II_Inkunabeln+'!C507</f>
        <v>1066968977</v>
      </c>
      <c r="D507" s="84" t="str">
        <f>'II_Inkunabeln+'!D507</f>
        <v>https://portal.dnb.de/opac.htm?method=simpleSearch&amp;cqlMode=true&amp;query=idn%3D1066968977</v>
      </c>
      <c r="E507" s="65" t="str">
        <f>'II_Inkunabeln+'!E507</f>
        <v>II 31,1a</v>
      </c>
      <c r="F507" s="65">
        <f>'II_Inkunabeln+'!H507</f>
        <v>0</v>
      </c>
      <c r="G507" s="93">
        <f>'II_Inkunabeln+'!X507</f>
        <v>0</v>
      </c>
      <c r="H507" s="93">
        <f>'II_Inkunabeln+'!AA507</f>
        <v>0</v>
      </c>
      <c r="I507" s="93">
        <f>'II_Inkunabeln+'!AC507</f>
        <v>0</v>
      </c>
      <c r="J507" s="94"/>
      <c r="K507" s="93">
        <f>'II_Inkunabeln+'!AD507</f>
        <v>0</v>
      </c>
      <c r="L507" s="94"/>
      <c r="M507" s="94"/>
      <c r="N507" s="94"/>
      <c r="O507" s="94"/>
      <c r="P507" s="94"/>
      <c r="Q507" s="94"/>
      <c r="R507" s="94"/>
      <c r="S507" s="94"/>
      <c r="T507" s="94"/>
      <c r="U507" s="94"/>
      <c r="V507" s="94"/>
      <c r="W507" s="94">
        <f>'II_Inkunabeln+'!BA507</f>
        <v>0</v>
      </c>
      <c r="X507" s="108"/>
      <c r="Y507" s="93">
        <f>'II_Inkunabeln+'!BI507</f>
        <v>0</v>
      </c>
      <c r="Z507" s="81">
        <f>'II_Inkunabeln+'!BJ507</f>
        <v>0</v>
      </c>
    </row>
    <row r="508" spans="1:26" x14ac:dyDescent="0.25">
      <c r="A508" s="63">
        <f>'II_Inkunabeln+'!A508</f>
        <v>485</v>
      </c>
      <c r="B508" s="63" t="str">
        <f>'II_Inkunabeln+'!B508</f>
        <v>L-1500-315497025</v>
      </c>
      <c r="C508" s="63">
        <f>'II_Inkunabeln+'!C508</f>
        <v>1066966729</v>
      </c>
      <c r="D508" s="84" t="str">
        <f>'II_Inkunabeln+'!D508</f>
        <v>https://portal.dnb.de/opac.htm?method=simpleSearch&amp;cqlMode=true&amp;query=idn%3D1066966729</v>
      </c>
      <c r="E508" s="65" t="str">
        <f>'II_Inkunabeln+'!E508</f>
        <v>II 31,1b</v>
      </c>
      <c r="F508" s="65">
        <f>'II_Inkunabeln+'!H508</f>
        <v>0</v>
      </c>
      <c r="G508" s="93">
        <f>'II_Inkunabeln+'!X508</f>
        <v>0</v>
      </c>
      <c r="H508" s="93">
        <f>'II_Inkunabeln+'!AA508</f>
        <v>0</v>
      </c>
      <c r="I508" s="93">
        <f>'II_Inkunabeln+'!AC508</f>
        <v>0</v>
      </c>
      <c r="J508" s="94"/>
      <c r="K508" s="93">
        <f>'II_Inkunabeln+'!AD508</f>
        <v>0</v>
      </c>
      <c r="L508" s="94"/>
      <c r="M508" s="94"/>
      <c r="N508" s="94"/>
      <c r="O508" s="94"/>
      <c r="P508" s="94"/>
      <c r="Q508" s="94"/>
      <c r="R508" s="94"/>
      <c r="S508" s="94"/>
      <c r="T508" s="94"/>
      <c r="U508" s="94"/>
      <c r="V508" s="94"/>
      <c r="W508" s="94">
        <f>'II_Inkunabeln+'!BA508</f>
        <v>0</v>
      </c>
      <c r="X508" s="108"/>
      <c r="Y508" s="93">
        <f>'II_Inkunabeln+'!BI508</f>
        <v>0</v>
      </c>
      <c r="Z508" s="81">
        <f>'II_Inkunabeln+'!BJ508</f>
        <v>0</v>
      </c>
    </row>
    <row r="509" spans="1:26" x14ac:dyDescent="0.25">
      <c r="A509" s="63">
        <f>'II_Inkunabeln+'!A509</f>
        <v>486</v>
      </c>
      <c r="B509" s="63" t="str">
        <f>'II_Inkunabeln+'!B509</f>
        <v>L-1498-315502789</v>
      </c>
      <c r="C509" s="63">
        <f>'II_Inkunabeln+'!C509</f>
        <v>1066972354</v>
      </c>
      <c r="D509" s="84" t="str">
        <f>'II_Inkunabeln+'!D509</f>
        <v>https://portal.dnb.de/opac.htm?method=simpleSearch&amp;cqlMode=true&amp;query=idn%3D1066972354</v>
      </c>
      <c r="E509" s="65" t="str">
        <f>'II_Inkunabeln+'!E509</f>
        <v>II 31,1c</v>
      </c>
      <c r="F509" s="65">
        <f>'II_Inkunabeln+'!H509</f>
        <v>0</v>
      </c>
      <c r="G509" s="93">
        <f>'II_Inkunabeln+'!X509</f>
        <v>0</v>
      </c>
      <c r="H509" s="93">
        <f>'II_Inkunabeln+'!AA509</f>
        <v>0</v>
      </c>
      <c r="I509" s="93">
        <f>'II_Inkunabeln+'!AC509</f>
        <v>0</v>
      </c>
      <c r="J509" s="94"/>
      <c r="K509" s="93">
        <f>'II_Inkunabeln+'!AD509</f>
        <v>0</v>
      </c>
      <c r="L509" s="94"/>
      <c r="M509" s="94"/>
      <c r="N509" s="94"/>
      <c r="O509" s="94"/>
      <c r="P509" s="94"/>
      <c r="Q509" s="94"/>
      <c r="R509" s="94"/>
      <c r="S509" s="94"/>
      <c r="T509" s="94"/>
      <c r="U509" s="94"/>
      <c r="V509" s="94"/>
      <c r="W509" s="94">
        <f>'II_Inkunabeln+'!BA509</f>
        <v>0</v>
      </c>
      <c r="X509" s="108"/>
      <c r="Y509" s="93">
        <f>'II_Inkunabeln+'!BI509</f>
        <v>0</v>
      </c>
      <c r="Z509" s="81">
        <f>'II_Inkunabeln+'!BJ509</f>
        <v>0</v>
      </c>
    </row>
    <row r="510" spans="1:26" x14ac:dyDescent="0.25">
      <c r="A510" s="63">
        <f>'II_Inkunabeln+'!A510</f>
        <v>487</v>
      </c>
      <c r="B510" s="63" t="str">
        <f>'II_Inkunabeln+'!B510</f>
        <v>L-1474-315496479</v>
      </c>
      <c r="C510" s="63">
        <f>'II_Inkunabeln+'!C510</f>
        <v>1066966176</v>
      </c>
      <c r="D510" s="84" t="str">
        <f>'II_Inkunabeln+'!D510</f>
        <v>https://portal.dnb.de/opac.htm?method=simpleSearch&amp;cqlMode=true&amp;query=idn%3D1066966176</v>
      </c>
      <c r="E510" s="65" t="str">
        <f>'II_Inkunabeln+'!E510</f>
        <v>II 32,1 b</v>
      </c>
      <c r="F510" s="65">
        <f>'II_Inkunabeln+'!H510</f>
        <v>0</v>
      </c>
      <c r="G510" s="93">
        <f>'II_Inkunabeln+'!X510</f>
        <v>0</v>
      </c>
      <c r="H510" s="93">
        <f>'II_Inkunabeln+'!AA510</f>
        <v>0</v>
      </c>
      <c r="I510" s="93">
        <f>'II_Inkunabeln+'!AC510</f>
        <v>0</v>
      </c>
      <c r="J510" s="94"/>
      <c r="K510" s="93">
        <f>'II_Inkunabeln+'!AD510</f>
        <v>0</v>
      </c>
      <c r="L510" s="94"/>
      <c r="M510" s="94"/>
      <c r="N510" s="94"/>
      <c r="O510" s="94"/>
      <c r="P510" s="94"/>
      <c r="Q510" s="94"/>
      <c r="R510" s="94"/>
      <c r="S510" s="94"/>
      <c r="T510" s="94"/>
      <c r="U510" s="94"/>
      <c r="V510" s="94"/>
      <c r="W510" s="94">
        <f>'II_Inkunabeln+'!BA510</f>
        <v>0</v>
      </c>
      <c r="X510" s="108"/>
      <c r="Y510" s="93">
        <f>'II_Inkunabeln+'!BI510</f>
        <v>0</v>
      </c>
      <c r="Z510" s="81">
        <f>'II_Inkunabeln+'!BJ510</f>
        <v>0</v>
      </c>
    </row>
    <row r="511" spans="1:26" x14ac:dyDescent="0.25">
      <c r="A511" s="63">
        <f>'II_Inkunabeln+'!A511</f>
        <v>488</v>
      </c>
      <c r="B511" s="63" t="str">
        <f>'II_Inkunabeln+'!B511</f>
        <v>L-1473-315498161</v>
      </c>
      <c r="C511" s="63">
        <f>'II_Inkunabeln+'!C511</f>
        <v>1066967911</v>
      </c>
      <c r="D511" s="84" t="str">
        <f>'II_Inkunabeln+'!D511</f>
        <v>https://portal.dnb.de/opac.htm?method=simpleSearch&amp;cqlMode=true&amp;query=idn%3D1066967911</v>
      </c>
      <c r="E511" s="65" t="str">
        <f>'II_Inkunabeln+'!E511</f>
        <v>II 32,1a</v>
      </c>
      <c r="F511" s="65">
        <f>'II_Inkunabeln+'!H511</f>
        <v>0</v>
      </c>
      <c r="G511" s="93">
        <f>'II_Inkunabeln+'!X511</f>
        <v>0</v>
      </c>
      <c r="H511" s="93">
        <f>'II_Inkunabeln+'!AA511</f>
        <v>0</v>
      </c>
      <c r="I511" s="93">
        <f>'II_Inkunabeln+'!AC511</f>
        <v>0</v>
      </c>
      <c r="J511" s="94"/>
      <c r="K511" s="93">
        <f>'II_Inkunabeln+'!AD511</f>
        <v>0</v>
      </c>
      <c r="L511" s="94"/>
      <c r="M511" s="94"/>
      <c r="N511" s="94"/>
      <c r="O511" s="94"/>
      <c r="P511" s="94"/>
      <c r="Q511" s="94"/>
      <c r="R511" s="94"/>
      <c r="S511" s="94"/>
      <c r="T511" s="94"/>
      <c r="U511" s="94"/>
      <c r="V511" s="94"/>
      <c r="W511" s="94">
        <f>'II_Inkunabeln+'!BA511</f>
        <v>0</v>
      </c>
      <c r="X511" s="108"/>
      <c r="Y511" s="93">
        <f>'II_Inkunabeln+'!BI511</f>
        <v>0</v>
      </c>
      <c r="Z511" s="81">
        <f>'II_Inkunabeln+'!BJ511</f>
        <v>0</v>
      </c>
    </row>
    <row r="512" spans="1:26" x14ac:dyDescent="0.25">
      <c r="A512" s="63">
        <f>'II_Inkunabeln+'!A512</f>
        <v>489</v>
      </c>
      <c r="B512" s="63" t="str">
        <f>'II_Inkunabeln+'!B512</f>
        <v>L-1475-315498188</v>
      </c>
      <c r="C512" s="63" t="str">
        <f>'II_Inkunabeln+'!C512</f>
        <v>106696792X</v>
      </c>
      <c r="D512" s="84" t="str">
        <f>'II_Inkunabeln+'!D512</f>
        <v>https://portal.dnb.de/opac.htm?method=simpleSearch&amp;cqlMode=true&amp;query=idn%3D106696792X</v>
      </c>
      <c r="E512" s="65" t="str">
        <f>'II_Inkunabeln+'!E512</f>
        <v>II 32,1c</v>
      </c>
      <c r="F512" s="65">
        <f>'II_Inkunabeln+'!H512</f>
        <v>0</v>
      </c>
      <c r="G512" s="93">
        <f>'II_Inkunabeln+'!X512</f>
        <v>0</v>
      </c>
      <c r="H512" s="93">
        <f>'II_Inkunabeln+'!AA512</f>
        <v>0</v>
      </c>
      <c r="I512" s="93">
        <f>'II_Inkunabeln+'!AC512</f>
        <v>0</v>
      </c>
      <c r="J512" s="94"/>
      <c r="K512" s="93">
        <f>'II_Inkunabeln+'!AD512</f>
        <v>0</v>
      </c>
      <c r="L512" s="94"/>
      <c r="M512" s="94"/>
      <c r="N512" s="94"/>
      <c r="O512" s="94"/>
      <c r="P512" s="94"/>
      <c r="Q512" s="94"/>
      <c r="R512" s="94"/>
      <c r="S512" s="94"/>
      <c r="T512" s="94"/>
      <c r="U512" s="94"/>
      <c r="V512" s="94"/>
      <c r="W512" s="94">
        <f>'II_Inkunabeln+'!BA512</f>
        <v>0</v>
      </c>
      <c r="X512" s="108"/>
      <c r="Y512" s="93">
        <f>'II_Inkunabeln+'!BI512</f>
        <v>0</v>
      </c>
      <c r="Z512" s="81">
        <f>'II_Inkunabeln+'!BJ512</f>
        <v>0</v>
      </c>
    </row>
    <row r="513" spans="1:26" x14ac:dyDescent="0.25">
      <c r="A513" s="63">
        <f>'II_Inkunabeln+'!A513</f>
        <v>490</v>
      </c>
      <c r="B513" s="63" t="str">
        <f>'II_Inkunabeln+'!B513</f>
        <v>L-1475-315498196</v>
      </c>
      <c r="C513" s="63" t="str">
        <f>'II_Inkunabeln+'!C513</f>
        <v>106696792X</v>
      </c>
      <c r="D513" s="84" t="str">
        <f>'II_Inkunabeln+'!D513</f>
        <v>https://portal.dnb.de/opac.htm?method=simpleSearch&amp;cqlMode=true&amp;query=idn%3D106696792X</v>
      </c>
      <c r="E513" s="65" t="str">
        <f>'II_Inkunabeln+'!E513</f>
        <v>II 32,1ca - Fragm.</v>
      </c>
      <c r="F513" s="65">
        <f>'II_Inkunabeln+'!H513</f>
        <v>0</v>
      </c>
      <c r="G513" s="93">
        <f>'II_Inkunabeln+'!X513</f>
        <v>0</v>
      </c>
      <c r="H513" s="93">
        <f>'II_Inkunabeln+'!AA513</f>
        <v>0</v>
      </c>
      <c r="I513" s="93">
        <f>'II_Inkunabeln+'!AC513</f>
        <v>0</v>
      </c>
      <c r="J513" s="94"/>
      <c r="K513" s="93">
        <f>'II_Inkunabeln+'!AD513</f>
        <v>0</v>
      </c>
      <c r="L513" s="94"/>
      <c r="M513" s="94"/>
      <c r="N513" s="94"/>
      <c r="O513" s="94"/>
      <c r="P513" s="94"/>
      <c r="Q513" s="94"/>
      <c r="R513" s="94"/>
      <c r="S513" s="94"/>
      <c r="T513" s="94"/>
      <c r="U513" s="94"/>
      <c r="V513" s="94"/>
      <c r="W513" s="94">
        <f>'II_Inkunabeln+'!BA513</f>
        <v>0</v>
      </c>
      <c r="X513" s="108"/>
      <c r="Y513" s="93">
        <f>'II_Inkunabeln+'!BI513</f>
        <v>0</v>
      </c>
      <c r="Z513" s="81">
        <f>'II_Inkunabeln+'!BJ513</f>
        <v>0</v>
      </c>
    </row>
    <row r="514" spans="1:26" x14ac:dyDescent="0.25">
      <c r="A514" s="63">
        <f>'II_Inkunabeln+'!A514</f>
        <v>491</v>
      </c>
      <c r="B514" s="63" t="str">
        <f>'II_Inkunabeln+'!B514</f>
        <v>L-1475-31549705X</v>
      </c>
      <c r="C514" s="63">
        <f>'II_Inkunabeln+'!C514</f>
        <v>1066966753</v>
      </c>
      <c r="D514" s="84" t="str">
        <f>'II_Inkunabeln+'!D514</f>
        <v>https://portal.dnb.de/opac.htm?method=simpleSearch&amp;cqlMode=true&amp;query=idn%3D1066966753</v>
      </c>
      <c r="E514" s="65" t="str">
        <f>'II_Inkunabeln+'!E514</f>
        <v>II 32,1d</v>
      </c>
      <c r="F514" s="65">
        <f>'II_Inkunabeln+'!H514</f>
        <v>0</v>
      </c>
      <c r="G514" s="93">
        <f>'II_Inkunabeln+'!X514</f>
        <v>0</v>
      </c>
      <c r="H514" s="93">
        <f>'II_Inkunabeln+'!AA514</f>
        <v>0</v>
      </c>
      <c r="I514" s="93">
        <f>'II_Inkunabeln+'!AC514</f>
        <v>0</v>
      </c>
      <c r="J514" s="94"/>
      <c r="K514" s="93">
        <f>'II_Inkunabeln+'!AD514</f>
        <v>0</v>
      </c>
      <c r="L514" s="94"/>
      <c r="M514" s="94"/>
      <c r="N514" s="94"/>
      <c r="O514" s="94"/>
      <c r="P514" s="94"/>
      <c r="Q514" s="94"/>
      <c r="R514" s="94"/>
      <c r="S514" s="94"/>
      <c r="T514" s="94"/>
      <c r="U514" s="94"/>
      <c r="V514" s="94"/>
      <c r="W514" s="94">
        <f>'II_Inkunabeln+'!BA514</f>
        <v>0</v>
      </c>
      <c r="X514" s="108"/>
      <c r="Y514" s="93">
        <f>'II_Inkunabeln+'!BI514</f>
        <v>0</v>
      </c>
      <c r="Z514" s="81">
        <f>'II_Inkunabeln+'!BJ514</f>
        <v>0</v>
      </c>
    </row>
    <row r="515" spans="1:26" x14ac:dyDescent="0.25">
      <c r="A515" s="63">
        <f>'II_Inkunabeln+'!A515</f>
        <v>492</v>
      </c>
      <c r="B515" s="63" t="str">
        <f>'II_Inkunabeln+'!B515</f>
        <v>L-1480-315500476</v>
      </c>
      <c r="C515" s="63">
        <f>'II_Inkunabeln+'!C515</f>
        <v>1066970130</v>
      </c>
      <c r="D515" s="84" t="str">
        <f>'II_Inkunabeln+'!D515</f>
        <v>https://portal.dnb.de/opac.htm?method=simpleSearch&amp;cqlMode=true&amp;query=idn%3D1066970130</v>
      </c>
      <c r="E515" s="65" t="str">
        <f>'II_Inkunabeln+'!E515</f>
        <v>II 32,1e</v>
      </c>
      <c r="F515" s="65">
        <f>'II_Inkunabeln+'!H515</f>
        <v>0</v>
      </c>
      <c r="G515" s="93">
        <f>'II_Inkunabeln+'!X515</f>
        <v>0</v>
      </c>
      <c r="H515" s="93">
        <f>'II_Inkunabeln+'!AA515</f>
        <v>0</v>
      </c>
      <c r="I515" s="93">
        <f>'II_Inkunabeln+'!AC515</f>
        <v>0</v>
      </c>
      <c r="J515" s="94"/>
      <c r="K515" s="93">
        <f>'II_Inkunabeln+'!AD515</f>
        <v>0</v>
      </c>
      <c r="L515" s="94"/>
      <c r="M515" s="94"/>
      <c r="N515" s="94"/>
      <c r="O515" s="94"/>
      <c r="P515" s="94"/>
      <c r="Q515" s="94"/>
      <c r="R515" s="94"/>
      <c r="S515" s="94"/>
      <c r="T515" s="94"/>
      <c r="U515" s="94"/>
      <c r="V515" s="94"/>
      <c r="W515" s="94">
        <f>'II_Inkunabeln+'!BA515</f>
        <v>0</v>
      </c>
      <c r="X515" s="108"/>
      <c r="Y515" s="93">
        <f>'II_Inkunabeln+'!BI515</f>
        <v>0</v>
      </c>
      <c r="Z515" s="81">
        <f>'II_Inkunabeln+'!BJ515</f>
        <v>0</v>
      </c>
    </row>
    <row r="516" spans="1:26" x14ac:dyDescent="0.25">
      <c r="A516" s="63">
        <f>'II_Inkunabeln+'!A516</f>
        <v>493</v>
      </c>
      <c r="B516" s="63" t="str">
        <f>'II_Inkunabeln+'!B516</f>
        <v>L-1481-315502622</v>
      </c>
      <c r="C516" s="63">
        <f>'II_Inkunabeln+'!C516</f>
        <v>1066972206</v>
      </c>
      <c r="D516" s="84" t="str">
        <f>'II_Inkunabeln+'!D516</f>
        <v>https://portal.dnb.de/opac.htm?method=simpleSearch&amp;cqlMode=true&amp;query=idn%3D1066972206</v>
      </c>
      <c r="E516" s="65" t="str">
        <f>'II_Inkunabeln+'!E516</f>
        <v>II 32,1f</v>
      </c>
      <c r="F516" s="65">
        <f>'II_Inkunabeln+'!H516</f>
        <v>0</v>
      </c>
      <c r="G516" s="93">
        <f>'II_Inkunabeln+'!X516</f>
        <v>0</v>
      </c>
      <c r="H516" s="93">
        <f>'II_Inkunabeln+'!AA516</f>
        <v>0</v>
      </c>
      <c r="I516" s="93">
        <f>'II_Inkunabeln+'!AC516</f>
        <v>0</v>
      </c>
      <c r="J516" s="94"/>
      <c r="K516" s="93">
        <f>'II_Inkunabeln+'!AD516</f>
        <v>0</v>
      </c>
      <c r="L516" s="94"/>
      <c r="M516" s="94"/>
      <c r="N516" s="94"/>
      <c r="O516" s="94"/>
      <c r="P516" s="94"/>
      <c r="Q516" s="94"/>
      <c r="R516" s="94"/>
      <c r="S516" s="94"/>
      <c r="T516" s="94"/>
      <c r="U516" s="94"/>
      <c r="V516" s="94"/>
      <c r="W516" s="94">
        <f>'II_Inkunabeln+'!BA516</f>
        <v>0</v>
      </c>
      <c r="X516" s="108"/>
      <c r="Y516" s="93">
        <f>'II_Inkunabeln+'!BI516</f>
        <v>0</v>
      </c>
      <c r="Z516" s="81">
        <f>'II_Inkunabeln+'!BJ516</f>
        <v>0</v>
      </c>
    </row>
    <row r="517" spans="1:26" x14ac:dyDescent="0.25">
      <c r="A517" s="63">
        <f>'II_Inkunabeln+'!A517</f>
        <v>494</v>
      </c>
      <c r="B517" s="63" t="str">
        <f>'II_Inkunabeln+'!B517</f>
        <v>L-1473-31550028X</v>
      </c>
      <c r="C517" s="63">
        <f>'II_Inkunabeln+'!C517</f>
        <v>1066969949</v>
      </c>
      <c r="D517" s="84" t="str">
        <f>'II_Inkunabeln+'!D517</f>
        <v>https://portal.dnb.de/opac.htm?method=simpleSearch&amp;cqlMode=true&amp;query=idn%3D1066969949</v>
      </c>
      <c r="E517" s="65" t="str">
        <f>'II_Inkunabeln+'!E517</f>
        <v>II 32,1h</v>
      </c>
      <c r="F517" s="65">
        <f>'II_Inkunabeln+'!H517</f>
        <v>0</v>
      </c>
      <c r="G517" s="93">
        <f>'II_Inkunabeln+'!X517</f>
        <v>0</v>
      </c>
      <c r="H517" s="93">
        <f>'II_Inkunabeln+'!AA517</f>
        <v>0</v>
      </c>
      <c r="I517" s="93">
        <f>'II_Inkunabeln+'!AC517</f>
        <v>0</v>
      </c>
      <c r="J517" s="94"/>
      <c r="K517" s="93">
        <f>'II_Inkunabeln+'!AD517</f>
        <v>0</v>
      </c>
      <c r="L517" s="94"/>
      <c r="M517" s="94"/>
      <c r="N517" s="94"/>
      <c r="O517" s="94"/>
      <c r="P517" s="94"/>
      <c r="Q517" s="94"/>
      <c r="R517" s="94"/>
      <c r="S517" s="94"/>
      <c r="T517" s="94"/>
      <c r="U517" s="94"/>
      <c r="V517" s="94"/>
      <c r="W517" s="94">
        <f>'II_Inkunabeln+'!BA517</f>
        <v>0</v>
      </c>
      <c r="X517" s="108"/>
      <c r="Y517" s="93">
        <f>'II_Inkunabeln+'!BI517</f>
        <v>0</v>
      </c>
      <c r="Z517" s="81">
        <f>'II_Inkunabeln+'!BJ517</f>
        <v>0</v>
      </c>
    </row>
    <row r="518" spans="1:26" x14ac:dyDescent="0.25">
      <c r="A518" s="63">
        <f>'II_Inkunabeln+'!A518</f>
        <v>495</v>
      </c>
      <c r="B518" s="63" t="str">
        <f>'II_Inkunabeln+'!B518</f>
        <v>L-1481-315499591</v>
      </c>
      <c r="C518" s="63">
        <f>'II_Inkunabeln+'!C518</f>
        <v>1066969280</v>
      </c>
      <c r="D518" s="84" t="str">
        <f>'II_Inkunabeln+'!D518</f>
        <v>https://portal.dnb.de/opac.htm?method=simpleSearch&amp;cqlMode=true&amp;query=idn%3D1066969280</v>
      </c>
      <c r="E518" s="65" t="str">
        <f>'II_Inkunabeln+'!E518</f>
        <v>II 32,1i</v>
      </c>
      <c r="F518" s="65">
        <f>'II_Inkunabeln+'!H518</f>
        <v>0</v>
      </c>
      <c r="G518" s="93">
        <f>'II_Inkunabeln+'!X518</f>
        <v>0</v>
      </c>
      <c r="H518" s="93">
        <f>'II_Inkunabeln+'!AA518</f>
        <v>0</v>
      </c>
      <c r="I518" s="93">
        <f>'II_Inkunabeln+'!AC518</f>
        <v>0</v>
      </c>
      <c r="J518" s="94"/>
      <c r="K518" s="93">
        <f>'II_Inkunabeln+'!AD518</f>
        <v>0</v>
      </c>
      <c r="L518" s="94"/>
      <c r="M518" s="94"/>
      <c r="N518" s="94"/>
      <c r="O518" s="94"/>
      <c r="P518" s="94"/>
      <c r="Q518" s="94"/>
      <c r="R518" s="94"/>
      <c r="S518" s="94"/>
      <c r="T518" s="94"/>
      <c r="U518" s="94"/>
      <c r="V518" s="94"/>
      <c r="W518" s="94">
        <f>'II_Inkunabeln+'!BA518</f>
        <v>0</v>
      </c>
      <c r="X518" s="108"/>
      <c r="Y518" s="93">
        <f>'II_Inkunabeln+'!BI518</f>
        <v>0</v>
      </c>
      <c r="Z518" s="81">
        <f>'II_Inkunabeln+'!BJ518</f>
        <v>0</v>
      </c>
    </row>
    <row r="519" spans="1:26" x14ac:dyDescent="0.25">
      <c r="A519" s="63">
        <f>'II_Inkunabeln+'!A519</f>
        <v>496</v>
      </c>
      <c r="B519" s="63" t="str">
        <f>'II_Inkunabeln+'!B519</f>
        <v>L-1484-315500301</v>
      </c>
      <c r="C519" s="63">
        <f>'II_Inkunabeln+'!C519</f>
        <v>1066969965</v>
      </c>
      <c r="D519" s="84" t="str">
        <f>'II_Inkunabeln+'!D519</f>
        <v>https://portal.dnb.de/opac.htm?method=simpleSearch&amp;cqlMode=true&amp;query=idn%3D1066969965</v>
      </c>
      <c r="E519" s="65" t="str">
        <f>'II_Inkunabeln+'!E519</f>
        <v>II 32,2ab</v>
      </c>
      <c r="F519" s="65">
        <f>'II_Inkunabeln+'!H519</f>
        <v>0</v>
      </c>
      <c r="G519" s="93">
        <f>'II_Inkunabeln+'!X519</f>
        <v>0</v>
      </c>
      <c r="H519" s="93">
        <f>'II_Inkunabeln+'!AA519</f>
        <v>0</v>
      </c>
      <c r="I519" s="93">
        <f>'II_Inkunabeln+'!AC519</f>
        <v>0</v>
      </c>
      <c r="J519" s="94"/>
      <c r="K519" s="93">
        <f>'II_Inkunabeln+'!AD519</f>
        <v>0</v>
      </c>
      <c r="L519" s="94"/>
      <c r="M519" s="94"/>
      <c r="N519" s="94"/>
      <c r="O519" s="94"/>
      <c r="P519" s="94"/>
      <c r="Q519" s="94"/>
      <c r="R519" s="94"/>
      <c r="S519" s="94"/>
      <c r="T519" s="94"/>
      <c r="U519" s="94"/>
      <c r="V519" s="94"/>
      <c r="W519" s="94">
        <f>'II_Inkunabeln+'!BA519</f>
        <v>0</v>
      </c>
      <c r="X519" s="108"/>
      <c r="Y519" s="93">
        <f>'II_Inkunabeln+'!BI519</f>
        <v>0</v>
      </c>
      <c r="Z519" s="81">
        <f>'II_Inkunabeln+'!BJ519</f>
        <v>0</v>
      </c>
    </row>
    <row r="520" spans="1:26" x14ac:dyDescent="0.25">
      <c r="A520" s="63">
        <f>'II_Inkunabeln+'!A520</f>
        <v>497</v>
      </c>
      <c r="B520" s="63" t="str">
        <f>'II_Inkunabeln+'!B520</f>
        <v>L-1486-315499206</v>
      </c>
      <c r="C520" s="63">
        <f>'II_Inkunabeln+'!C520</f>
        <v>1066968926</v>
      </c>
      <c r="D520" s="84" t="str">
        <f>'II_Inkunabeln+'!D520</f>
        <v>https://portal.dnb.de/opac.htm?method=simpleSearch&amp;cqlMode=true&amp;query=idn%3D1066968926</v>
      </c>
      <c r="E520" s="65" t="str">
        <f>'II_Inkunabeln+'!E520</f>
        <v>II 32,2b</v>
      </c>
      <c r="F520" s="65">
        <f>'II_Inkunabeln+'!H520</f>
        <v>0</v>
      </c>
      <c r="G520" s="93">
        <f>'II_Inkunabeln+'!X520</f>
        <v>0</v>
      </c>
      <c r="H520" s="93">
        <f>'II_Inkunabeln+'!AA520</f>
        <v>0</v>
      </c>
      <c r="I520" s="93">
        <f>'II_Inkunabeln+'!AC520</f>
        <v>0</v>
      </c>
      <c r="J520" s="94"/>
      <c r="K520" s="93">
        <f>'II_Inkunabeln+'!AD520</f>
        <v>0</v>
      </c>
      <c r="L520" s="94"/>
      <c r="M520" s="94"/>
      <c r="N520" s="94"/>
      <c r="O520" s="94"/>
      <c r="P520" s="94"/>
      <c r="Q520" s="94"/>
      <c r="R520" s="94"/>
      <c r="S520" s="94"/>
      <c r="T520" s="94"/>
      <c r="U520" s="94"/>
      <c r="V520" s="94"/>
      <c r="W520" s="94">
        <f>'II_Inkunabeln+'!BA520</f>
        <v>0</v>
      </c>
      <c r="X520" s="108"/>
      <c r="Y520" s="93">
        <f>'II_Inkunabeln+'!BI520</f>
        <v>0</v>
      </c>
      <c r="Z520" s="81">
        <f>'II_Inkunabeln+'!BJ520</f>
        <v>0</v>
      </c>
    </row>
    <row r="521" spans="1:26" x14ac:dyDescent="0.25">
      <c r="A521" s="63">
        <f>'II_Inkunabeln+'!A521</f>
        <v>498</v>
      </c>
      <c r="B521" s="63" t="str">
        <f>'II_Inkunabeln+'!B521</f>
        <v>L-1488-315500107</v>
      </c>
      <c r="C521" s="63">
        <f>'II_Inkunabeln+'!C521</f>
        <v>1066969760</v>
      </c>
      <c r="D521" s="84" t="str">
        <f>'II_Inkunabeln+'!D521</f>
        <v>https://portal.dnb.de/opac.htm?method=simpleSearch&amp;cqlMode=true&amp;query=idn%3D1066969760</v>
      </c>
      <c r="E521" s="65" t="str">
        <f>'II_Inkunabeln+'!E521</f>
        <v>II 32,2c</v>
      </c>
      <c r="F521" s="65">
        <f>'II_Inkunabeln+'!H521</f>
        <v>0</v>
      </c>
      <c r="G521" s="93">
        <f>'II_Inkunabeln+'!X521</f>
        <v>0</v>
      </c>
      <c r="H521" s="93">
        <f>'II_Inkunabeln+'!AA521</f>
        <v>0</v>
      </c>
      <c r="I521" s="93">
        <f>'II_Inkunabeln+'!AC521</f>
        <v>0</v>
      </c>
      <c r="J521" s="94"/>
      <c r="K521" s="93">
        <f>'II_Inkunabeln+'!AD521</f>
        <v>0</v>
      </c>
      <c r="L521" s="94"/>
      <c r="M521" s="94"/>
      <c r="N521" s="94"/>
      <c r="O521" s="94"/>
      <c r="P521" s="94"/>
      <c r="Q521" s="94"/>
      <c r="R521" s="94"/>
      <c r="S521" s="94"/>
      <c r="T521" s="94"/>
      <c r="U521" s="94"/>
      <c r="V521" s="94"/>
      <c r="W521" s="94">
        <f>'II_Inkunabeln+'!BA521</f>
        <v>0</v>
      </c>
      <c r="X521" s="108"/>
      <c r="Y521" s="93">
        <f>'II_Inkunabeln+'!BI521</f>
        <v>0</v>
      </c>
      <c r="Z521" s="81">
        <f>'II_Inkunabeln+'!BJ521</f>
        <v>0</v>
      </c>
    </row>
    <row r="522" spans="1:26" x14ac:dyDescent="0.25">
      <c r="A522" s="63">
        <f>'II_Inkunabeln+'!A522</f>
        <v>499</v>
      </c>
      <c r="B522" s="63" t="str">
        <f>'II_Inkunabeln+'!B522</f>
        <v>L-1488-315499664</v>
      </c>
      <c r="C522" s="63">
        <f>'II_Inkunabeln+'!C522</f>
        <v>1066969337</v>
      </c>
      <c r="D522" s="84" t="str">
        <f>'II_Inkunabeln+'!D522</f>
        <v>https://portal.dnb.de/opac.htm?method=simpleSearch&amp;cqlMode=true&amp;query=idn%3D1066969337</v>
      </c>
      <c r="E522" s="65" t="str">
        <f>'II_Inkunabeln+'!E522</f>
        <v>II 32,2d</v>
      </c>
      <c r="F522" s="65">
        <f>'II_Inkunabeln+'!H522</f>
        <v>0</v>
      </c>
      <c r="G522" s="93">
        <f>'II_Inkunabeln+'!X522</f>
        <v>0</v>
      </c>
      <c r="H522" s="93">
        <f>'II_Inkunabeln+'!AA522</f>
        <v>0</v>
      </c>
      <c r="I522" s="93">
        <f>'II_Inkunabeln+'!AC522</f>
        <v>0</v>
      </c>
      <c r="J522" s="94"/>
      <c r="K522" s="93">
        <f>'II_Inkunabeln+'!AD522</f>
        <v>0</v>
      </c>
      <c r="L522" s="94"/>
      <c r="M522" s="94"/>
      <c r="N522" s="94"/>
      <c r="O522" s="94"/>
      <c r="P522" s="94"/>
      <c r="Q522" s="94"/>
      <c r="R522" s="94"/>
      <c r="S522" s="94"/>
      <c r="T522" s="94"/>
      <c r="U522" s="94"/>
      <c r="V522" s="94"/>
      <c r="W522" s="94">
        <f>'II_Inkunabeln+'!BA522</f>
        <v>0</v>
      </c>
      <c r="X522" s="108"/>
      <c r="Y522" s="93">
        <f>'II_Inkunabeln+'!BI522</f>
        <v>0</v>
      </c>
      <c r="Z522" s="81">
        <f>'II_Inkunabeln+'!BJ522</f>
        <v>0</v>
      </c>
    </row>
    <row r="523" spans="1:26" x14ac:dyDescent="0.25">
      <c r="A523" s="63">
        <f>'II_Inkunabeln+'!A523</f>
        <v>500</v>
      </c>
      <c r="B523" s="63" t="str">
        <f>'II_Inkunabeln+'!B523</f>
        <v>L-1488-444452109</v>
      </c>
      <c r="C523" s="63">
        <f>'II_Inkunabeln+'!C523</f>
        <v>1066969337</v>
      </c>
      <c r="D523" s="84" t="str">
        <f>'II_Inkunabeln+'!D523</f>
        <v>https://portal.dnb.de/opac.htm?method=simpleSearch&amp;cqlMode=true&amp;query=idn%3D1066969337</v>
      </c>
      <c r="E523" s="65" t="str">
        <f>'II_Inkunabeln+'!E523</f>
        <v>II 32,2da</v>
      </c>
      <c r="F523" s="65">
        <f>'II_Inkunabeln+'!H523</f>
        <v>0</v>
      </c>
      <c r="G523" s="93">
        <f>'II_Inkunabeln+'!X523</f>
        <v>0</v>
      </c>
      <c r="H523" s="93">
        <f>'II_Inkunabeln+'!AA523</f>
        <v>0</v>
      </c>
      <c r="I523" s="93">
        <f>'II_Inkunabeln+'!AC523</f>
        <v>0</v>
      </c>
      <c r="J523" s="94"/>
      <c r="K523" s="93">
        <f>'II_Inkunabeln+'!AD523</f>
        <v>0</v>
      </c>
      <c r="L523" s="94"/>
      <c r="M523" s="94"/>
      <c r="N523" s="94"/>
      <c r="O523" s="94"/>
      <c r="P523" s="94"/>
      <c r="Q523" s="94"/>
      <c r="R523" s="94"/>
      <c r="S523" s="94"/>
      <c r="T523" s="94"/>
      <c r="U523" s="94"/>
      <c r="V523" s="94"/>
      <c r="W523" s="94">
        <f>'II_Inkunabeln+'!BA523</f>
        <v>0</v>
      </c>
      <c r="X523" s="108"/>
      <c r="Y523" s="93">
        <f>'II_Inkunabeln+'!BI523</f>
        <v>0</v>
      </c>
      <c r="Z523" s="81">
        <f>'II_Inkunabeln+'!BJ523</f>
        <v>0</v>
      </c>
    </row>
    <row r="524" spans="1:26" x14ac:dyDescent="0.25">
      <c r="A524" s="63">
        <f>'II_Inkunabeln+'!A524</f>
        <v>501</v>
      </c>
      <c r="B524" s="63" t="str">
        <f>'II_Inkunabeln+'!B524</f>
        <v>L-1499-315502738</v>
      </c>
      <c r="C524" s="63" t="str">
        <f>'II_Inkunabeln+'!C524</f>
        <v>106697229X</v>
      </c>
      <c r="D524" s="84" t="str">
        <f>'II_Inkunabeln+'!D524</f>
        <v>https://portal.dnb.de/opac.htm?method=simpleSearch&amp;cqlMode=true&amp;query=idn%3D106697229X</v>
      </c>
      <c r="E524" s="65" t="str">
        <f>'II_Inkunabeln+'!E524</f>
        <v>II 32,4a</v>
      </c>
      <c r="F524" s="65" t="str">
        <f>'II_Inkunabeln+'!H524</f>
        <v>bis 25 cm</v>
      </c>
      <c r="G524" s="93">
        <f>'II_Inkunabeln+'!X524</f>
        <v>0</v>
      </c>
      <c r="H524" s="93">
        <f>'II_Inkunabeln+'!AA524</f>
        <v>0</v>
      </c>
      <c r="I524" s="93">
        <f>'II_Inkunabeln+'!AC524</f>
        <v>0</v>
      </c>
      <c r="J524" s="94"/>
      <c r="K524" s="93">
        <f>'II_Inkunabeln+'!AD524</f>
        <v>0</v>
      </c>
      <c r="L524" s="94"/>
      <c r="M524" s="94"/>
      <c r="N524" s="94"/>
      <c r="O524" s="94"/>
      <c r="P524" s="94"/>
      <c r="Q524" s="94"/>
      <c r="R524" s="94"/>
      <c r="S524" s="94"/>
      <c r="T524" s="94"/>
      <c r="U524" s="94"/>
      <c r="V524" s="94"/>
      <c r="W524" s="94">
        <f>'II_Inkunabeln+'!BA524</f>
        <v>0</v>
      </c>
      <c r="X524" s="108"/>
      <c r="Y524" s="93">
        <f>'II_Inkunabeln+'!BI524</f>
        <v>0</v>
      </c>
      <c r="Z524" s="81">
        <f>'II_Inkunabeln+'!BJ524</f>
        <v>0</v>
      </c>
    </row>
    <row r="525" spans="1:26" x14ac:dyDescent="0.25">
      <c r="A525" s="63">
        <f>'II_Inkunabeln+'!A525</f>
        <v>502</v>
      </c>
      <c r="B525" s="63" t="str">
        <f>'II_Inkunabeln+'!B525</f>
        <v>L-1499-31550109X</v>
      </c>
      <c r="C525" s="63">
        <f>'II_Inkunabeln+'!C525</f>
        <v>1066970742</v>
      </c>
      <c r="D525" s="84" t="str">
        <f>'II_Inkunabeln+'!D525</f>
        <v>https://portal.dnb.de/opac.htm?method=simpleSearch&amp;cqlMode=true&amp;query=idn%3D1066970742</v>
      </c>
      <c r="E525" s="65" t="str">
        <f>'II_Inkunabeln+'!E525</f>
        <v>II 32,5a</v>
      </c>
      <c r="F525" s="65">
        <f>'II_Inkunabeln+'!H525</f>
        <v>0</v>
      </c>
      <c r="G525" s="93">
        <f>'II_Inkunabeln+'!X525</f>
        <v>0</v>
      </c>
      <c r="H525" s="93">
        <f>'II_Inkunabeln+'!AA525</f>
        <v>0</v>
      </c>
      <c r="I525" s="93">
        <f>'II_Inkunabeln+'!AC525</f>
        <v>0</v>
      </c>
      <c r="J525" s="94"/>
      <c r="K525" s="93">
        <f>'II_Inkunabeln+'!AD525</f>
        <v>0</v>
      </c>
      <c r="L525" s="94"/>
      <c r="M525" s="94"/>
      <c r="N525" s="94"/>
      <c r="O525" s="94"/>
      <c r="P525" s="94"/>
      <c r="Q525" s="94"/>
      <c r="R525" s="94"/>
      <c r="S525" s="94"/>
      <c r="T525" s="94"/>
      <c r="U525" s="94"/>
      <c r="V525" s="94"/>
      <c r="W525" s="94">
        <f>'II_Inkunabeln+'!BA525</f>
        <v>0</v>
      </c>
      <c r="X525" s="108"/>
      <c r="Y525" s="93">
        <f>'II_Inkunabeln+'!BI525</f>
        <v>0</v>
      </c>
      <c r="Z525" s="81">
        <f>'II_Inkunabeln+'!BJ525</f>
        <v>0</v>
      </c>
    </row>
    <row r="526" spans="1:26" x14ac:dyDescent="0.25">
      <c r="A526" s="63">
        <f>'II_Inkunabeln+'!A526</f>
        <v>503</v>
      </c>
      <c r="B526" s="63" t="str">
        <f>'II_Inkunabeln+'!B526</f>
        <v>L-1494-315500581</v>
      </c>
      <c r="C526" s="63">
        <f>'II_Inkunabeln+'!C526</f>
        <v>1066970246</v>
      </c>
      <c r="D526" s="84" t="str">
        <f>'II_Inkunabeln+'!D526</f>
        <v>https://portal.dnb.de/opac.htm?method=simpleSearch&amp;cqlMode=true&amp;query=idn%3D1066970246</v>
      </c>
      <c r="E526" s="65" t="str">
        <f>'II_Inkunabeln+'!E526</f>
        <v>II 33,1a</v>
      </c>
      <c r="F526" s="65" t="str">
        <f>'II_Inkunabeln+'!H526</f>
        <v>bis 25 cm</v>
      </c>
      <c r="G526" s="93">
        <f>'II_Inkunabeln+'!X526</f>
        <v>0</v>
      </c>
      <c r="H526" s="93">
        <f>'II_Inkunabeln+'!AA526</f>
        <v>0</v>
      </c>
      <c r="I526" s="93">
        <f>'II_Inkunabeln+'!AC526</f>
        <v>0</v>
      </c>
      <c r="J526" s="94"/>
      <c r="K526" s="93">
        <f>'II_Inkunabeln+'!AD526</f>
        <v>0</v>
      </c>
      <c r="L526" s="94"/>
      <c r="M526" s="94"/>
      <c r="N526" s="94"/>
      <c r="O526" s="94"/>
      <c r="P526" s="94"/>
      <c r="Q526" s="94"/>
      <c r="R526" s="94"/>
      <c r="S526" s="94"/>
      <c r="T526" s="94"/>
      <c r="U526" s="94"/>
      <c r="V526" s="94"/>
      <c r="W526" s="94">
        <f>'II_Inkunabeln+'!BA526</f>
        <v>0</v>
      </c>
      <c r="X526" s="108"/>
      <c r="Y526" s="93">
        <f>'II_Inkunabeln+'!BI526</f>
        <v>0</v>
      </c>
      <c r="Z526" s="81">
        <f>'II_Inkunabeln+'!BJ526</f>
        <v>0</v>
      </c>
    </row>
    <row r="527" spans="1:26" x14ac:dyDescent="0.25">
      <c r="A527" s="63">
        <f>'II_Inkunabeln+'!A527</f>
        <v>504</v>
      </c>
      <c r="B527" s="63" t="str">
        <f>'II_Inkunabeln+'!B527</f>
        <v>L-1484-315495278</v>
      </c>
      <c r="C527" s="63">
        <f>'II_Inkunabeln+'!C527</f>
        <v>1066965137</v>
      </c>
      <c r="D527" s="84" t="str">
        <f>'II_Inkunabeln+'!D527</f>
        <v>https://portal.dnb.de/opac.htm?method=simpleSearch&amp;cqlMode=true&amp;query=idn%3D1066965137</v>
      </c>
      <c r="E527" s="65" t="str">
        <f>'II_Inkunabeln+'!E527</f>
        <v>II 34,1a</v>
      </c>
      <c r="F527" s="65">
        <f>'II_Inkunabeln+'!H527</f>
        <v>0</v>
      </c>
      <c r="G527" s="93">
        <f>'II_Inkunabeln+'!X527</f>
        <v>0</v>
      </c>
      <c r="H527" s="93">
        <f>'II_Inkunabeln+'!AA527</f>
        <v>0</v>
      </c>
      <c r="I527" s="93">
        <f>'II_Inkunabeln+'!AC527</f>
        <v>0</v>
      </c>
      <c r="J527" s="94"/>
      <c r="K527" s="93">
        <f>'II_Inkunabeln+'!AD527</f>
        <v>0</v>
      </c>
      <c r="L527" s="94"/>
      <c r="M527" s="94"/>
      <c r="N527" s="94"/>
      <c r="O527" s="94"/>
      <c r="P527" s="94"/>
      <c r="Q527" s="94"/>
      <c r="R527" s="94"/>
      <c r="S527" s="94"/>
      <c r="T527" s="94"/>
      <c r="U527" s="94"/>
      <c r="V527" s="94"/>
      <c r="W527" s="94">
        <f>'II_Inkunabeln+'!BA527</f>
        <v>0</v>
      </c>
      <c r="X527" s="108"/>
      <c r="Y527" s="93">
        <f>'II_Inkunabeln+'!BI527</f>
        <v>0</v>
      </c>
      <c r="Z527" s="81">
        <f>'II_Inkunabeln+'!BJ527</f>
        <v>0</v>
      </c>
    </row>
    <row r="528" spans="1:26" x14ac:dyDescent="0.25">
      <c r="A528" s="63">
        <f>'II_Inkunabeln+'!A528</f>
        <v>505</v>
      </c>
      <c r="B528" s="63" t="str">
        <f>'II_Inkunabeln+'!B528</f>
        <v>L-1479-316402591</v>
      </c>
      <c r="C528" s="63">
        <f>'II_Inkunabeln+'!C528</f>
        <v>1067439234</v>
      </c>
      <c r="D528" s="84" t="str">
        <f>'II_Inkunabeln+'!D528</f>
        <v>https://portal.dnb.de/opac.htm?method=simpleSearch&amp;cqlMode=true&amp;query=idn%3D1067439234</v>
      </c>
      <c r="E528" s="65" t="str">
        <f>'II_Inkunabeln+'!E528</f>
        <v>II 35,1a - Fragm.</v>
      </c>
      <c r="F528" s="65">
        <f>'II_Inkunabeln+'!H528</f>
        <v>0</v>
      </c>
      <c r="G528" s="93">
        <f>'II_Inkunabeln+'!X528</f>
        <v>0</v>
      </c>
      <c r="H528" s="93">
        <f>'II_Inkunabeln+'!AA528</f>
        <v>0</v>
      </c>
      <c r="I528" s="93">
        <f>'II_Inkunabeln+'!AC528</f>
        <v>0</v>
      </c>
      <c r="J528" s="94"/>
      <c r="K528" s="93">
        <f>'II_Inkunabeln+'!AD528</f>
        <v>0</v>
      </c>
      <c r="L528" s="94"/>
      <c r="M528" s="94"/>
      <c r="N528" s="94"/>
      <c r="O528" s="94"/>
      <c r="P528" s="94"/>
      <c r="Q528" s="94"/>
      <c r="R528" s="94"/>
      <c r="S528" s="94"/>
      <c r="T528" s="94"/>
      <c r="U528" s="94"/>
      <c r="V528" s="94"/>
      <c r="W528" s="94">
        <f>'II_Inkunabeln+'!BA528</f>
        <v>0</v>
      </c>
      <c r="X528" s="108"/>
      <c r="Y528" s="93">
        <f>'II_Inkunabeln+'!BI528</f>
        <v>0</v>
      </c>
      <c r="Z528" s="81">
        <f>'II_Inkunabeln+'!BJ528</f>
        <v>0</v>
      </c>
    </row>
    <row r="529" spans="1:26" x14ac:dyDescent="0.25">
      <c r="A529" s="63">
        <f>'II_Inkunabeln+'!A529</f>
        <v>506</v>
      </c>
      <c r="B529" s="63" t="str">
        <f>'II_Inkunabeln+'!B529</f>
        <v>L-1499-316402605</v>
      </c>
      <c r="C529" s="63">
        <f>'II_Inkunabeln+'!C529</f>
        <v>1067439250</v>
      </c>
      <c r="D529" s="84" t="str">
        <f>'II_Inkunabeln+'!D529</f>
        <v>https://portal.dnb.de/opac.htm?method=simpleSearch&amp;cqlMode=true&amp;query=idn%3D1067439250</v>
      </c>
      <c r="E529" s="65" t="str">
        <f>'II_Inkunabeln+'!E529</f>
        <v>II 35,2a - Fragm.</v>
      </c>
      <c r="F529" s="65">
        <f>'II_Inkunabeln+'!H529</f>
        <v>0</v>
      </c>
      <c r="G529" s="93">
        <f>'II_Inkunabeln+'!X529</f>
        <v>0</v>
      </c>
      <c r="H529" s="93">
        <f>'II_Inkunabeln+'!AA529</f>
        <v>0</v>
      </c>
      <c r="I529" s="93">
        <f>'II_Inkunabeln+'!AC529</f>
        <v>0</v>
      </c>
      <c r="J529" s="94"/>
      <c r="K529" s="93">
        <f>'II_Inkunabeln+'!AD529</f>
        <v>0</v>
      </c>
      <c r="L529" s="94"/>
      <c r="M529" s="94"/>
      <c r="N529" s="94"/>
      <c r="O529" s="94"/>
      <c r="P529" s="94"/>
      <c r="Q529" s="94"/>
      <c r="R529" s="94"/>
      <c r="S529" s="94"/>
      <c r="T529" s="94"/>
      <c r="U529" s="94"/>
      <c r="V529" s="94"/>
      <c r="W529" s="94">
        <f>'II_Inkunabeln+'!BA529</f>
        <v>0</v>
      </c>
      <c r="X529" s="108"/>
      <c r="Y529" s="93">
        <f>'II_Inkunabeln+'!BI529</f>
        <v>0</v>
      </c>
      <c r="Z529" s="81">
        <f>'II_Inkunabeln+'!BJ529</f>
        <v>0</v>
      </c>
    </row>
    <row r="530" spans="1:26" x14ac:dyDescent="0.25">
      <c r="A530" s="63">
        <f>'II_Inkunabeln+'!A530</f>
        <v>507</v>
      </c>
      <c r="B530" s="63" t="str">
        <f>'II_Inkunabeln+'!B530</f>
        <v>L-1474-315495456</v>
      </c>
      <c r="C530" s="63">
        <f>'II_Inkunabeln+'!C530</f>
        <v>1066965277</v>
      </c>
      <c r="D530" s="84" t="str">
        <f>'II_Inkunabeln+'!D530</f>
        <v>https://portal.dnb.de/opac.htm?method=simpleSearch&amp;cqlMode=true&amp;query=idn%3D1066965277</v>
      </c>
      <c r="E530" s="65" t="str">
        <f>'II_Inkunabeln+'!E530</f>
        <v>II 36,1a</v>
      </c>
      <c r="F530" s="65" t="str">
        <f>'II_Inkunabeln+'!H530</f>
        <v>bis 25 cm</v>
      </c>
      <c r="G530" s="93">
        <f>'II_Inkunabeln+'!X530</f>
        <v>0</v>
      </c>
      <c r="H530" s="93">
        <f>'II_Inkunabeln+'!AA530</f>
        <v>0</v>
      </c>
      <c r="I530" s="93">
        <f>'II_Inkunabeln+'!AC530</f>
        <v>0</v>
      </c>
      <c r="J530" s="94"/>
      <c r="K530" s="93">
        <f>'II_Inkunabeln+'!AD530</f>
        <v>0</v>
      </c>
      <c r="L530" s="94"/>
      <c r="M530" s="94"/>
      <c r="N530" s="94"/>
      <c r="O530" s="94"/>
      <c r="P530" s="94"/>
      <c r="Q530" s="94"/>
      <c r="R530" s="94"/>
      <c r="S530" s="94"/>
      <c r="T530" s="94"/>
      <c r="U530" s="94"/>
      <c r="V530" s="94"/>
      <c r="W530" s="94">
        <f>'II_Inkunabeln+'!BA530</f>
        <v>0</v>
      </c>
      <c r="X530" s="108"/>
      <c r="Y530" s="93">
        <f>'II_Inkunabeln+'!BI530</f>
        <v>0</v>
      </c>
      <c r="Z530" s="81">
        <f>'II_Inkunabeln+'!BJ530</f>
        <v>0</v>
      </c>
    </row>
    <row r="531" spans="1:26" x14ac:dyDescent="0.25">
      <c r="A531" s="63">
        <f>'II_Inkunabeln+'!A531</f>
        <v>0</v>
      </c>
      <c r="B531" s="63">
        <f>'II_Inkunabeln+'!B531</f>
        <v>0</v>
      </c>
      <c r="C531" s="63">
        <f>'II_Inkunabeln+'!C531</f>
        <v>0</v>
      </c>
      <c r="D531" s="84">
        <f>'II_Inkunabeln+'!D531</f>
        <v>0</v>
      </c>
      <c r="E531" s="65" t="str">
        <f>'II_Inkunabeln+'!E531</f>
        <v>II 36,1b</v>
      </c>
      <c r="F531" s="65" t="str">
        <f>'II_Inkunabeln+'!H531</f>
        <v>bis 25 cm</v>
      </c>
      <c r="G531" s="93">
        <f>'II_Inkunabeln+'!X531</f>
        <v>0</v>
      </c>
      <c r="H531" s="93">
        <f>'II_Inkunabeln+'!AA531</f>
        <v>0</v>
      </c>
      <c r="I531" s="93">
        <f>'II_Inkunabeln+'!AC531</f>
        <v>0</v>
      </c>
      <c r="J531" s="94"/>
      <c r="K531" s="93">
        <f>'II_Inkunabeln+'!AD531</f>
        <v>0</v>
      </c>
      <c r="L531" s="94"/>
      <c r="M531" s="94"/>
      <c r="N531" s="94"/>
      <c r="O531" s="94"/>
      <c r="P531" s="94"/>
      <c r="Q531" s="94"/>
      <c r="R531" s="94"/>
      <c r="S531" s="94"/>
      <c r="T531" s="94"/>
      <c r="U531" s="94"/>
      <c r="V531" s="94"/>
      <c r="W531" s="94">
        <f>'II_Inkunabeln+'!BA531</f>
        <v>0</v>
      </c>
      <c r="X531" s="108"/>
      <c r="Y531" s="93">
        <f>'II_Inkunabeln+'!BI531</f>
        <v>0</v>
      </c>
      <c r="Z531" s="81">
        <f>'II_Inkunabeln+'!BJ531</f>
        <v>0</v>
      </c>
    </row>
    <row r="532" spans="1:26" x14ac:dyDescent="0.25">
      <c r="A532" s="63">
        <f>'II_Inkunabeln+'!A532</f>
        <v>508</v>
      </c>
      <c r="B532" s="63" t="str">
        <f>'II_Inkunabeln+'!B532</f>
        <v>L-2019-323537</v>
      </c>
      <c r="C532" s="63">
        <f>'II_Inkunabeln+'!C532</f>
        <v>1200511840</v>
      </c>
      <c r="D532" s="84" t="str">
        <f>'II_Inkunabeln+'!D532</f>
        <v>https://portal.dnb.de/opac.htm?method=simpleSearch&amp;cqlMode=true&amp;query=idn%3D1200511840</v>
      </c>
      <c r="E532" s="65" t="str">
        <f>'II_Inkunabeln+'!E532</f>
        <v>II 37,1a</v>
      </c>
      <c r="F532" s="65">
        <f>'II_Inkunabeln+'!H532</f>
        <v>0</v>
      </c>
      <c r="G532" s="93">
        <f>'II_Inkunabeln+'!X532</f>
        <v>0</v>
      </c>
      <c r="H532" s="93">
        <f>'II_Inkunabeln+'!AA532</f>
        <v>0</v>
      </c>
      <c r="I532" s="93">
        <f>'II_Inkunabeln+'!AC532</f>
        <v>0</v>
      </c>
      <c r="J532" s="94"/>
      <c r="K532" s="93">
        <f>'II_Inkunabeln+'!AD532</f>
        <v>0</v>
      </c>
      <c r="L532" s="94"/>
      <c r="M532" s="94"/>
      <c r="N532" s="94"/>
      <c r="O532" s="94"/>
      <c r="P532" s="94"/>
      <c r="Q532" s="94"/>
      <c r="R532" s="94"/>
      <c r="S532" s="94"/>
      <c r="T532" s="94"/>
      <c r="U532" s="94"/>
      <c r="V532" s="94"/>
      <c r="W532" s="94">
        <f>'II_Inkunabeln+'!BA532</f>
        <v>0</v>
      </c>
      <c r="X532" s="108"/>
      <c r="Y532" s="93">
        <f>'II_Inkunabeln+'!BI532</f>
        <v>0</v>
      </c>
      <c r="Z532" s="81">
        <f>'II_Inkunabeln+'!BJ532</f>
        <v>0</v>
      </c>
    </row>
    <row r="533" spans="1:26" x14ac:dyDescent="0.25">
      <c r="A533" s="63">
        <f>'II_Inkunabeln+'!A533</f>
        <v>509</v>
      </c>
      <c r="B533" s="63" t="str">
        <f>'II_Inkunabeln+'!B533</f>
        <v>L-1472-327281049</v>
      </c>
      <c r="C533" s="63">
        <f>'II_Inkunabeln+'!C533</f>
        <v>1072321904</v>
      </c>
      <c r="D533" s="84" t="str">
        <f>'II_Inkunabeln+'!D533</f>
        <v>https://portal.dnb.de/opac.htm?method=simpleSearch&amp;cqlMode=true&amp;query=idn%3D1072321904</v>
      </c>
      <c r="E533" s="65" t="str">
        <f>'II_Inkunabeln+'!E533</f>
        <v>II 43,1a</v>
      </c>
      <c r="F533" s="65" t="str">
        <f>'II_Inkunabeln+'!H533</f>
        <v>bis 25 cm</v>
      </c>
      <c r="G533" s="93">
        <f>'II_Inkunabeln+'!X533</f>
        <v>0</v>
      </c>
      <c r="H533" s="93">
        <f>'II_Inkunabeln+'!AA533</f>
        <v>0</v>
      </c>
      <c r="I533" s="93">
        <f>'II_Inkunabeln+'!AC533</f>
        <v>0</v>
      </c>
      <c r="J533" s="94"/>
      <c r="K533" s="93">
        <f>'II_Inkunabeln+'!AD533</f>
        <v>0</v>
      </c>
      <c r="L533" s="94"/>
      <c r="M533" s="94"/>
      <c r="N533" s="94"/>
      <c r="O533" s="94"/>
      <c r="P533" s="94"/>
      <c r="Q533" s="94"/>
      <c r="R533" s="94"/>
      <c r="S533" s="94"/>
      <c r="T533" s="94"/>
      <c r="U533" s="94"/>
      <c r="V533" s="94"/>
      <c r="W533" s="94">
        <f>'II_Inkunabeln+'!BA533</f>
        <v>0</v>
      </c>
      <c r="X533" s="108"/>
      <c r="Y533" s="93">
        <f>'II_Inkunabeln+'!BI533</f>
        <v>0</v>
      </c>
      <c r="Z533" s="81">
        <f>'II_Inkunabeln+'!BJ533</f>
        <v>0</v>
      </c>
    </row>
    <row r="534" spans="1:26" x14ac:dyDescent="0.25">
      <c r="A534" s="63">
        <f>'II_Inkunabeln+'!A534</f>
        <v>510</v>
      </c>
      <c r="B534" s="63" t="str">
        <f>'II_Inkunabeln+'!B534</f>
        <v>L-1486-315497173</v>
      </c>
      <c r="C534" s="63">
        <f>'II_Inkunabeln+'!C534</f>
        <v>1066966877</v>
      </c>
      <c r="D534" s="84" t="str">
        <f>'II_Inkunabeln+'!D534</f>
        <v>https://portal.dnb.de/opac.htm?method=simpleSearch&amp;cqlMode=true&amp;query=idn%3D1066966877</v>
      </c>
      <c r="E534" s="65" t="str">
        <f>'II_Inkunabeln+'!E534</f>
        <v>II 43,2a</v>
      </c>
      <c r="F534" s="65">
        <f>'II_Inkunabeln+'!H534</f>
        <v>0</v>
      </c>
      <c r="G534" s="93">
        <f>'II_Inkunabeln+'!X534</f>
        <v>0</v>
      </c>
      <c r="H534" s="93">
        <f>'II_Inkunabeln+'!AA534</f>
        <v>0</v>
      </c>
      <c r="I534" s="93">
        <f>'II_Inkunabeln+'!AC534</f>
        <v>0</v>
      </c>
      <c r="J534" s="94"/>
      <c r="K534" s="93">
        <f>'II_Inkunabeln+'!AD534</f>
        <v>0</v>
      </c>
      <c r="L534" s="94"/>
      <c r="M534" s="94"/>
      <c r="N534" s="94"/>
      <c r="O534" s="94"/>
      <c r="P534" s="94"/>
      <c r="Q534" s="94"/>
      <c r="R534" s="94"/>
      <c r="S534" s="94"/>
      <c r="T534" s="94"/>
      <c r="U534" s="94"/>
      <c r="V534" s="94"/>
      <c r="W534" s="94">
        <f>'II_Inkunabeln+'!BA534</f>
        <v>0</v>
      </c>
      <c r="X534" s="108"/>
      <c r="Y534" s="93">
        <f>'II_Inkunabeln+'!BI534</f>
        <v>0</v>
      </c>
      <c r="Z534" s="81">
        <f>'II_Inkunabeln+'!BJ534</f>
        <v>0</v>
      </c>
    </row>
    <row r="535" spans="1:26" x14ac:dyDescent="0.25">
      <c r="A535" s="63">
        <f>'II_Inkunabeln+'!A535</f>
        <v>511</v>
      </c>
      <c r="B535" s="63" t="str">
        <f>'II_Inkunabeln+'!B535</f>
        <v>L-1496-315495340</v>
      </c>
      <c r="C535" s="63">
        <f>'II_Inkunabeln+'!C535</f>
        <v>1066965196</v>
      </c>
      <c r="D535" s="84" t="str">
        <f>'II_Inkunabeln+'!D535</f>
        <v>https://portal.dnb.de/opac.htm?method=simpleSearch&amp;cqlMode=true&amp;query=idn%3D1066965196</v>
      </c>
      <c r="E535" s="65" t="str">
        <f>'II_Inkunabeln+'!E535</f>
        <v>II 43,2b</v>
      </c>
      <c r="F535" s="65">
        <f>'II_Inkunabeln+'!H535</f>
        <v>0</v>
      </c>
      <c r="G535" s="93">
        <f>'II_Inkunabeln+'!X535</f>
        <v>0</v>
      </c>
      <c r="H535" s="93">
        <f>'II_Inkunabeln+'!AA535</f>
        <v>0</v>
      </c>
      <c r="I535" s="93">
        <f>'II_Inkunabeln+'!AC535</f>
        <v>0</v>
      </c>
      <c r="J535" s="94"/>
      <c r="K535" s="93">
        <f>'II_Inkunabeln+'!AD535</f>
        <v>0</v>
      </c>
      <c r="L535" s="94"/>
      <c r="M535" s="94"/>
      <c r="N535" s="94"/>
      <c r="O535" s="94"/>
      <c r="P535" s="94"/>
      <c r="Q535" s="94"/>
      <c r="R535" s="94"/>
      <c r="S535" s="94"/>
      <c r="T535" s="94"/>
      <c r="U535" s="94"/>
      <c r="V535" s="94"/>
      <c r="W535" s="94">
        <f>'II_Inkunabeln+'!BA535</f>
        <v>0</v>
      </c>
      <c r="X535" s="108"/>
      <c r="Y535" s="93">
        <f>'II_Inkunabeln+'!BI535</f>
        <v>0</v>
      </c>
      <c r="Z535" s="81">
        <f>'II_Inkunabeln+'!BJ535</f>
        <v>0</v>
      </c>
    </row>
    <row r="536" spans="1:26" x14ac:dyDescent="0.25">
      <c r="A536" s="63">
        <f>'II_Inkunabeln+'!A536</f>
        <v>512</v>
      </c>
      <c r="B536" s="63" t="str">
        <f>'II_Inkunabeln+'!B536</f>
        <v>L-1482-31640263X</v>
      </c>
      <c r="C536" s="63">
        <f>'II_Inkunabeln+'!C536</f>
        <v>1067439293</v>
      </c>
      <c r="D536" s="84" t="str">
        <f>'II_Inkunabeln+'!D536</f>
        <v>https://portal.dnb.de/opac.htm?method=simpleSearch&amp;cqlMode=true&amp;query=idn%3D1067439293</v>
      </c>
      <c r="E536" s="65" t="str">
        <f>'II_Inkunabeln+'!E536</f>
        <v>II 43,3ab - Fragm.</v>
      </c>
      <c r="F536" s="65">
        <f>'II_Inkunabeln+'!H536</f>
        <v>0</v>
      </c>
      <c r="G536" s="93">
        <f>'II_Inkunabeln+'!X536</f>
        <v>0</v>
      </c>
      <c r="H536" s="93">
        <f>'II_Inkunabeln+'!AA536</f>
        <v>0</v>
      </c>
      <c r="I536" s="93">
        <f>'II_Inkunabeln+'!AC536</f>
        <v>0</v>
      </c>
      <c r="J536" s="94"/>
      <c r="K536" s="93">
        <f>'II_Inkunabeln+'!AD536</f>
        <v>0</v>
      </c>
      <c r="L536" s="94"/>
      <c r="M536" s="94"/>
      <c r="N536" s="94"/>
      <c r="O536" s="94"/>
      <c r="P536" s="94"/>
      <c r="Q536" s="94"/>
      <c r="R536" s="94"/>
      <c r="S536" s="94"/>
      <c r="T536" s="94"/>
      <c r="U536" s="94"/>
      <c r="V536" s="94"/>
      <c r="W536" s="94">
        <f>'II_Inkunabeln+'!BA536</f>
        <v>0</v>
      </c>
      <c r="X536" s="108"/>
      <c r="Y536" s="93">
        <f>'II_Inkunabeln+'!BI536</f>
        <v>0</v>
      </c>
      <c r="Z536" s="81">
        <f>'II_Inkunabeln+'!BJ536</f>
        <v>0</v>
      </c>
    </row>
    <row r="537" spans="1:26" x14ac:dyDescent="0.25">
      <c r="A537" s="63">
        <f>'II_Inkunabeln+'!A537</f>
        <v>513</v>
      </c>
      <c r="B537" s="63" t="str">
        <f>'II_Inkunabeln+'!B537</f>
        <v>L-1495-315496649</v>
      </c>
      <c r="C537" s="63">
        <f>'II_Inkunabeln+'!C537</f>
        <v>1066966362</v>
      </c>
      <c r="D537" s="84" t="str">
        <f>'II_Inkunabeln+'!D537</f>
        <v>https://portal.dnb.de/opac.htm?method=simpleSearch&amp;cqlMode=true&amp;query=idn%3D1066966362</v>
      </c>
      <c r="E537" s="65" t="str">
        <f>'II_Inkunabeln+'!E537</f>
        <v>II 43,5a</v>
      </c>
      <c r="F537" s="65" t="str">
        <f>'II_Inkunabeln+'!H537</f>
        <v>bis 25 cm</v>
      </c>
      <c r="G537" s="93">
        <f>'II_Inkunabeln+'!X537</f>
        <v>0</v>
      </c>
      <c r="H537" s="93">
        <f>'II_Inkunabeln+'!AA537</f>
        <v>0</v>
      </c>
      <c r="I537" s="93">
        <f>'II_Inkunabeln+'!AC537</f>
        <v>0</v>
      </c>
      <c r="J537" s="94"/>
      <c r="K537" s="93">
        <f>'II_Inkunabeln+'!AD537</f>
        <v>0</v>
      </c>
      <c r="L537" s="94"/>
      <c r="M537" s="94"/>
      <c r="N537" s="94"/>
      <c r="O537" s="94"/>
      <c r="P537" s="94"/>
      <c r="Q537" s="94"/>
      <c r="R537" s="94"/>
      <c r="S537" s="94"/>
      <c r="T537" s="94"/>
      <c r="U537" s="94"/>
      <c r="V537" s="94"/>
      <c r="W537" s="94">
        <f>'II_Inkunabeln+'!BA537</f>
        <v>0</v>
      </c>
      <c r="X537" s="108"/>
      <c r="Y537" s="93">
        <f>'II_Inkunabeln+'!BI537</f>
        <v>0</v>
      </c>
      <c r="Z537" s="81">
        <f>'II_Inkunabeln+'!BJ537</f>
        <v>0</v>
      </c>
    </row>
    <row r="538" spans="1:26" x14ac:dyDescent="0.25">
      <c r="A538" s="63">
        <f>'II_Inkunabeln+'!A538</f>
        <v>514</v>
      </c>
      <c r="B538" s="63" t="str">
        <f>'II_Inkunabeln+'!B538</f>
        <v>L-1498-315496622</v>
      </c>
      <c r="C538" s="63">
        <f>'II_Inkunabeln+'!C538</f>
        <v>1066966346</v>
      </c>
      <c r="D538" s="84" t="str">
        <f>'II_Inkunabeln+'!D538</f>
        <v>https://portal.dnb.de/opac.htm?method=simpleSearch&amp;cqlMode=true&amp;query=idn%3D1066966346</v>
      </c>
      <c r="E538" s="65" t="str">
        <f>'II_Inkunabeln+'!E538</f>
        <v>II 43,6a</v>
      </c>
      <c r="F538" s="65">
        <f>'II_Inkunabeln+'!H538</f>
        <v>0</v>
      </c>
      <c r="G538" s="93">
        <f>'II_Inkunabeln+'!X538</f>
        <v>0</v>
      </c>
      <c r="H538" s="93">
        <f>'II_Inkunabeln+'!AA538</f>
        <v>0</v>
      </c>
      <c r="I538" s="93">
        <f>'II_Inkunabeln+'!AC538</f>
        <v>0</v>
      </c>
      <c r="J538" s="94"/>
      <c r="K538" s="93">
        <f>'II_Inkunabeln+'!AD538</f>
        <v>0</v>
      </c>
      <c r="L538" s="94"/>
      <c r="M538" s="94"/>
      <c r="N538" s="94"/>
      <c r="O538" s="94"/>
      <c r="P538" s="94"/>
      <c r="Q538" s="94"/>
      <c r="R538" s="94"/>
      <c r="S538" s="94"/>
      <c r="T538" s="94"/>
      <c r="U538" s="94"/>
      <c r="V538" s="94"/>
      <c r="W538" s="94">
        <f>'II_Inkunabeln+'!BA538</f>
        <v>0</v>
      </c>
      <c r="X538" s="108"/>
      <c r="Y538" s="93">
        <f>'II_Inkunabeln+'!BI538</f>
        <v>0</v>
      </c>
      <c r="Z538" s="81">
        <f>'II_Inkunabeln+'!BJ538</f>
        <v>0</v>
      </c>
    </row>
    <row r="539" spans="1:26" x14ac:dyDescent="0.25">
      <c r="A539" s="63">
        <f>'II_Inkunabeln+'!A539</f>
        <v>515</v>
      </c>
      <c r="B539" s="63" t="str">
        <f>'II_Inkunabeln+'!B539</f>
        <v>L-1485-315498595</v>
      </c>
      <c r="C539" s="63">
        <f>'II_Inkunabeln+'!C539</f>
        <v>1066968349</v>
      </c>
      <c r="D539" s="84" t="str">
        <f>'II_Inkunabeln+'!D539</f>
        <v>https://portal.dnb.de/opac.htm?method=simpleSearch&amp;cqlMode=true&amp;query=idn%3D1066968349</v>
      </c>
      <c r="E539" s="65" t="str">
        <f>'II_Inkunabeln+'!E539</f>
        <v>II 44,1a</v>
      </c>
      <c r="F539" s="65" t="str">
        <f>'II_Inkunabeln+'!H539</f>
        <v>bis 35 cm</v>
      </c>
      <c r="G539" s="93">
        <f>'II_Inkunabeln+'!X539</f>
        <v>0</v>
      </c>
      <c r="H539" s="93">
        <f>'II_Inkunabeln+'!AA539</f>
        <v>0</v>
      </c>
      <c r="I539" s="93">
        <f>'II_Inkunabeln+'!AC539</f>
        <v>0</v>
      </c>
      <c r="J539" s="94"/>
      <c r="K539" s="93">
        <f>'II_Inkunabeln+'!AD539</f>
        <v>0</v>
      </c>
      <c r="L539" s="94"/>
      <c r="M539" s="94"/>
      <c r="N539" s="94"/>
      <c r="O539" s="94"/>
      <c r="P539" s="94"/>
      <c r="Q539" s="94"/>
      <c r="R539" s="94"/>
      <c r="S539" s="94"/>
      <c r="T539" s="94"/>
      <c r="U539" s="94"/>
      <c r="V539" s="94"/>
      <c r="W539" s="94">
        <f>'II_Inkunabeln+'!BA539</f>
        <v>0</v>
      </c>
      <c r="X539" s="108"/>
      <c r="Y539" s="93">
        <f>'II_Inkunabeln+'!BI539</f>
        <v>0</v>
      </c>
      <c r="Z539" s="81">
        <f>'II_Inkunabeln+'!BJ539</f>
        <v>0</v>
      </c>
    </row>
    <row r="540" spans="1:26" x14ac:dyDescent="0.25">
      <c r="A540" s="63">
        <f>'II_Inkunabeln+'!A540</f>
        <v>516</v>
      </c>
      <c r="B540" s="63" t="str">
        <f>'II_Inkunabeln+'!B540</f>
        <v>L-1486-315496177</v>
      </c>
      <c r="C540" s="63">
        <f>'II_Inkunabeln+'!C540</f>
        <v>1066965897</v>
      </c>
      <c r="D540" s="84" t="str">
        <f>'II_Inkunabeln+'!D540</f>
        <v>https://portal.dnb.de/opac.htm?method=simpleSearch&amp;cqlMode=true&amp;query=idn%3D1066965897</v>
      </c>
      <c r="E540" s="65" t="str">
        <f>'II_Inkunabeln+'!E540</f>
        <v>II 44,2a</v>
      </c>
      <c r="F540" s="65" t="str">
        <f>'II_Inkunabeln+'!H540</f>
        <v>bis 25 cm</v>
      </c>
      <c r="G540" s="93">
        <f>'II_Inkunabeln+'!X540</f>
        <v>0</v>
      </c>
      <c r="H540" s="93">
        <f>'II_Inkunabeln+'!AA540</f>
        <v>0</v>
      </c>
      <c r="I540" s="93">
        <f>'II_Inkunabeln+'!AC540</f>
        <v>0</v>
      </c>
      <c r="J540" s="94"/>
      <c r="K540" s="93">
        <f>'II_Inkunabeln+'!AD540</f>
        <v>0</v>
      </c>
      <c r="L540" s="94"/>
      <c r="M540" s="94"/>
      <c r="N540" s="94"/>
      <c r="O540" s="94"/>
      <c r="P540" s="94"/>
      <c r="Q540" s="94"/>
      <c r="R540" s="94"/>
      <c r="S540" s="94"/>
      <c r="T540" s="94"/>
      <c r="U540" s="94"/>
      <c r="V540" s="94"/>
      <c r="W540" s="94">
        <f>'II_Inkunabeln+'!BA540</f>
        <v>0</v>
      </c>
      <c r="X540" s="108"/>
      <c r="Y540" s="93">
        <f>'II_Inkunabeln+'!BI540</f>
        <v>0</v>
      </c>
      <c r="Z540" s="81">
        <f>'II_Inkunabeln+'!BJ540</f>
        <v>0</v>
      </c>
    </row>
    <row r="541" spans="1:26" x14ac:dyDescent="0.25">
      <c r="A541" s="63">
        <f>'II_Inkunabeln+'!A541</f>
        <v>517</v>
      </c>
      <c r="B541" s="63" t="str">
        <f>'II_Inkunabeln+'!B541</f>
        <v>L-1499-327281251</v>
      </c>
      <c r="C541" s="63">
        <f>'II_Inkunabeln+'!C541</f>
        <v>1072322234</v>
      </c>
      <c r="D541" s="84" t="str">
        <f>'II_Inkunabeln+'!D541</f>
        <v>https://portal.dnb.de/opac.htm?method=simpleSearch&amp;cqlMode=true&amp;query=idn%3D1072322234</v>
      </c>
      <c r="E541" s="65" t="str">
        <f>'II_Inkunabeln+'!E541</f>
        <v>II 44,2b</v>
      </c>
      <c r="F541" s="65">
        <f>'II_Inkunabeln+'!H541</f>
        <v>0</v>
      </c>
      <c r="G541" s="93">
        <f>'II_Inkunabeln+'!X541</f>
        <v>0</v>
      </c>
      <c r="H541" s="93">
        <f>'II_Inkunabeln+'!AA541</f>
        <v>0</v>
      </c>
      <c r="I541" s="93">
        <f>'II_Inkunabeln+'!AC541</f>
        <v>0</v>
      </c>
      <c r="J541" s="94"/>
      <c r="K541" s="93">
        <f>'II_Inkunabeln+'!AD541</f>
        <v>0</v>
      </c>
      <c r="L541" s="94"/>
      <c r="M541" s="94"/>
      <c r="N541" s="94"/>
      <c r="O541" s="94"/>
      <c r="P541" s="94"/>
      <c r="Q541" s="94"/>
      <c r="R541" s="94"/>
      <c r="S541" s="94"/>
      <c r="T541" s="94"/>
      <c r="U541" s="94"/>
      <c r="V541" s="94"/>
      <c r="W541" s="94">
        <f>'II_Inkunabeln+'!BA541</f>
        <v>0</v>
      </c>
      <c r="X541" s="108"/>
      <c r="Y541" s="93">
        <f>'II_Inkunabeln+'!BI541</f>
        <v>0</v>
      </c>
      <c r="Z541" s="81">
        <f>'II_Inkunabeln+'!BJ541</f>
        <v>0</v>
      </c>
    </row>
    <row r="542" spans="1:26" x14ac:dyDescent="0.25">
      <c r="A542" s="63">
        <f>'II_Inkunabeln+'!A542</f>
        <v>518</v>
      </c>
      <c r="B542" s="63" t="str">
        <f>'II_Inkunabeln+'!B542</f>
        <v>L-1490-315494018</v>
      </c>
      <c r="C542" s="63">
        <f>'II_Inkunabeln+'!C542</f>
        <v>1066963800</v>
      </c>
      <c r="D542" s="84" t="str">
        <f>'II_Inkunabeln+'!D542</f>
        <v>https://portal.dnb.de/opac.htm?method=simpleSearch&amp;cqlMode=true&amp;query=idn%3D1066963800</v>
      </c>
      <c r="E542" s="65" t="str">
        <f>'II_Inkunabeln+'!E542</f>
        <v>II 44,3a</v>
      </c>
      <c r="F542" s="65" t="str">
        <f>'II_Inkunabeln+'!H542</f>
        <v>bis 25 cm</v>
      </c>
      <c r="G542" s="93">
        <f>'II_Inkunabeln+'!X542</f>
        <v>0</v>
      </c>
      <c r="H542" s="93">
        <f>'II_Inkunabeln+'!AA542</f>
        <v>0</v>
      </c>
      <c r="I542" s="93">
        <f>'II_Inkunabeln+'!AC542</f>
        <v>0</v>
      </c>
      <c r="J542" s="94"/>
      <c r="K542" s="93">
        <f>'II_Inkunabeln+'!AD542</f>
        <v>0</v>
      </c>
      <c r="L542" s="94"/>
      <c r="M542" s="94"/>
      <c r="N542" s="94"/>
      <c r="O542" s="94"/>
      <c r="P542" s="94"/>
      <c r="Q542" s="94"/>
      <c r="R542" s="94"/>
      <c r="S542" s="94"/>
      <c r="T542" s="94"/>
      <c r="U542" s="94"/>
      <c r="V542" s="94"/>
      <c r="W542" s="94">
        <f>'II_Inkunabeln+'!BA542</f>
        <v>0</v>
      </c>
      <c r="X542" s="108"/>
      <c r="Y542" s="93">
        <f>'II_Inkunabeln+'!BI542</f>
        <v>0</v>
      </c>
      <c r="Z542" s="81">
        <f>'II_Inkunabeln+'!BJ542</f>
        <v>0</v>
      </c>
    </row>
    <row r="543" spans="1:26" x14ac:dyDescent="0.25">
      <c r="A543" s="63">
        <f>'II_Inkunabeln+'!A543</f>
        <v>519</v>
      </c>
      <c r="B543" s="63" t="str">
        <f>'II_Inkunabeln+'!B543</f>
        <v>L-1473-32690154X</v>
      </c>
      <c r="C543" s="63">
        <f>'II_Inkunabeln+'!C543</f>
        <v>1072097877</v>
      </c>
      <c r="D543" s="84" t="str">
        <f>'II_Inkunabeln+'!D543</f>
        <v>https://portal.dnb.de/opac.htm?method=simpleSearch&amp;cqlMode=true&amp;query=idn%3D1072097877</v>
      </c>
      <c r="E543" s="65" t="str">
        <f>'II_Inkunabeln+'!E543</f>
        <v>II 44,4a</v>
      </c>
      <c r="F543" s="65">
        <f>'II_Inkunabeln+'!H543</f>
        <v>0</v>
      </c>
      <c r="G543" s="93">
        <f>'II_Inkunabeln+'!X543</f>
        <v>0</v>
      </c>
      <c r="H543" s="93">
        <f>'II_Inkunabeln+'!AA543</f>
        <v>0</v>
      </c>
      <c r="I543" s="93">
        <f>'II_Inkunabeln+'!AC543</f>
        <v>0</v>
      </c>
      <c r="J543" s="94"/>
      <c r="K543" s="93">
        <f>'II_Inkunabeln+'!AD543</f>
        <v>0</v>
      </c>
      <c r="L543" s="94"/>
      <c r="M543" s="94"/>
      <c r="N543" s="94"/>
      <c r="O543" s="94"/>
      <c r="P543" s="94"/>
      <c r="Q543" s="94"/>
      <c r="R543" s="94"/>
      <c r="S543" s="94"/>
      <c r="T543" s="94"/>
      <c r="U543" s="94"/>
      <c r="V543" s="94"/>
      <c r="W543" s="94">
        <f>'II_Inkunabeln+'!BA543</f>
        <v>0</v>
      </c>
      <c r="X543" s="108"/>
      <c r="Y543" s="93">
        <f>'II_Inkunabeln+'!BI543</f>
        <v>0</v>
      </c>
      <c r="Z543" s="81">
        <f>'II_Inkunabeln+'!BJ543</f>
        <v>0</v>
      </c>
    </row>
    <row r="544" spans="1:26" x14ac:dyDescent="0.25">
      <c r="A544" s="63">
        <f>'II_Inkunabeln+'!A544</f>
        <v>520</v>
      </c>
      <c r="B544" s="63" t="str">
        <f>'II_Inkunabeln+'!B544</f>
        <v>L-1475-315498099</v>
      </c>
      <c r="C544" s="63">
        <f>'II_Inkunabeln+'!C544</f>
        <v>1066967830</v>
      </c>
      <c r="D544" s="84" t="str">
        <f>'II_Inkunabeln+'!D544</f>
        <v>https://portal.dnb.de/opac.htm?method=simpleSearch&amp;cqlMode=true&amp;query=idn%3D1066967830</v>
      </c>
      <c r="E544" s="65" t="str">
        <f>'II_Inkunabeln+'!E544</f>
        <v>II 44,5a</v>
      </c>
      <c r="F544" s="65" t="str">
        <f>'II_Inkunabeln+'!H544</f>
        <v>bis 35 cm</v>
      </c>
      <c r="G544" s="93">
        <f>'II_Inkunabeln+'!X544</f>
        <v>0</v>
      </c>
      <c r="H544" s="93">
        <f>'II_Inkunabeln+'!AA544</f>
        <v>0</v>
      </c>
      <c r="I544" s="93">
        <f>'II_Inkunabeln+'!AC544</f>
        <v>0</v>
      </c>
      <c r="J544" s="94"/>
      <c r="K544" s="93">
        <f>'II_Inkunabeln+'!AD544</f>
        <v>0</v>
      </c>
      <c r="L544" s="94"/>
      <c r="M544" s="94"/>
      <c r="N544" s="94"/>
      <c r="O544" s="94"/>
      <c r="P544" s="94"/>
      <c r="Q544" s="94"/>
      <c r="R544" s="94"/>
      <c r="S544" s="94"/>
      <c r="T544" s="94"/>
      <c r="U544" s="94"/>
      <c r="V544" s="94"/>
      <c r="W544" s="94">
        <f>'II_Inkunabeln+'!BA544</f>
        <v>0</v>
      </c>
      <c r="X544" s="108"/>
      <c r="Y544" s="93">
        <f>'II_Inkunabeln+'!BI544</f>
        <v>0</v>
      </c>
      <c r="Z544" s="81">
        <f>'II_Inkunabeln+'!BJ544</f>
        <v>0</v>
      </c>
    </row>
    <row r="545" spans="1:26" x14ac:dyDescent="0.25">
      <c r="A545" s="63">
        <f>'II_Inkunabeln+'!A545</f>
        <v>521</v>
      </c>
      <c r="B545" s="63" t="str">
        <f>'II_Inkunabeln+'!B545</f>
        <v>L-1476-315495782</v>
      </c>
      <c r="C545" s="63">
        <f>'II_Inkunabeln+'!C545</f>
        <v>1066965560</v>
      </c>
      <c r="D545" s="84" t="str">
        <f>'II_Inkunabeln+'!D545</f>
        <v>https://portal.dnb.de/opac.htm?method=simpleSearch&amp;cqlMode=true&amp;query=idn%3D1066965560</v>
      </c>
      <c r="E545" s="65" t="str">
        <f>'II_Inkunabeln+'!E545</f>
        <v>II 45,1a</v>
      </c>
      <c r="F545" s="65">
        <f>'II_Inkunabeln+'!H545</f>
        <v>0</v>
      </c>
      <c r="G545" s="93">
        <f>'II_Inkunabeln+'!X545</f>
        <v>0</v>
      </c>
      <c r="H545" s="93">
        <f>'II_Inkunabeln+'!AA545</f>
        <v>0</v>
      </c>
      <c r="I545" s="93">
        <f>'II_Inkunabeln+'!AC545</f>
        <v>0</v>
      </c>
      <c r="J545" s="94"/>
      <c r="K545" s="93">
        <f>'II_Inkunabeln+'!AD545</f>
        <v>0</v>
      </c>
      <c r="L545" s="94"/>
      <c r="M545" s="94"/>
      <c r="N545" s="94"/>
      <c r="O545" s="94"/>
      <c r="P545" s="94"/>
      <c r="Q545" s="94"/>
      <c r="R545" s="94"/>
      <c r="S545" s="94"/>
      <c r="T545" s="94"/>
      <c r="U545" s="94"/>
      <c r="V545" s="94"/>
      <c r="W545" s="94">
        <f>'II_Inkunabeln+'!BA545</f>
        <v>0</v>
      </c>
      <c r="X545" s="108"/>
      <c r="Y545" s="93">
        <f>'II_Inkunabeln+'!BI545</f>
        <v>0</v>
      </c>
      <c r="Z545" s="81">
        <f>'II_Inkunabeln+'!BJ545</f>
        <v>0</v>
      </c>
    </row>
    <row r="546" spans="1:26" x14ac:dyDescent="0.25">
      <c r="A546" s="63">
        <f>'II_Inkunabeln+'!A546</f>
        <v>522</v>
      </c>
      <c r="B546" s="63" t="str">
        <f>'II_Inkunabeln+'!B546</f>
        <v>L-1481-31549655X</v>
      </c>
      <c r="C546" s="63">
        <f>'II_Inkunabeln+'!C546</f>
        <v>1066966265</v>
      </c>
      <c r="D546" s="84" t="str">
        <f>'II_Inkunabeln+'!D546</f>
        <v>https://portal.dnb.de/opac.htm?method=simpleSearch&amp;cqlMode=true&amp;query=idn%3D1066966265</v>
      </c>
      <c r="E546" s="65" t="str">
        <f>'II_Inkunabeln+'!E546</f>
        <v>II 45,1b</v>
      </c>
      <c r="F546" s="65" t="str">
        <f>'II_Inkunabeln+'!H546</f>
        <v>bis 35 cm</v>
      </c>
      <c r="G546" s="93">
        <f>'II_Inkunabeln+'!X546</f>
        <v>0</v>
      </c>
      <c r="H546" s="93">
        <f>'II_Inkunabeln+'!AA546</f>
        <v>0</v>
      </c>
      <c r="I546" s="93">
        <f>'II_Inkunabeln+'!AC546</f>
        <v>0</v>
      </c>
      <c r="J546" s="94"/>
      <c r="K546" s="93">
        <f>'II_Inkunabeln+'!AD546</f>
        <v>0</v>
      </c>
      <c r="L546" s="94"/>
      <c r="M546" s="94"/>
      <c r="N546" s="94"/>
      <c r="O546" s="94"/>
      <c r="P546" s="94"/>
      <c r="Q546" s="94"/>
      <c r="R546" s="94"/>
      <c r="S546" s="94"/>
      <c r="T546" s="94"/>
      <c r="U546" s="94"/>
      <c r="V546" s="94"/>
      <c r="W546" s="94">
        <f>'II_Inkunabeln+'!BA546</f>
        <v>0</v>
      </c>
      <c r="X546" s="108"/>
      <c r="Y546" s="93">
        <f>'II_Inkunabeln+'!BI546</f>
        <v>0</v>
      </c>
      <c r="Z546" s="81">
        <f>'II_Inkunabeln+'!BJ546</f>
        <v>0</v>
      </c>
    </row>
    <row r="547" spans="1:26" x14ac:dyDescent="0.25">
      <c r="A547" s="63">
        <f>'II_Inkunabeln+'!A547</f>
        <v>523</v>
      </c>
      <c r="B547" s="63" t="str">
        <f>'II_Inkunabeln+'!B547</f>
        <v>L-1475-326901868</v>
      </c>
      <c r="C547" s="63">
        <f>'II_Inkunabeln+'!C547</f>
        <v>1072098342</v>
      </c>
      <c r="D547" s="84" t="str">
        <f>'II_Inkunabeln+'!D547</f>
        <v>https://portal.dnb.de/opac.htm?method=simpleSearch&amp;cqlMode=true&amp;query=idn%3D1072098342</v>
      </c>
      <c r="E547" s="65" t="str">
        <f>'II_Inkunabeln+'!E547</f>
        <v>II 46,1a</v>
      </c>
      <c r="F547" s="65">
        <f>'II_Inkunabeln+'!H547</f>
        <v>0</v>
      </c>
      <c r="G547" s="93">
        <f>'II_Inkunabeln+'!X547</f>
        <v>0</v>
      </c>
      <c r="H547" s="93">
        <f>'II_Inkunabeln+'!AA547</f>
        <v>0</v>
      </c>
      <c r="I547" s="93">
        <f>'II_Inkunabeln+'!AC547</f>
        <v>0</v>
      </c>
      <c r="J547" s="94"/>
      <c r="K547" s="93">
        <f>'II_Inkunabeln+'!AD547</f>
        <v>0</v>
      </c>
      <c r="L547" s="94"/>
      <c r="M547" s="94"/>
      <c r="N547" s="94"/>
      <c r="O547" s="94"/>
      <c r="P547" s="94"/>
      <c r="Q547" s="94"/>
      <c r="R547" s="94"/>
      <c r="S547" s="94"/>
      <c r="T547" s="94"/>
      <c r="U547" s="94"/>
      <c r="V547" s="94"/>
      <c r="W547" s="94">
        <f>'II_Inkunabeln+'!BA547</f>
        <v>0</v>
      </c>
      <c r="X547" s="108"/>
      <c r="Y547" s="93">
        <f>'II_Inkunabeln+'!BI547</f>
        <v>0</v>
      </c>
      <c r="Z547" s="81">
        <f>'II_Inkunabeln+'!BJ547</f>
        <v>0</v>
      </c>
    </row>
    <row r="548" spans="1:26" x14ac:dyDescent="0.25">
      <c r="A548" s="63">
        <f>'II_Inkunabeln+'!A548</f>
        <v>524</v>
      </c>
      <c r="B548" s="63" t="str">
        <f>'II_Inkunabeln+'!B548</f>
        <v>L-1480-315502002</v>
      </c>
      <c r="C548" s="63">
        <f>'II_Inkunabeln+'!C548</f>
        <v>1066971625</v>
      </c>
      <c r="D548" s="84" t="str">
        <f>'II_Inkunabeln+'!D548</f>
        <v>https://portal.dnb.de/opac.htm?method=simpleSearch&amp;cqlMode=true&amp;query=idn%3D1066971625</v>
      </c>
      <c r="E548" s="65" t="str">
        <f>'II_Inkunabeln+'!E548</f>
        <v>II 48,1a</v>
      </c>
      <c r="F548" s="65">
        <f>'II_Inkunabeln+'!H548</f>
        <v>0</v>
      </c>
      <c r="G548" s="93">
        <f>'II_Inkunabeln+'!X548</f>
        <v>0</v>
      </c>
      <c r="H548" s="93">
        <f>'II_Inkunabeln+'!AA548</f>
        <v>0</v>
      </c>
      <c r="I548" s="93">
        <f>'II_Inkunabeln+'!AC548</f>
        <v>0</v>
      </c>
      <c r="J548" s="94"/>
      <c r="K548" s="93">
        <f>'II_Inkunabeln+'!AD548</f>
        <v>0</v>
      </c>
      <c r="L548" s="94"/>
      <c r="M548" s="94"/>
      <c r="N548" s="94"/>
      <c r="O548" s="94"/>
      <c r="P548" s="94"/>
      <c r="Q548" s="94"/>
      <c r="R548" s="94"/>
      <c r="S548" s="94"/>
      <c r="T548" s="94"/>
      <c r="U548" s="94"/>
      <c r="V548" s="94"/>
      <c r="W548" s="94">
        <f>'II_Inkunabeln+'!BA548</f>
        <v>0</v>
      </c>
      <c r="X548" s="108"/>
      <c r="Y548" s="93">
        <f>'II_Inkunabeln+'!BI548</f>
        <v>0</v>
      </c>
      <c r="Z548" s="81">
        <f>'II_Inkunabeln+'!BJ548</f>
        <v>0</v>
      </c>
    </row>
    <row r="549" spans="1:26" x14ac:dyDescent="0.25">
      <c r="A549" s="63">
        <f>'II_Inkunabeln+'!A549</f>
        <v>525</v>
      </c>
      <c r="B549" s="63" t="str">
        <f>'II_Inkunabeln+'!B549</f>
        <v>L-1492-315501766</v>
      </c>
      <c r="C549" s="63">
        <f>'II_Inkunabeln+'!C549</f>
        <v>1066971390</v>
      </c>
      <c r="D549" s="84" t="str">
        <f>'II_Inkunabeln+'!D549</f>
        <v>https://portal.dnb.de/opac.htm?method=simpleSearch&amp;cqlMode=true&amp;query=idn%3D1066971390</v>
      </c>
      <c r="E549" s="65" t="str">
        <f>'II_Inkunabeln+'!E549</f>
        <v>II 49,1a</v>
      </c>
      <c r="F549" s="65">
        <f>'II_Inkunabeln+'!H549</f>
        <v>0</v>
      </c>
      <c r="G549" s="93">
        <f>'II_Inkunabeln+'!X549</f>
        <v>0</v>
      </c>
      <c r="H549" s="93">
        <f>'II_Inkunabeln+'!AA549</f>
        <v>0</v>
      </c>
      <c r="I549" s="93">
        <f>'II_Inkunabeln+'!AC549</f>
        <v>0</v>
      </c>
      <c r="J549" s="94"/>
      <c r="K549" s="93">
        <f>'II_Inkunabeln+'!AD549</f>
        <v>0</v>
      </c>
      <c r="L549" s="94"/>
      <c r="M549" s="94"/>
      <c r="N549" s="94"/>
      <c r="O549" s="94"/>
      <c r="P549" s="94"/>
      <c r="Q549" s="94"/>
      <c r="R549" s="94"/>
      <c r="S549" s="94"/>
      <c r="T549" s="94"/>
      <c r="U549" s="94"/>
      <c r="V549" s="94"/>
      <c r="W549" s="94">
        <f>'II_Inkunabeln+'!BA549</f>
        <v>0</v>
      </c>
      <c r="X549" s="108"/>
      <c r="Y549" s="93">
        <f>'II_Inkunabeln+'!BI549</f>
        <v>0</v>
      </c>
      <c r="Z549" s="81">
        <f>'II_Inkunabeln+'!BJ549</f>
        <v>0</v>
      </c>
    </row>
    <row r="550" spans="1:26" x14ac:dyDescent="0.25">
      <c r="A550" s="63">
        <f>'II_Inkunabeln+'!A550</f>
        <v>526</v>
      </c>
      <c r="B550" s="63" t="str">
        <f>'II_Inkunabeln+'!B550</f>
        <v>L-1484-327281405</v>
      </c>
      <c r="C550" s="63">
        <f>'II_Inkunabeln+'!C550</f>
        <v>1072322579</v>
      </c>
      <c r="D550" s="84" t="str">
        <f>'II_Inkunabeln+'!D550</f>
        <v>https://portal.dnb.de/opac.htm?method=simpleSearch&amp;cqlMode=true&amp;query=idn%3D1072322579</v>
      </c>
      <c r="E550" s="65" t="str">
        <f>'II_Inkunabeln+'!E550</f>
        <v>II 50,1b</v>
      </c>
      <c r="F550" s="65">
        <f>'II_Inkunabeln+'!H550</f>
        <v>0</v>
      </c>
      <c r="G550" s="93">
        <f>'II_Inkunabeln+'!X550</f>
        <v>0</v>
      </c>
      <c r="H550" s="93">
        <f>'II_Inkunabeln+'!AA550</f>
        <v>0</v>
      </c>
      <c r="I550" s="93">
        <f>'II_Inkunabeln+'!AC550</f>
        <v>0</v>
      </c>
      <c r="J550" s="94"/>
      <c r="K550" s="93">
        <f>'II_Inkunabeln+'!AD550</f>
        <v>0</v>
      </c>
      <c r="L550" s="94"/>
      <c r="M550" s="94"/>
      <c r="N550" s="94"/>
      <c r="O550" s="94"/>
      <c r="P550" s="94"/>
      <c r="Q550" s="94"/>
      <c r="R550" s="94"/>
      <c r="S550" s="94"/>
      <c r="T550" s="94"/>
      <c r="U550" s="94"/>
      <c r="V550" s="94"/>
      <c r="W550" s="94">
        <f>'II_Inkunabeln+'!BA550</f>
        <v>0</v>
      </c>
      <c r="X550" s="108"/>
      <c r="Y550" s="93">
        <f>'II_Inkunabeln+'!BI550</f>
        <v>0</v>
      </c>
      <c r="Z550" s="81">
        <f>'II_Inkunabeln+'!BJ550</f>
        <v>0</v>
      </c>
    </row>
    <row r="551" spans="1:26" x14ac:dyDescent="0.25">
      <c r="A551" s="63">
        <f>'II_Inkunabeln+'!A551</f>
        <v>527</v>
      </c>
      <c r="B551" s="63" t="str">
        <f>'II_Inkunabeln+'!B551</f>
        <v>L-1480-327281618</v>
      </c>
      <c r="C551" s="63">
        <f>'II_Inkunabeln+'!C551</f>
        <v>1072322838</v>
      </c>
      <c r="D551" s="84" t="str">
        <f>'II_Inkunabeln+'!D551</f>
        <v>https://portal.dnb.de/opac.htm?method=simpleSearch&amp;cqlMode=true&amp;query=idn%3D1072322838</v>
      </c>
      <c r="E551" s="65" t="str">
        <f>'II_Inkunabeln+'!E551</f>
        <v>II 51,1b</v>
      </c>
      <c r="F551" s="65">
        <f>'II_Inkunabeln+'!H551</f>
        <v>0</v>
      </c>
      <c r="G551" s="93">
        <f>'II_Inkunabeln+'!X551</f>
        <v>0</v>
      </c>
      <c r="H551" s="93">
        <f>'II_Inkunabeln+'!AA551</f>
        <v>0</v>
      </c>
      <c r="I551" s="93">
        <f>'II_Inkunabeln+'!AC551</f>
        <v>0</v>
      </c>
      <c r="J551" s="94"/>
      <c r="K551" s="93">
        <f>'II_Inkunabeln+'!AD551</f>
        <v>0</v>
      </c>
      <c r="L551" s="94"/>
      <c r="M551" s="94"/>
      <c r="N551" s="94"/>
      <c r="O551" s="94"/>
      <c r="P551" s="94"/>
      <c r="Q551" s="94"/>
      <c r="R551" s="94"/>
      <c r="S551" s="94"/>
      <c r="T551" s="94"/>
      <c r="U551" s="94"/>
      <c r="V551" s="94"/>
      <c r="W551" s="94">
        <f>'II_Inkunabeln+'!BA551</f>
        <v>0</v>
      </c>
      <c r="X551" s="108"/>
      <c r="Y551" s="93">
        <f>'II_Inkunabeln+'!BI551</f>
        <v>0</v>
      </c>
      <c r="Z551" s="81">
        <f>'II_Inkunabeln+'!BJ551</f>
        <v>0</v>
      </c>
    </row>
    <row r="552" spans="1:26" x14ac:dyDescent="0.25">
      <c r="A552" s="63">
        <f>'II_Inkunabeln+'!A552</f>
        <v>528</v>
      </c>
      <c r="B552" s="63" t="str">
        <f>'II_Inkunabeln+'!B552</f>
        <v>L-1476-315497963</v>
      </c>
      <c r="C552" s="63">
        <f>'II_Inkunabeln+'!C552</f>
        <v>1066967709</v>
      </c>
      <c r="D552" s="84" t="str">
        <f>'II_Inkunabeln+'!D552</f>
        <v>https://portal.dnb.de/opac.htm?method=simpleSearch&amp;cqlMode=true&amp;query=idn%3D1066967709</v>
      </c>
      <c r="E552" s="65" t="str">
        <f>'II_Inkunabeln+'!E552</f>
        <v>II 51,1b (angebunden)</v>
      </c>
      <c r="F552" s="65">
        <f>'II_Inkunabeln+'!H552</f>
        <v>0</v>
      </c>
      <c r="G552" s="93">
        <f>'II_Inkunabeln+'!X552</f>
        <v>0</v>
      </c>
      <c r="H552" s="93">
        <f>'II_Inkunabeln+'!AA552</f>
        <v>0</v>
      </c>
      <c r="I552" s="93">
        <f>'II_Inkunabeln+'!AC552</f>
        <v>0</v>
      </c>
      <c r="J552" s="94"/>
      <c r="K552" s="93">
        <f>'II_Inkunabeln+'!AD552</f>
        <v>0</v>
      </c>
      <c r="L552" s="94"/>
      <c r="M552" s="94"/>
      <c r="N552" s="94"/>
      <c r="O552" s="94"/>
      <c r="P552" s="94"/>
      <c r="Q552" s="94"/>
      <c r="R552" s="94"/>
      <c r="S552" s="94"/>
      <c r="T552" s="94"/>
      <c r="U552" s="94"/>
      <c r="V552" s="94"/>
      <c r="W552" s="94">
        <f>'II_Inkunabeln+'!BA552</f>
        <v>0</v>
      </c>
      <c r="X552" s="108"/>
      <c r="Y552" s="93">
        <f>'II_Inkunabeln+'!BI552</f>
        <v>0</v>
      </c>
      <c r="Z552" s="81">
        <f>'II_Inkunabeln+'!BJ552</f>
        <v>0</v>
      </c>
    </row>
    <row r="553" spans="1:26" x14ac:dyDescent="0.25">
      <c r="A553" s="63">
        <f>'II_Inkunabeln+'!A553</f>
        <v>529</v>
      </c>
      <c r="B553" s="63" t="str">
        <f>'II_Inkunabeln+'!B553</f>
        <v>L-1480-315502282</v>
      </c>
      <c r="C553" s="63">
        <f>'II_Inkunabeln+'!C553</f>
        <v>1066971889</v>
      </c>
      <c r="D553" s="84" t="str">
        <f>'II_Inkunabeln+'!D553</f>
        <v>https://portal.dnb.de/opac.htm?method=simpleSearch&amp;cqlMode=true&amp;query=idn%3D1066971889</v>
      </c>
      <c r="E553" s="65" t="str">
        <f>'II_Inkunabeln+'!E553</f>
        <v>II 51,1c</v>
      </c>
      <c r="F553" s="65">
        <f>'II_Inkunabeln+'!H553</f>
        <v>0</v>
      </c>
      <c r="G553" s="93">
        <f>'II_Inkunabeln+'!X553</f>
        <v>0</v>
      </c>
      <c r="H553" s="93">
        <f>'II_Inkunabeln+'!AA553</f>
        <v>0</v>
      </c>
      <c r="I553" s="93">
        <f>'II_Inkunabeln+'!AC553</f>
        <v>0</v>
      </c>
      <c r="J553" s="94"/>
      <c r="K553" s="93">
        <f>'II_Inkunabeln+'!AD553</f>
        <v>0</v>
      </c>
      <c r="L553" s="94"/>
      <c r="M553" s="94"/>
      <c r="N553" s="94"/>
      <c r="O553" s="94"/>
      <c r="P553" s="94"/>
      <c r="Q553" s="94"/>
      <c r="R553" s="94"/>
      <c r="S553" s="94"/>
      <c r="T553" s="94"/>
      <c r="U553" s="94"/>
      <c r="V553" s="94"/>
      <c r="W553" s="94">
        <f>'II_Inkunabeln+'!BA553</f>
        <v>0</v>
      </c>
      <c r="X553" s="108"/>
      <c r="Y553" s="93">
        <f>'II_Inkunabeln+'!BI553</f>
        <v>0</v>
      </c>
      <c r="Z553" s="81">
        <f>'II_Inkunabeln+'!BJ553</f>
        <v>0</v>
      </c>
    </row>
    <row r="554" spans="1:26" x14ac:dyDescent="0.25">
      <c r="A554" s="63">
        <f>'II_Inkunabeln+'!A554</f>
        <v>530</v>
      </c>
      <c r="B554" s="63" t="str">
        <f>'II_Inkunabeln+'!B554</f>
        <v>L-1480-315501715</v>
      </c>
      <c r="C554" s="63" t="str">
        <f>'II_Inkunabeln+'!C554</f>
        <v>106697134X</v>
      </c>
      <c r="D554" s="84" t="str">
        <f>'II_Inkunabeln+'!D554</f>
        <v>https://portal.dnb.de/opac.htm?method=simpleSearch&amp;cqlMode=true&amp;query=idn%3D106697134X</v>
      </c>
      <c r="E554" s="65" t="str">
        <f>'II_Inkunabeln+'!E554</f>
        <v>II 52,2a</v>
      </c>
      <c r="F554" s="65">
        <f>'II_Inkunabeln+'!H554</f>
        <v>0</v>
      </c>
      <c r="G554" s="93">
        <f>'II_Inkunabeln+'!X554</f>
        <v>0</v>
      </c>
      <c r="H554" s="93">
        <f>'II_Inkunabeln+'!AA554</f>
        <v>0</v>
      </c>
      <c r="I554" s="93">
        <f>'II_Inkunabeln+'!AC554</f>
        <v>0</v>
      </c>
      <c r="J554" s="94"/>
      <c r="K554" s="93">
        <f>'II_Inkunabeln+'!AD554</f>
        <v>0</v>
      </c>
      <c r="L554" s="94"/>
      <c r="M554" s="94"/>
      <c r="N554" s="94"/>
      <c r="O554" s="94"/>
      <c r="P554" s="94"/>
      <c r="Q554" s="94"/>
      <c r="R554" s="94"/>
      <c r="S554" s="94"/>
      <c r="T554" s="94"/>
      <c r="U554" s="94"/>
      <c r="V554" s="94"/>
      <c r="W554" s="94">
        <f>'II_Inkunabeln+'!BA554</f>
        <v>0</v>
      </c>
      <c r="X554" s="108"/>
      <c r="Y554" s="93">
        <f>'II_Inkunabeln+'!BI554</f>
        <v>0</v>
      </c>
      <c r="Z554" s="81">
        <f>'II_Inkunabeln+'!BJ554</f>
        <v>0</v>
      </c>
    </row>
    <row r="555" spans="1:26" x14ac:dyDescent="0.25">
      <c r="A555" s="63">
        <f>'II_Inkunabeln+'!A555</f>
        <v>531</v>
      </c>
      <c r="B555" s="63" t="str">
        <f>'II_Inkunabeln+'!B555</f>
        <v>L-1493-315495359</v>
      </c>
      <c r="C555" s="63" t="str">
        <f>'II_Inkunabeln+'!C555</f>
        <v>106696520X</v>
      </c>
      <c r="D555" s="84" t="str">
        <f>'II_Inkunabeln+'!D555</f>
        <v>https://portal.dnb.de/opac.htm?method=simpleSearch&amp;cqlMode=true&amp;query=idn%3D106696520X</v>
      </c>
      <c r="E555" s="65" t="str">
        <f>'II_Inkunabeln+'!E555</f>
        <v>II 52,2b</v>
      </c>
      <c r="F555" s="65">
        <f>'II_Inkunabeln+'!H555</f>
        <v>0</v>
      </c>
      <c r="G555" s="93">
        <f>'II_Inkunabeln+'!X555</f>
        <v>0</v>
      </c>
      <c r="H555" s="93">
        <f>'II_Inkunabeln+'!AA555</f>
        <v>0</v>
      </c>
      <c r="I555" s="93">
        <f>'II_Inkunabeln+'!AC555</f>
        <v>0</v>
      </c>
      <c r="J555" s="94"/>
      <c r="K555" s="93">
        <f>'II_Inkunabeln+'!AD555</f>
        <v>0</v>
      </c>
      <c r="L555" s="94"/>
      <c r="M555" s="94"/>
      <c r="N555" s="94"/>
      <c r="O555" s="94"/>
      <c r="P555" s="94"/>
      <c r="Q555" s="94"/>
      <c r="R555" s="94"/>
      <c r="S555" s="94"/>
      <c r="T555" s="94"/>
      <c r="U555" s="94"/>
      <c r="V555" s="94"/>
      <c r="W555" s="94">
        <f>'II_Inkunabeln+'!BA555</f>
        <v>0</v>
      </c>
      <c r="X555" s="108"/>
      <c r="Y555" s="93">
        <f>'II_Inkunabeln+'!BI555</f>
        <v>0</v>
      </c>
      <c r="Z555" s="81">
        <f>'II_Inkunabeln+'!BJ555</f>
        <v>0</v>
      </c>
    </row>
    <row r="556" spans="1:26" x14ac:dyDescent="0.25">
      <c r="A556" s="63">
        <f>'II_Inkunabeln+'!A556</f>
        <v>532</v>
      </c>
      <c r="B556" s="63" t="str">
        <f>'II_Inkunabeln+'!B556</f>
        <v>L-1470-315497491</v>
      </c>
      <c r="C556" s="63">
        <f>'II_Inkunabeln+'!C556</f>
        <v>1066967229</v>
      </c>
      <c r="D556" s="84" t="str">
        <f>'II_Inkunabeln+'!D556</f>
        <v>https://portal.dnb.de/opac.htm?method=simpleSearch&amp;cqlMode=true&amp;query=idn%3D1066967229</v>
      </c>
      <c r="E556" s="65" t="str">
        <f>'II_Inkunabeln+'!E556</f>
        <v>II 54,1a</v>
      </c>
      <c r="F556" s="65">
        <f>'II_Inkunabeln+'!H556</f>
        <v>0</v>
      </c>
      <c r="G556" s="93">
        <f>'II_Inkunabeln+'!X556</f>
        <v>0</v>
      </c>
      <c r="H556" s="93">
        <f>'II_Inkunabeln+'!AA556</f>
        <v>0</v>
      </c>
      <c r="I556" s="93">
        <f>'II_Inkunabeln+'!AC556</f>
        <v>0</v>
      </c>
      <c r="J556" s="94"/>
      <c r="K556" s="93">
        <f>'II_Inkunabeln+'!AD556</f>
        <v>0</v>
      </c>
      <c r="L556" s="94"/>
      <c r="M556" s="94"/>
      <c r="N556" s="94"/>
      <c r="O556" s="94"/>
      <c r="P556" s="94"/>
      <c r="Q556" s="94"/>
      <c r="R556" s="94"/>
      <c r="S556" s="94"/>
      <c r="T556" s="94"/>
      <c r="U556" s="94"/>
      <c r="V556" s="94"/>
      <c r="W556" s="94">
        <f>'II_Inkunabeln+'!BA556</f>
        <v>0</v>
      </c>
      <c r="X556" s="108"/>
      <c r="Y556" s="93">
        <f>'II_Inkunabeln+'!BI556</f>
        <v>0</v>
      </c>
      <c r="Z556" s="81">
        <f>'II_Inkunabeln+'!BJ556</f>
        <v>0</v>
      </c>
    </row>
    <row r="557" spans="1:26" x14ac:dyDescent="0.25">
      <c r="A557" s="63">
        <f>'II_Inkunabeln+'!A557</f>
        <v>533</v>
      </c>
      <c r="B557" s="63" t="str">
        <f>'II_Inkunabeln+'!B557</f>
        <v>L-1481-326902260</v>
      </c>
      <c r="C557" s="63">
        <f>'II_Inkunabeln+'!C557</f>
        <v>1072098903</v>
      </c>
      <c r="D557" s="84" t="str">
        <f>'II_Inkunabeln+'!D557</f>
        <v>https://portal.dnb.de/opac.htm?method=simpleSearch&amp;cqlMode=true&amp;query=idn%3D1072098903</v>
      </c>
      <c r="E557" s="65" t="str">
        <f>'II_Inkunabeln+'!E557</f>
        <v>II 56,1a</v>
      </c>
      <c r="F557" s="65">
        <f>'II_Inkunabeln+'!H557</f>
        <v>0</v>
      </c>
      <c r="G557" s="93">
        <f>'II_Inkunabeln+'!X557</f>
        <v>0</v>
      </c>
      <c r="H557" s="93">
        <f>'II_Inkunabeln+'!AA557</f>
        <v>0</v>
      </c>
      <c r="I557" s="93">
        <f>'II_Inkunabeln+'!AC557</f>
        <v>0</v>
      </c>
      <c r="J557" s="94"/>
      <c r="K557" s="93">
        <f>'II_Inkunabeln+'!AD557</f>
        <v>0</v>
      </c>
      <c r="L557" s="94"/>
      <c r="M557" s="94"/>
      <c r="N557" s="94"/>
      <c r="O557" s="94"/>
      <c r="P557" s="94"/>
      <c r="Q557" s="94"/>
      <c r="R557" s="94"/>
      <c r="S557" s="94"/>
      <c r="T557" s="94"/>
      <c r="U557" s="94"/>
      <c r="V557" s="94"/>
      <c r="W557" s="94">
        <f>'II_Inkunabeln+'!BA557</f>
        <v>0</v>
      </c>
      <c r="X557" s="108"/>
      <c r="Y557" s="93">
        <f>'II_Inkunabeln+'!BI557</f>
        <v>0</v>
      </c>
      <c r="Z557" s="81">
        <f>'II_Inkunabeln+'!BJ557</f>
        <v>0</v>
      </c>
    </row>
    <row r="558" spans="1:26" x14ac:dyDescent="0.25">
      <c r="A558" s="63">
        <f>'II_Inkunabeln+'!A558</f>
        <v>534</v>
      </c>
      <c r="B558" s="63" t="str">
        <f>'II_Inkunabeln+'!B558</f>
        <v>L-1491-326902686</v>
      </c>
      <c r="C558" s="63">
        <f>'II_Inkunabeln+'!C558</f>
        <v>1072099748</v>
      </c>
      <c r="D558" s="84" t="str">
        <f>'II_Inkunabeln+'!D558</f>
        <v>https://portal.dnb.de/opac.htm?method=simpleSearch&amp;cqlMode=true&amp;query=idn%3D1072099748</v>
      </c>
      <c r="E558" s="65" t="str">
        <f>'II_Inkunabeln+'!E558</f>
        <v>II 61,1a</v>
      </c>
      <c r="F558" s="65">
        <f>'II_Inkunabeln+'!H558</f>
        <v>0</v>
      </c>
      <c r="G558" s="93">
        <f>'II_Inkunabeln+'!X558</f>
        <v>0</v>
      </c>
      <c r="H558" s="93">
        <f>'II_Inkunabeln+'!AA558</f>
        <v>0</v>
      </c>
      <c r="I558" s="93">
        <f>'II_Inkunabeln+'!AC558</f>
        <v>0</v>
      </c>
      <c r="J558" s="94"/>
      <c r="K558" s="93">
        <f>'II_Inkunabeln+'!AD558</f>
        <v>0</v>
      </c>
      <c r="L558" s="94"/>
      <c r="M558" s="94"/>
      <c r="N558" s="94"/>
      <c r="O558" s="94"/>
      <c r="P558" s="94"/>
      <c r="Q558" s="94"/>
      <c r="R558" s="94"/>
      <c r="S558" s="94"/>
      <c r="T558" s="94"/>
      <c r="U558" s="94"/>
      <c r="V558" s="94"/>
      <c r="W558" s="94">
        <f>'II_Inkunabeln+'!BA558</f>
        <v>0</v>
      </c>
      <c r="X558" s="108"/>
      <c r="Y558" s="93">
        <f>'II_Inkunabeln+'!BI558</f>
        <v>0</v>
      </c>
      <c r="Z558" s="81">
        <f>'II_Inkunabeln+'!BJ558</f>
        <v>0</v>
      </c>
    </row>
    <row r="559" spans="1:26" x14ac:dyDescent="0.25">
      <c r="A559" s="63">
        <f>'II_Inkunabeln+'!A559</f>
        <v>535</v>
      </c>
      <c r="B559" s="63" t="str">
        <f>'II_Inkunabeln+'!B559</f>
        <v>L-1480-315496304</v>
      </c>
      <c r="C559" s="63">
        <f>'II_Inkunabeln+'!C559</f>
        <v>1066966001</v>
      </c>
      <c r="D559" s="84" t="str">
        <f>'II_Inkunabeln+'!D559</f>
        <v>https://portal.dnb.de/opac.htm?method=simpleSearch&amp;cqlMode=true&amp;query=idn%3D1066966001</v>
      </c>
      <c r="E559" s="65" t="str">
        <f>'II_Inkunabeln+'!E559</f>
        <v>II 62,1a</v>
      </c>
      <c r="F559" s="65">
        <f>'II_Inkunabeln+'!H559</f>
        <v>0</v>
      </c>
      <c r="G559" s="93">
        <f>'II_Inkunabeln+'!X559</f>
        <v>0</v>
      </c>
      <c r="H559" s="93">
        <f>'II_Inkunabeln+'!AA559</f>
        <v>0</v>
      </c>
      <c r="I559" s="93">
        <f>'II_Inkunabeln+'!AC559</f>
        <v>0</v>
      </c>
      <c r="J559" s="94"/>
      <c r="K559" s="93">
        <f>'II_Inkunabeln+'!AD559</f>
        <v>0</v>
      </c>
      <c r="L559" s="94"/>
      <c r="M559" s="94"/>
      <c r="N559" s="94"/>
      <c r="O559" s="94"/>
      <c r="P559" s="94"/>
      <c r="Q559" s="94"/>
      <c r="R559" s="94"/>
      <c r="S559" s="94"/>
      <c r="T559" s="94"/>
      <c r="U559" s="94"/>
      <c r="V559" s="94"/>
      <c r="W559" s="94">
        <f>'II_Inkunabeln+'!BA559</f>
        <v>0</v>
      </c>
      <c r="X559" s="108"/>
      <c r="Y559" s="93">
        <f>'II_Inkunabeln+'!BI559</f>
        <v>0</v>
      </c>
      <c r="Z559" s="81">
        <f>'II_Inkunabeln+'!BJ559</f>
        <v>0</v>
      </c>
    </row>
    <row r="560" spans="1:26" x14ac:dyDescent="0.25">
      <c r="A560" s="63">
        <f>'II_Inkunabeln+'!A560</f>
        <v>536</v>
      </c>
      <c r="B560" s="63" t="str">
        <f>'II_Inkunabeln+'!B560</f>
        <v>L-1482-315499834</v>
      </c>
      <c r="C560" s="63">
        <f>'II_Inkunabeln+'!C560</f>
        <v>1066969507</v>
      </c>
      <c r="D560" s="84" t="str">
        <f>'II_Inkunabeln+'!D560</f>
        <v>https://portal.dnb.de/opac.htm?method=simpleSearch&amp;cqlMode=true&amp;query=idn%3D1066969507</v>
      </c>
      <c r="E560" s="65" t="str">
        <f>'II_Inkunabeln+'!E560</f>
        <v>II 62,2a</v>
      </c>
      <c r="F560" s="65">
        <f>'II_Inkunabeln+'!H560</f>
        <v>0</v>
      </c>
      <c r="G560" s="93">
        <f>'II_Inkunabeln+'!X560</f>
        <v>0</v>
      </c>
      <c r="H560" s="93">
        <f>'II_Inkunabeln+'!AA560</f>
        <v>0</v>
      </c>
      <c r="I560" s="93">
        <f>'II_Inkunabeln+'!AC560</f>
        <v>0</v>
      </c>
      <c r="J560" s="94"/>
      <c r="K560" s="93">
        <f>'II_Inkunabeln+'!AD560</f>
        <v>0</v>
      </c>
      <c r="L560" s="94"/>
      <c r="M560" s="94"/>
      <c r="N560" s="94"/>
      <c r="O560" s="94"/>
      <c r="P560" s="94"/>
      <c r="Q560" s="94"/>
      <c r="R560" s="94"/>
      <c r="S560" s="94"/>
      <c r="T560" s="94"/>
      <c r="U560" s="94"/>
      <c r="V560" s="94"/>
      <c r="W560" s="94">
        <f>'II_Inkunabeln+'!BA560</f>
        <v>0</v>
      </c>
      <c r="X560" s="108"/>
      <c r="Y560" s="93">
        <f>'II_Inkunabeln+'!BI560</f>
        <v>0</v>
      </c>
      <c r="Z560" s="81">
        <f>'II_Inkunabeln+'!BJ560</f>
        <v>0</v>
      </c>
    </row>
    <row r="561" spans="1:26" x14ac:dyDescent="0.25">
      <c r="A561" s="63">
        <f>'II_Inkunabeln+'!A561</f>
        <v>537</v>
      </c>
      <c r="B561" s="63" t="str">
        <f>'II_Inkunabeln+'!B561</f>
        <v>L-1497-31550336X</v>
      </c>
      <c r="C561" s="63">
        <f>'II_Inkunabeln+'!C561</f>
        <v>1066972982</v>
      </c>
      <c r="D561" s="84" t="str">
        <f>'II_Inkunabeln+'!D561</f>
        <v>https://portal.dnb.de/opac.htm?method=simpleSearch&amp;cqlMode=true&amp;query=idn%3D1066972982</v>
      </c>
      <c r="E561" s="65" t="str">
        <f>'II_Inkunabeln+'!E561</f>
        <v>II 62,3a</v>
      </c>
      <c r="F561" s="65">
        <f>'II_Inkunabeln+'!H561</f>
        <v>0</v>
      </c>
      <c r="G561" s="93">
        <f>'II_Inkunabeln+'!X561</f>
        <v>0</v>
      </c>
      <c r="H561" s="93">
        <f>'II_Inkunabeln+'!AA561</f>
        <v>0</v>
      </c>
      <c r="I561" s="93">
        <f>'II_Inkunabeln+'!AC561</f>
        <v>0</v>
      </c>
      <c r="J561" s="94"/>
      <c r="K561" s="93">
        <f>'II_Inkunabeln+'!AD561</f>
        <v>0</v>
      </c>
      <c r="L561" s="94"/>
      <c r="M561" s="94"/>
      <c r="N561" s="94"/>
      <c r="O561" s="94"/>
      <c r="P561" s="94"/>
      <c r="Q561" s="94"/>
      <c r="R561" s="94"/>
      <c r="S561" s="94"/>
      <c r="T561" s="94"/>
      <c r="U561" s="94"/>
      <c r="V561" s="94"/>
      <c r="W561" s="94">
        <f>'II_Inkunabeln+'!BA561</f>
        <v>0</v>
      </c>
      <c r="X561" s="108"/>
      <c r="Y561" s="93">
        <f>'II_Inkunabeln+'!BI561</f>
        <v>0</v>
      </c>
      <c r="Z561" s="81">
        <f>'II_Inkunabeln+'!BJ561</f>
        <v>0</v>
      </c>
    </row>
    <row r="562" spans="1:26" x14ac:dyDescent="0.25">
      <c r="A562" s="63">
        <f>'II_Inkunabeln+'!A562</f>
        <v>538</v>
      </c>
      <c r="B562" s="63" t="str">
        <f>'II_Inkunabeln+'!B562</f>
        <v>L-1496-326902872</v>
      </c>
      <c r="C562" s="63">
        <f>'II_Inkunabeln+'!C562</f>
        <v>1072100134</v>
      </c>
      <c r="D562" s="84" t="str">
        <f>'II_Inkunabeln+'!D562</f>
        <v>https://portal.dnb.de/opac.htm?method=simpleSearch&amp;cqlMode=true&amp;query=idn%3D1072100134</v>
      </c>
      <c r="E562" s="65" t="str">
        <f>'II_Inkunabeln+'!E562</f>
        <v>II 62,4a</v>
      </c>
      <c r="F562" s="65">
        <f>'II_Inkunabeln+'!H562</f>
        <v>0</v>
      </c>
      <c r="G562" s="93">
        <f>'II_Inkunabeln+'!X562</f>
        <v>0</v>
      </c>
      <c r="H562" s="93">
        <f>'II_Inkunabeln+'!AA562</f>
        <v>0</v>
      </c>
      <c r="I562" s="93">
        <f>'II_Inkunabeln+'!AC562</f>
        <v>0</v>
      </c>
      <c r="J562" s="94"/>
      <c r="K562" s="93">
        <f>'II_Inkunabeln+'!AD562</f>
        <v>0</v>
      </c>
      <c r="L562" s="94"/>
      <c r="M562" s="94"/>
      <c r="N562" s="94"/>
      <c r="O562" s="94"/>
      <c r="P562" s="94"/>
      <c r="Q562" s="94"/>
      <c r="R562" s="94"/>
      <c r="S562" s="94"/>
      <c r="T562" s="94"/>
      <c r="U562" s="94"/>
      <c r="V562" s="94"/>
      <c r="W562" s="94">
        <f>'II_Inkunabeln+'!BA562</f>
        <v>0</v>
      </c>
      <c r="X562" s="108"/>
      <c r="Y562" s="93">
        <f>'II_Inkunabeln+'!BI562</f>
        <v>0</v>
      </c>
      <c r="Z562" s="81">
        <f>'II_Inkunabeln+'!BJ562</f>
        <v>0</v>
      </c>
    </row>
    <row r="563" spans="1:26" x14ac:dyDescent="0.25">
      <c r="A563" s="63">
        <f>'II_Inkunabeln+'!A563</f>
        <v>539</v>
      </c>
      <c r="B563" s="63" t="str">
        <f>'II_Inkunabeln+'!B563</f>
        <v>L-1497-315496126</v>
      </c>
      <c r="C563" s="63">
        <f>'II_Inkunabeln+'!C563</f>
        <v>1066965854</v>
      </c>
      <c r="D563" s="84" t="str">
        <f>'II_Inkunabeln+'!D563</f>
        <v>https://portal.dnb.de/opac.htm?method=simpleSearch&amp;cqlMode=true&amp;query=idn%3D1066965854</v>
      </c>
      <c r="E563" s="65" t="str">
        <f>'II_Inkunabeln+'!E563</f>
        <v>II 62,4b</v>
      </c>
      <c r="F563" s="65">
        <f>'II_Inkunabeln+'!H563</f>
        <v>0</v>
      </c>
      <c r="G563" s="93">
        <f>'II_Inkunabeln+'!X563</f>
        <v>0</v>
      </c>
      <c r="H563" s="93">
        <f>'II_Inkunabeln+'!AA563</f>
        <v>0</v>
      </c>
      <c r="I563" s="93">
        <f>'II_Inkunabeln+'!AC563</f>
        <v>0</v>
      </c>
      <c r="J563" s="94"/>
      <c r="K563" s="93">
        <f>'II_Inkunabeln+'!AD563</f>
        <v>0</v>
      </c>
      <c r="L563" s="94"/>
      <c r="M563" s="94"/>
      <c r="N563" s="94"/>
      <c r="O563" s="94"/>
      <c r="P563" s="94"/>
      <c r="Q563" s="94"/>
      <c r="R563" s="94"/>
      <c r="S563" s="94"/>
      <c r="T563" s="94"/>
      <c r="U563" s="94"/>
      <c r="V563" s="94"/>
      <c r="W563" s="94">
        <f>'II_Inkunabeln+'!BA563</f>
        <v>0</v>
      </c>
      <c r="X563" s="108"/>
      <c r="Y563" s="93">
        <f>'II_Inkunabeln+'!BI563</f>
        <v>0</v>
      </c>
      <c r="Z563" s="81">
        <f>'II_Inkunabeln+'!BJ563</f>
        <v>0</v>
      </c>
    </row>
    <row r="564" spans="1:26" x14ac:dyDescent="0.25">
      <c r="A564" s="63">
        <f>'II_Inkunabeln+'!A564</f>
        <v>540</v>
      </c>
      <c r="B564" s="63" t="str">
        <f>'II_Inkunabeln+'!B564</f>
        <v>L-1499-327281782</v>
      </c>
      <c r="C564" s="63">
        <f>'II_Inkunabeln+'!C564</f>
        <v>1072323095</v>
      </c>
      <c r="D564" s="84" t="str">
        <f>'II_Inkunabeln+'!D564</f>
        <v>https://portal.dnb.de/opac.htm?method=simpleSearch&amp;cqlMode=true&amp;query=idn%3D1072323095</v>
      </c>
      <c r="E564" s="65" t="str">
        <f>'II_Inkunabeln+'!E564</f>
        <v>II 62,5a</v>
      </c>
      <c r="F564" s="65">
        <f>'II_Inkunabeln+'!H564</f>
        <v>0</v>
      </c>
      <c r="G564" s="93">
        <f>'II_Inkunabeln+'!X564</f>
        <v>0</v>
      </c>
      <c r="H564" s="93">
        <f>'II_Inkunabeln+'!AA564</f>
        <v>0</v>
      </c>
      <c r="I564" s="93">
        <f>'II_Inkunabeln+'!AC564</f>
        <v>0</v>
      </c>
      <c r="J564" s="94"/>
      <c r="K564" s="93">
        <f>'II_Inkunabeln+'!AD564</f>
        <v>0</v>
      </c>
      <c r="L564" s="94"/>
      <c r="M564" s="94"/>
      <c r="N564" s="94"/>
      <c r="O564" s="94"/>
      <c r="P564" s="94"/>
      <c r="Q564" s="94"/>
      <c r="R564" s="94"/>
      <c r="S564" s="94"/>
      <c r="T564" s="94"/>
      <c r="U564" s="94"/>
      <c r="V564" s="94"/>
      <c r="W564" s="94">
        <f>'II_Inkunabeln+'!BA564</f>
        <v>0</v>
      </c>
      <c r="X564" s="108"/>
      <c r="Y564" s="93">
        <f>'II_Inkunabeln+'!BI564</f>
        <v>0</v>
      </c>
      <c r="Z564" s="81">
        <f>'II_Inkunabeln+'!BJ564</f>
        <v>0</v>
      </c>
    </row>
    <row r="565" spans="1:26" x14ac:dyDescent="0.25">
      <c r="A565" s="63">
        <f>'II_Inkunabeln+'!A565</f>
        <v>541</v>
      </c>
      <c r="B565" s="63" t="str">
        <f>'II_Inkunabeln+'!B565</f>
        <v>L-1476-327679115</v>
      </c>
      <c r="C565" s="63" t="str">
        <f>'II_Inkunabeln+'!C565</f>
        <v>107237806X</v>
      </c>
      <c r="D565" s="84" t="str">
        <f>'II_Inkunabeln+'!D565</f>
        <v>https://portal.dnb.de/opac.htm?method=simpleSearch&amp;cqlMode=true&amp;query=idn%3D107237806X</v>
      </c>
      <c r="E565" s="65" t="str">
        <f>'II_Inkunabeln+'!E565</f>
        <v>II 63,1a (daran angebunden ist II 85,1b)</v>
      </c>
      <c r="F565" s="65" t="str">
        <f>'II_Inkunabeln+'!H565</f>
        <v>bis 35 cm</v>
      </c>
      <c r="G565" s="93" t="str">
        <f>'II_Inkunabeln+'!X565</f>
        <v>HL</v>
      </c>
      <c r="H565" s="93" t="str">
        <f>'II_Inkunabeln+'!AA565</f>
        <v>h/E</v>
      </c>
      <c r="I565" s="93">
        <f>'II_Inkunabeln+'!AC565</f>
        <v>0</v>
      </c>
      <c r="J565" s="94"/>
      <c r="K565" s="93">
        <f>'II_Inkunabeln+'!AD565</f>
        <v>0</v>
      </c>
      <c r="L565" s="94"/>
      <c r="M565" s="94"/>
      <c r="N565" s="94"/>
      <c r="O565" s="94"/>
      <c r="P565" s="94"/>
      <c r="Q565" s="94"/>
      <c r="R565" s="94"/>
      <c r="S565" s="94"/>
      <c r="T565" s="94"/>
      <c r="U565" s="94"/>
      <c r="V565" s="94"/>
      <c r="W565" s="94" t="str">
        <f>'II_Inkunabeln+'!BA565</f>
        <v>n</v>
      </c>
      <c r="X565" s="108"/>
      <c r="Y565" s="93">
        <f>'II_Inkunabeln+'!BI565</f>
        <v>0</v>
      </c>
      <c r="Z565" s="81" t="str">
        <f>'II_Inkunabeln+'!BJ565</f>
        <v>Schaden ist stabil genug für Digit.</v>
      </c>
    </row>
    <row r="566" spans="1:26" x14ac:dyDescent="0.25">
      <c r="A566" s="63">
        <f>'II_Inkunabeln+'!A566</f>
        <v>542</v>
      </c>
      <c r="B566" s="63" t="str">
        <f>'II_Inkunabeln+'!B566</f>
        <v>L-1478-315497734</v>
      </c>
      <c r="C566" s="63">
        <f>'II_Inkunabeln+'!C566</f>
        <v>1066967474</v>
      </c>
      <c r="D566" s="84" t="str">
        <f>'II_Inkunabeln+'!D566</f>
        <v>https://portal.dnb.de/opac.htm?method=simpleSearch&amp;cqlMode=true&amp;query=idn%3D1066967474</v>
      </c>
      <c r="E566" s="65" t="str">
        <f>'II_Inkunabeln+'!E566</f>
        <v>II 63,2 d</v>
      </c>
      <c r="F566" s="65">
        <f>'II_Inkunabeln+'!H566</f>
        <v>0</v>
      </c>
      <c r="G566" s="93">
        <f>'II_Inkunabeln+'!X566</f>
        <v>0</v>
      </c>
      <c r="H566" s="93">
        <f>'II_Inkunabeln+'!AA566</f>
        <v>0</v>
      </c>
      <c r="I566" s="93">
        <f>'II_Inkunabeln+'!AC566</f>
        <v>0</v>
      </c>
      <c r="J566" s="94"/>
      <c r="K566" s="93">
        <f>'II_Inkunabeln+'!AD566</f>
        <v>0</v>
      </c>
      <c r="L566" s="94"/>
      <c r="M566" s="94"/>
      <c r="N566" s="94"/>
      <c r="O566" s="94"/>
      <c r="P566" s="94"/>
      <c r="Q566" s="94"/>
      <c r="R566" s="94"/>
      <c r="S566" s="94"/>
      <c r="T566" s="94"/>
      <c r="U566" s="94"/>
      <c r="V566" s="94"/>
      <c r="W566" s="94">
        <f>'II_Inkunabeln+'!BA566</f>
        <v>0</v>
      </c>
      <c r="X566" s="108"/>
      <c r="Y566" s="93">
        <f>'II_Inkunabeln+'!BI566</f>
        <v>0</v>
      </c>
      <c r="Z566" s="81">
        <f>'II_Inkunabeln+'!BJ566</f>
        <v>0</v>
      </c>
    </row>
    <row r="567" spans="1:26" x14ac:dyDescent="0.25">
      <c r="A567" s="63">
        <f>'II_Inkunabeln+'!A567</f>
        <v>543</v>
      </c>
      <c r="B567" s="63" t="str">
        <f>'II_Inkunabeln+'!B567</f>
        <v>L-1475-315501049</v>
      </c>
      <c r="C567" s="63">
        <f>'II_Inkunabeln+'!C567</f>
        <v>1066970696</v>
      </c>
      <c r="D567" s="84" t="str">
        <f>'II_Inkunabeln+'!D567</f>
        <v>https://portal.dnb.de/opac.htm?method=simpleSearch&amp;cqlMode=true&amp;query=idn%3D1066970696</v>
      </c>
      <c r="E567" s="65" t="str">
        <f>'II_Inkunabeln+'!E567</f>
        <v>II 63,2a</v>
      </c>
      <c r="F567" s="65">
        <f>'II_Inkunabeln+'!H567</f>
        <v>0</v>
      </c>
      <c r="G567" s="93">
        <f>'II_Inkunabeln+'!X567</f>
        <v>0</v>
      </c>
      <c r="H567" s="93">
        <f>'II_Inkunabeln+'!AA567</f>
        <v>0</v>
      </c>
      <c r="I567" s="93">
        <f>'II_Inkunabeln+'!AC567</f>
        <v>0</v>
      </c>
      <c r="J567" s="94"/>
      <c r="K567" s="93">
        <f>'II_Inkunabeln+'!AD567</f>
        <v>0</v>
      </c>
      <c r="L567" s="94"/>
      <c r="M567" s="94"/>
      <c r="N567" s="94"/>
      <c r="O567" s="94"/>
      <c r="P567" s="94"/>
      <c r="Q567" s="94"/>
      <c r="R567" s="94"/>
      <c r="S567" s="94"/>
      <c r="T567" s="94"/>
      <c r="U567" s="94"/>
      <c r="V567" s="94"/>
      <c r="W567" s="94">
        <f>'II_Inkunabeln+'!BA567</f>
        <v>0</v>
      </c>
      <c r="X567" s="108"/>
      <c r="Y567" s="93">
        <f>'II_Inkunabeln+'!BI567</f>
        <v>0</v>
      </c>
      <c r="Z567" s="81">
        <f>'II_Inkunabeln+'!BJ567</f>
        <v>0</v>
      </c>
    </row>
    <row r="568" spans="1:26" x14ac:dyDescent="0.25">
      <c r="A568" s="63">
        <f>'II_Inkunabeln+'!A568</f>
        <v>544</v>
      </c>
      <c r="B568" s="63" t="str">
        <f>'II_Inkunabeln+'!B568</f>
        <v>L-1479-326902988</v>
      </c>
      <c r="C568" s="63">
        <f>'II_Inkunabeln+'!C568</f>
        <v>1072100355</v>
      </c>
      <c r="D568" s="84" t="str">
        <f>'II_Inkunabeln+'!D568</f>
        <v>https://portal.dnb.de/opac.htm?method=simpleSearch&amp;cqlMode=true&amp;query=idn%3D1072100355</v>
      </c>
      <c r="E568" s="65" t="str">
        <f>'II_Inkunabeln+'!E568</f>
        <v>II 63,2b</v>
      </c>
      <c r="F568" s="65">
        <f>'II_Inkunabeln+'!H568</f>
        <v>0</v>
      </c>
      <c r="G568" s="93">
        <f>'II_Inkunabeln+'!X568</f>
        <v>0</v>
      </c>
      <c r="H568" s="93">
        <f>'II_Inkunabeln+'!AA568</f>
        <v>0</v>
      </c>
      <c r="I568" s="93">
        <f>'II_Inkunabeln+'!AC568</f>
        <v>0</v>
      </c>
      <c r="J568" s="94"/>
      <c r="K568" s="93">
        <f>'II_Inkunabeln+'!AD568</f>
        <v>0</v>
      </c>
      <c r="L568" s="94"/>
      <c r="M568" s="94"/>
      <c r="N568" s="94"/>
      <c r="O568" s="94"/>
      <c r="P568" s="94"/>
      <c r="Q568" s="94"/>
      <c r="R568" s="94"/>
      <c r="S568" s="94"/>
      <c r="T568" s="94"/>
      <c r="U568" s="94"/>
      <c r="V568" s="94"/>
      <c r="W568" s="94">
        <f>'II_Inkunabeln+'!BA568</f>
        <v>0</v>
      </c>
      <c r="X568" s="108"/>
      <c r="Y568" s="93">
        <f>'II_Inkunabeln+'!BI568</f>
        <v>0</v>
      </c>
      <c r="Z568" s="81">
        <f>'II_Inkunabeln+'!BJ568</f>
        <v>0</v>
      </c>
    </row>
    <row r="569" spans="1:26" x14ac:dyDescent="0.25">
      <c r="A569" s="63">
        <f>'II_Inkunabeln+'!A569</f>
        <v>545</v>
      </c>
      <c r="B569" s="63" t="str">
        <f>'II_Inkunabeln+'!B569</f>
        <v>L-1477-326903305</v>
      </c>
      <c r="C569" s="63">
        <f>'II_Inkunabeln+'!C569</f>
        <v>1072101181</v>
      </c>
      <c r="D569" s="84" t="str">
        <f>'II_Inkunabeln+'!D569</f>
        <v>https://portal.dnb.de/opac.htm?method=simpleSearch&amp;cqlMode=true&amp;query=idn%3D1072101181</v>
      </c>
      <c r="E569" s="65" t="str">
        <f>'II_Inkunabeln+'!E569</f>
        <v>II 63,2c</v>
      </c>
      <c r="F569" s="65">
        <f>'II_Inkunabeln+'!H569</f>
        <v>0</v>
      </c>
      <c r="G569" s="93">
        <f>'II_Inkunabeln+'!X569</f>
        <v>0</v>
      </c>
      <c r="H569" s="93">
        <f>'II_Inkunabeln+'!AA569</f>
        <v>0</v>
      </c>
      <c r="I569" s="93">
        <f>'II_Inkunabeln+'!AC569</f>
        <v>0</v>
      </c>
      <c r="J569" s="94"/>
      <c r="K569" s="93">
        <f>'II_Inkunabeln+'!AD569</f>
        <v>0</v>
      </c>
      <c r="L569" s="94"/>
      <c r="M569" s="94"/>
      <c r="N569" s="94"/>
      <c r="O569" s="94"/>
      <c r="P569" s="94"/>
      <c r="Q569" s="94"/>
      <c r="R569" s="94"/>
      <c r="S569" s="94"/>
      <c r="T569" s="94"/>
      <c r="U569" s="94"/>
      <c r="V569" s="94"/>
      <c r="W569" s="94">
        <f>'II_Inkunabeln+'!BA569</f>
        <v>0</v>
      </c>
      <c r="X569" s="108"/>
      <c r="Y569" s="93">
        <f>'II_Inkunabeln+'!BI569</f>
        <v>0</v>
      </c>
      <c r="Z569" s="81">
        <f>'II_Inkunabeln+'!BJ569</f>
        <v>0</v>
      </c>
    </row>
    <row r="570" spans="1:26" x14ac:dyDescent="0.25">
      <c r="A570" s="63">
        <f>'II_Inkunabeln+'!A570</f>
        <v>546</v>
      </c>
      <c r="B570" s="63" t="str">
        <f>'II_Inkunabeln+'!B570</f>
        <v>L-1476-31550174X</v>
      </c>
      <c r="C570" s="63">
        <f>'II_Inkunabeln+'!C570</f>
        <v>1066971374</v>
      </c>
      <c r="D570" s="84" t="str">
        <f>'II_Inkunabeln+'!D570</f>
        <v>https://portal.dnb.de/opac.htm?method=simpleSearch&amp;cqlMode=true&amp;query=idn%3D1066971374</v>
      </c>
      <c r="E570" s="65" t="str">
        <f>'II_Inkunabeln+'!E570</f>
        <v>II 63,3a</v>
      </c>
      <c r="F570" s="65">
        <f>'II_Inkunabeln+'!H570</f>
        <v>0</v>
      </c>
      <c r="G570" s="93">
        <f>'II_Inkunabeln+'!X570</f>
        <v>0</v>
      </c>
      <c r="H570" s="93">
        <f>'II_Inkunabeln+'!AA570</f>
        <v>0</v>
      </c>
      <c r="I570" s="93">
        <f>'II_Inkunabeln+'!AC570</f>
        <v>0</v>
      </c>
      <c r="J570" s="94"/>
      <c r="K570" s="93">
        <f>'II_Inkunabeln+'!AD570</f>
        <v>0</v>
      </c>
      <c r="L570" s="94"/>
      <c r="M570" s="94"/>
      <c r="N570" s="94"/>
      <c r="O570" s="94"/>
      <c r="P570" s="94"/>
      <c r="Q570" s="94"/>
      <c r="R570" s="94"/>
      <c r="S570" s="94"/>
      <c r="T570" s="94"/>
      <c r="U570" s="94"/>
      <c r="V570" s="94"/>
      <c r="W570" s="94">
        <f>'II_Inkunabeln+'!BA570</f>
        <v>0</v>
      </c>
      <c r="X570" s="108"/>
      <c r="Y570" s="93">
        <f>'II_Inkunabeln+'!BI570</f>
        <v>0</v>
      </c>
      <c r="Z570" s="81">
        <f>'II_Inkunabeln+'!BJ570</f>
        <v>0</v>
      </c>
    </row>
    <row r="571" spans="1:26" x14ac:dyDescent="0.25">
      <c r="A571" s="63">
        <f>'II_Inkunabeln+'!A571</f>
        <v>547</v>
      </c>
      <c r="B571" s="63" t="str">
        <f>'II_Inkunabeln+'!B571</f>
        <v>L-1476-315496231</v>
      </c>
      <c r="C571" s="63">
        <f>'II_Inkunabeln+'!C571</f>
        <v>1066965943</v>
      </c>
      <c r="D571" s="84" t="str">
        <f>'II_Inkunabeln+'!D571</f>
        <v>https://portal.dnb.de/opac.htm?method=simpleSearch&amp;cqlMode=true&amp;query=idn%3D1066965943</v>
      </c>
      <c r="E571" s="65" t="str">
        <f>'II_Inkunabeln+'!E571</f>
        <v>II 63,3b</v>
      </c>
      <c r="F571" s="65">
        <f>'II_Inkunabeln+'!H571</f>
        <v>0</v>
      </c>
      <c r="G571" s="93">
        <f>'II_Inkunabeln+'!X571</f>
        <v>0</v>
      </c>
      <c r="H571" s="93">
        <f>'II_Inkunabeln+'!AA571</f>
        <v>0</v>
      </c>
      <c r="I571" s="93">
        <f>'II_Inkunabeln+'!AC571</f>
        <v>0</v>
      </c>
      <c r="J571" s="94"/>
      <c r="K571" s="93">
        <f>'II_Inkunabeln+'!AD571</f>
        <v>0</v>
      </c>
      <c r="L571" s="94"/>
      <c r="M571" s="94"/>
      <c r="N571" s="94"/>
      <c r="O571" s="94"/>
      <c r="P571" s="94"/>
      <c r="Q571" s="94"/>
      <c r="R571" s="94"/>
      <c r="S571" s="94"/>
      <c r="T571" s="94"/>
      <c r="U571" s="94"/>
      <c r="V571" s="94"/>
      <c r="W571" s="94">
        <f>'II_Inkunabeln+'!BA571</f>
        <v>0</v>
      </c>
      <c r="X571" s="108"/>
      <c r="Y571" s="93">
        <f>'II_Inkunabeln+'!BI571</f>
        <v>0</v>
      </c>
      <c r="Z571" s="81">
        <f>'II_Inkunabeln+'!BJ571</f>
        <v>0</v>
      </c>
    </row>
    <row r="572" spans="1:26" x14ac:dyDescent="0.25">
      <c r="A572" s="63">
        <f>'II_Inkunabeln+'!A572</f>
        <v>548</v>
      </c>
      <c r="B572" s="63" t="str">
        <f>'II_Inkunabeln+'!B572</f>
        <v>L-1483-315495774</v>
      </c>
      <c r="C572" s="63">
        <f>'II_Inkunabeln+'!C572</f>
        <v>1066965544</v>
      </c>
      <c r="D572" s="84" t="str">
        <f>'II_Inkunabeln+'!D572</f>
        <v>https://portal.dnb.de/opac.htm?method=simpleSearch&amp;cqlMode=true&amp;query=idn%3D1066965544</v>
      </c>
      <c r="E572" s="65" t="str">
        <f>'II_Inkunabeln+'!E572</f>
        <v>II 63,3c</v>
      </c>
      <c r="F572" s="65">
        <f>'II_Inkunabeln+'!H572</f>
        <v>0</v>
      </c>
      <c r="G572" s="93">
        <f>'II_Inkunabeln+'!X572</f>
        <v>0</v>
      </c>
      <c r="H572" s="93">
        <f>'II_Inkunabeln+'!AA572</f>
        <v>0</v>
      </c>
      <c r="I572" s="93">
        <f>'II_Inkunabeln+'!AC572</f>
        <v>0</v>
      </c>
      <c r="J572" s="94"/>
      <c r="K572" s="93">
        <f>'II_Inkunabeln+'!AD572</f>
        <v>0</v>
      </c>
      <c r="L572" s="94"/>
      <c r="M572" s="94"/>
      <c r="N572" s="94"/>
      <c r="O572" s="94"/>
      <c r="P572" s="94"/>
      <c r="Q572" s="94"/>
      <c r="R572" s="94"/>
      <c r="S572" s="94"/>
      <c r="T572" s="94"/>
      <c r="U572" s="94"/>
      <c r="V572" s="94"/>
      <c r="W572" s="94">
        <f>'II_Inkunabeln+'!BA572</f>
        <v>0</v>
      </c>
      <c r="X572" s="108"/>
      <c r="Y572" s="93">
        <f>'II_Inkunabeln+'!BI572</f>
        <v>0</v>
      </c>
      <c r="Z572" s="81">
        <f>'II_Inkunabeln+'!BJ572</f>
        <v>0</v>
      </c>
    </row>
    <row r="573" spans="1:26" x14ac:dyDescent="0.25">
      <c r="A573" s="63">
        <f>'II_Inkunabeln+'!A573</f>
        <v>549</v>
      </c>
      <c r="B573" s="63" t="str">
        <f>'II_Inkunabeln+'!B573</f>
        <v>L-1478-31549638X</v>
      </c>
      <c r="C573" s="63">
        <f>'II_Inkunabeln+'!C573</f>
        <v>1066966087</v>
      </c>
      <c r="D573" s="84" t="str">
        <f>'II_Inkunabeln+'!D573</f>
        <v>https://portal.dnb.de/opac.htm?method=simpleSearch&amp;cqlMode=true&amp;query=idn%3D1066966087</v>
      </c>
      <c r="E573" s="65" t="str">
        <f>'II_Inkunabeln+'!E573</f>
        <v>II 63,4a</v>
      </c>
      <c r="F573" s="65">
        <f>'II_Inkunabeln+'!H573</f>
        <v>0</v>
      </c>
      <c r="G573" s="93">
        <f>'II_Inkunabeln+'!X573</f>
        <v>0</v>
      </c>
      <c r="H573" s="93">
        <f>'II_Inkunabeln+'!AA573</f>
        <v>0</v>
      </c>
      <c r="I573" s="93">
        <f>'II_Inkunabeln+'!AC573</f>
        <v>0</v>
      </c>
      <c r="J573" s="94"/>
      <c r="K573" s="93">
        <f>'II_Inkunabeln+'!AD573</f>
        <v>0</v>
      </c>
      <c r="L573" s="94"/>
      <c r="M573" s="94"/>
      <c r="N573" s="94"/>
      <c r="O573" s="94"/>
      <c r="P573" s="94"/>
      <c r="Q573" s="94"/>
      <c r="R573" s="94"/>
      <c r="S573" s="94"/>
      <c r="T573" s="94"/>
      <c r="U573" s="94"/>
      <c r="V573" s="94"/>
      <c r="W573" s="94">
        <f>'II_Inkunabeln+'!BA573</f>
        <v>0</v>
      </c>
      <c r="X573" s="108"/>
      <c r="Y573" s="93">
        <f>'II_Inkunabeln+'!BI573</f>
        <v>0</v>
      </c>
      <c r="Z573" s="81">
        <f>'II_Inkunabeln+'!BJ573</f>
        <v>0</v>
      </c>
    </row>
    <row r="574" spans="1:26" x14ac:dyDescent="0.25">
      <c r="A574" s="63">
        <f>'II_Inkunabeln+'!A574</f>
        <v>550</v>
      </c>
      <c r="B574" s="63" t="str">
        <f>'II_Inkunabeln+'!B574</f>
        <v>L-1482-326903461</v>
      </c>
      <c r="C574" s="63">
        <f>'II_Inkunabeln+'!C574</f>
        <v>1072101475</v>
      </c>
      <c r="D574" s="84" t="str">
        <f>'II_Inkunabeln+'!D574</f>
        <v>https://portal.dnb.de/opac.htm?method=simpleSearch&amp;cqlMode=true&amp;query=idn%3D1072101475</v>
      </c>
      <c r="E574" s="65" t="str">
        <f>'II_Inkunabeln+'!E574</f>
        <v>II 63,5a</v>
      </c>
      <c r="F574" s="65">
        <f>'II_Inkunabeln+'!H574</f>
        <v>0</v>
      </c>
      <c r="G574" s="93">
        <f>'II_Inkunabeln+'!X574</f>
        <v>0</v>
      </c>
      <c r="H574" s="93">
        <f>'II_Inkunabeln+'!AA574</f>
        <v>0</v>
      </c>
      <c r="I574" s="93">
        <f>'II_Inkunabeln+'!AC574</f>
        <v>0</v>
      </c>
      <c r="J574" s="94"/>
      <c r="K574" s="93">
        <f>'II_Inkunabeln+'!AD574</f>
        <v>0</v>
      </c>
      <c r="L574" s="94"/>
      <c r="M574" s="94"/>
      <c r="N574" s="94"/>
      <c r="O574" s="94"/>
      <c r="P574" s="94"/>
      <c r="Q574" s="94"/>
      <c r="R574" s="94"/>
      <c r="S574" s="94"/>
      <c r="T574" s="94"/>
      <c r="U574" s="94"/>
      <c r="V574" s="94"/>
      <c r="W574" s="94">
        <f>'II_Inkunabeln+'!BA574</f>
        <v>0</v>
      </c>
      <c r="X574" s="108"/>
      <c r="Y574" s="93">
        <f>'II_Inkunabeln+'!BI574</f>
        <v>0</v>
      </c>
      <c r="Z574" s="81">
        <f>'II_Inkunabeln+'!BJ574</f>
        <v>0</v>
      </c>
    </row>
    <row r="575" spans="1:26" x14ac:dyDescent="0.25">
      <c r="A575" s="63">
        <f>'II_Inkunabeln+'!A575</f>
        <v>551</v>
      </c>
      <c r="B575" s="63" t="str">
        <f>'II_Inkunabeln+'!B575</f>
        <v>L-1489-315502266</v>
      </c>
      <c r="C575" s="63">
        <f>'II_Inkunabeln+'!C575</f>
        <v>1066971862</v>
      </c>
      <c r="D575" s="84" t="str">
        <f>'II_Inkunabeln+'!D575</f>
        <v>https://portal.dnb.de/opac.htm?method=simpleSearch&amp;cqlMode=true&amp;query=idn%3D1066971862</v>
      </c>
      <c r="E575" s="65" t="str">
        <f>'II_Inkunabeln+'!E575</f>
        <v>II 63,5b</v>
      </c>
      <c r="F575" s="65" t="str">
        <f>'II_Inkunabeln+'!H575</f>
        <v>bis 25 cm</v>
      </c>
      <c r="G575" s="93">
        <f>'II_Inkunabeln+'!X575</f>
        <v>0</v>
      </c>
      <c r="H575" s="93">
        <f>'II_Inkunabeln+'!AA575</f>
        <v>0</v>
      </c>
      <c r="I575" s="93">
        <f>'II_Inkunabeln+'!AC575</f>
        <v>0</v>
      </c>
      <c r="J575" s="94"/>
      <c r="K575" s="93">
        <f>'II_Inkunabeln+'!AD575</f>
        <v>0</v>
      </c>
      <c r="L575" s="94"/>
      <c r="M575" s="94"/>
      <c r="N575" s="94"/>
      <c r="O575" s="94"/>
      <c r="P575" s="94"/>
      <c r="Q575" s="94"/>
      <c r="R575" s="94"/>
      <c r="S575" s="94"/>
      <c r="T575" s="94"/>
      <c r="U575" s="94"/>
      <c r="V575" s="94"/>
      <c r="W575" s="94">
        <f>'II_Inkunabeln+'!BA575</f>
        <v>0</v>
      </c>
      <c r="X575" s="108"/>
      <c r="Y575" s="93">
        <f>'II_Inkunabeln+'!BI575</f>
        <v>0</v>
      </c>
      <c r="Z575" s="81">
        <f>'II_Inkunabeln+'!BJ575</f>
        <v>0</v>
      </c>
    </row>
    <row r="576" spans="1:26" x14ac:dyDescent="0.25">
      <c r="A576" s="63">
        <f>'II_Inkunabeln+'!A576</f>
        <v>552</v>
      </c>
      <c r="B576" s="63" t="str">
        <f>'II_Inkunabeln+'!B576</f>
        <v>L-1480-326905863</v>
      </c>
      <c r="C576" s="63">
        <f>'II_Inkunabeln+'!C576</f>
        <v>1072105233</v>
      </c>
      <c r="D576" s="84" t="str">
        <f>'II_Inkunabeln+'!D576</f>
        <v>https://portal.dnb.de/opac.htm?method=simpleSearch&amp;cqlMode=true&amp;query=idn%3D1072105233</v>
      </c>
      <c r="E576" s="65" t="str">
        <f>'II_Inkunabeln+'!E576</f>
        <v>II 63,6a</v>
      </c>
      <c r="F576" s="65" t="str">
        <f>'II_Inkunabeln+'!H576</f>
        <v>bis 25 cm</v>
      </c>
      <c r="G576" s="93">
        <f>'II_Inkunabeln+'!X576</f>
        <v>0</v>
      </c>
      <c r="H576" s="93">
        <f>'II_Inkunabeln+'!AA576</f>
        <v>0</v>
      </c>
      <c r="I576" s="93">
        <f>'II_Inkunabeln+'!AC576</f>
        <v>0</v>
      </c>
      <c r="J576" s="94"/>
      <c r="K576" s="93">
        <f>'II_Inkunabeln+'!AD576</f>
        <v>0</v>
      </c>
      <c r="L576" s="94"/>
      <c r="M576" s="94"/>
      <c r="N576" s="94"/>
      <c r="O576" s="94"/>
      <c r="P576" s="94"/>
      <c r="Q576" s="94"/>
      <c r="R576" s="94"/>
      <c r="S576" s="94"/>
      <c r="T576" s="94"/>
      <c r="U576" s="94"/>
      <c r="V576" s="94"/>
      <c r="W576" s="94">
        <f>'II_Inkunabeln+'!BA576</f>
        <v>0</v>
      </c>
      <c r="X576" s="108"/>
      <c r="Y576" s="93">
        <f>'II_Inkunabeln+'!BI576</f>
        <v>0</v>
      </c>
      <c r="Z576" s="81">
        <f>'II_Inkunabeln+'!BJ576</f>
        <v>0</v>
      </c>
    </row>
    <row r="577" spans="1:26" x14ac:dyDescent="0.25">
      <c r="A577" s="63">
        <f>'II_Inkunabeln+'!A577</f>
        <v>553</v>
      </c>
      <c r="B577" s="63" t="str">
        <f>'II_Inkunabeln+'!B577</f>
        <v>L-1495-315501294</v>
      </c>
      <c r="C577" s="63">
        <f>'II_Inkunabeln+'!C577</f>
        <v>1066970939</v>
      </c>
      <c r="D577" s="84" t="str">
        <f>'II_Inkunabeln+'!D577</f>
        <v>https://portal.dnb.de/opac.htm?method=simpleSearch&amp;cqlMode=true&amp;query=idn%3D1066970939</v>
      </c>
      <c r="E577" s="65" t="str">
        <f>'II_Inkunabeln+'!E577</f>
        <v>II 63,8a</v>
      </c>
      <c r="F577" s="65" t="str">
        <f>'II_Inkunabeln+'!H577</f>
        <v>bis 25 cm</v>
      </c>
      <c r="G577" s="93">
        <f>'II_Inkunabeln+'!X577</f>
        <v>0</v>
      </c>
      <c r="H577" s="93">
        <f>'II_Inkunabeln+'!AA577</f>
        <v>0</v>
      </c>
      <c r="I577" s="93">
        <f>'II_Inkunabeln+'!AC577</f>
        <v>0</v>
      </c>
      <c r="J577" s="94"/>
      <c r="K577" s="93">
        <f>'II_Inkunabeln+'!AD577</f>
        <v>0</v>
      </c>
      <c r="L577" s="94"/>
      <c r="M577" s="94"/>
      <c r="N577" s="94"/>
      <c r="O577" s="94"/>
      <c r="P577" s="94"/>
      <c r="Q577" s="94"/>
      <c r="R577" s="94"/>
      <c r="S577" s="94"/>
      <c r="T577" s="94"/>
      <c r="U577" s="94"/>
      <c r="V577" s="94"/>
      <c r="W577" s="94">
        <f>'II_Inkunabeln+'!BA577</f>
        <v>0</v>
      </c>
      <c r="X577" s="108"/>
      <c r="Y577" s="93">
        <f>'II_Inkunabeln+'!BI577</f>
        <v>0</v>
      </c>
      <c r="Z577" s="81">
        <f>'II_Inkunabeln+'!BJ577</f>
        <v>0</v>
      </c>
    </row>
    <row r="578" spans="1:26" x14ac:dyDescent="0.25">
      <c r="A578" s="63">
        <f>'II_Inkunabeln+'!A578</f>
        <v>554</v>
      </c>
      <c r="B578" s="63" t="str">
        <f>'II_Inkunabeln+'!B578</f>
        <v>L-1479-315498382</v>
      </c>
      <c r="C578" s="63" t="str">
        <f>'II_Inkunabeln+'!C578</f>
        <v>106696811X</v>
      </c>
      <c r="D578" s="84" t="str">
        <f>'II_Inkunabeln+'!D578</f>
        <v>https://portal.dnb.de/opac.htm?method=simpleSearch&amp;cqlMode=true&amp;query=idn%3D106696811X</v>
      </c>
      <c r="E578" s="65" t="str">
        <f>'II_Inkunabeln+'!E578</f>
        <v>II 64,1b</v>
      </c>
      <c r="F578" s="65" t="str">
        <f>'II_Inkunabeln+'!H578</f>
        <v>bis 35 cm</v>
      </c>
      <c r="G578" s="93">
        <f>'II_Inkunabeln+'!X578</f>
        <v>0</v>
      </c>
      <c r="H578" s="93">
        <f>'II_Inkunabeln+'!AA578</f>
        <v>0</v>
      </c>
      <c r="I578" s="93">
        <f>'II_Inkunabeln+'!AC578</f>
        <v>0</v>
      </c>
      <c r="J578" s="94"/>
      <c r="K578" s="93">
        <f>'II_Inkunabeln+'!AD578</f>
        <v>0</v>
      </c>
      <c r="L578" s="94"/>
      <c r="M578" s="94"/>
      <c r="N578" s="94"/>
      <c r="O578" s="94"/>
      <c r="P578" s="94"/>
      <c r="Q578" s="94"/>
      <c r="R578" s="94"/>
      <c r="S578" s="94"/>
      <c r="T578" s="94"/>
      <c r="U578" s="94"/>
      <c r="V578" s="94"/>
      <c r="W578" s="94">
        <f>'II_Inkunabeln+'!BA578</f>
        <v>0</v>
      </c>
      <c r="X578" s="108"/>
      <c r="Y578" s="93">
        <f>'II_Inkunabeln+'!BI578</f>
        <v>0</v>
      </c>
      <c r="Z578" s="81">
        <f>'II_Inkunabeln+'!BJ578</f>
        <v>0</v>
      </c>
    </row>
    <row r="579" spans="1:26" x14ac:dyDescent="0.25">
      <c r="A579" s="63">
        <f>'II_Inkunabeln+'!A579</f>
        <v>555</v>
      </c>
      <c r="B579" s="63" t="str">
        <f>'II_Inkunabeln+'!B579</f>
        <v>L-1477-326906126</v>
      </c>
      <c r="C579" s="63">
        <f>'II_Inkunabeln+'!C579</f>
        <v>1072105721</v>
      </c>
      <c r="D579" s="84" t="str">
        <f>'II_Inkunabeln+'!D579</f>
        <v>https://portal.dnb.de/opac.htm?method=simpleSearch&amp;cqlMode=true&amp;query=idn%3D1072105721</v>
      </c>
      <c r="E579" s="65" t="str">
        <f>'II_Inkunabeln+'!E579</f>
        <v>II 65,1a</v>
      </c>
      <c r="F579" s="65" t="str">
        <f>'II_Inkunabeln+'!H579</f>
        <v>bis 35 cm</v>
      </c>
      <c r="G579" s="93">
        <f>'II_Inkunabeln+'!X579</f>
        <v>0</v>
      </c>
      <c r="H579" s="93">
        <f>'II_Inkunabeln+'!AA579</f>
        <v>0</v>
      </c>
      <c r="I579" s="93">
        <f>'II_Inkunabeln+'!AC579</f>
        <v>0</v>
      </c>
      <c r="J579" s="94"/>
      <c r="K579" s="93">
        <f>'II_Inkunabeln+'!AD579</f>
        <v>0</v>
      </c>
      <c r="L579" s="94"/>
      <c r="M579" s="94"/>
      <c r="N579" s="94"/>
      <c r="O579" s="94"/>
      <c r="P579" s="94"/>
      <c r="Q579" s="94"/>
      <c r="R579" s="94"/>
      <c r="S579" s="94"/>
      <c r="T579" s="94"/>
      <c r="U579" s="94"/>
      <c r="V579" s="94"/>
      <c r="W579" s="94">
        <f>'II_Inkunabeln+'!BA579</f>
        <v>0</v>
      </c>
      <c r="X579" s="108"/>
      <c r="Y579" s="93">
        <f>'II_Inkunabeln+'!BI579</f>
        <v>0</v>
      </c>
      <c r="Z579" s="81">
        <f>'II_Inkunabeln+'!BJ579</f>
        <v>0</v>
      </c>
    </row>
    <row r="580" spans="1:26" x14ac:dyDescent="0.25">
      <c r="A580" s="63">
        <f>'II_Inkunabeln+'!A580</f>
        <v>556</v>
      </c>
      <c r="B580" s="63" t="str">
        <f>'II_Inkunabeln+'!B580</f>
        <v>L-1480-327008083</v>
      </c>
      <c r="C580" s="63">
        <f>'II_Inkunabeln+'!C580</f>
        <v>1072172607</v>
      </c>
      <c r="D580" s="84" t="str">
        <f>'II_Inkunabeln+'!D580</f>
        <v>https://portal.dnb.de/opac.htm?method=simpleSearch&amp;cqlMode=true&amp;query=idn%3D1072172607</v>
      </c>
      <c r="E580" s="65" t="str">
        <f>'II_Inkunabeln+'!E580</f>
        <v>II 65,2</v>
      </c>
      <c r="F580" s="65" t="str">
        <f>'II_Inkunabeln+'!H580</f>
        <v>bis 25 cm</v>
      </c>
      <c r="G580" s="93">
        <f>'II_Inkunabeln+'!X580</f>
        <v>0</v>
      </c>
      <c r="H580" s="93">
        <f>'II_Inkunabeln+'!AA580</f>
        <v>0</v>
      </c>
      <c r="I580" s="93">
        <f>'II_Inkunabeln+'!AC580</f>
        <v>0</v>
      </c>
      <c r="J580" s="94"/>
      <c r="K580" s="93">
        <f>'II_Inkunabeln+'!AD580</f>
        <v>0</v>
      </c>
      <c r="L580" s="94"/>
      <c r="M580" s="94"/>
      <c r="N580" s="94"/>
      <c r="O580" s="94"/>
      <c r="P580" s="94"/>
      <c r="Q580" s="94"/>
      <c r="R580" s="94"/>
      <c r="S580" s="94"/>
      <c r="T580" s="94"/>
      <c r="U580" s="94"/>
      <c r="V580" s="94"/>
      <c r="W580" s="94">
        <f>'II_Inkunabeln+'!BA580</f>
        <v>0</v>
      </c>
      <c r="X580" s="108"/>
      <c r="Y580" s="93">
        <f>'II_Inkunabeln+'!BI580</f>
        <v>0</v>
      </c>
      <c r="Z580" s="81">
        <f>'II_Inkunabeln+'!BJ580</f>
        <v>0</v>
      </c>
    </row>
    <row r="581" spans="1:26" x14ac:dyDescent="0.25">
      <c r="A581" s="63">
        <f>'II_Inkunabeln+'!A581</f>
        <v>557</v>
      </c>
      <c r="B581" s="63" t="str">
        <f>'II_Inkunabeln+'!B581</f>
        <v>L-1473-31549848X</v>
      </c>
      <c r="C581" s="63">
        <f>'II_Inkunabeln+'!C581</f>
        <v>1066968225</v>
      </c>
      <c r="D581" s="84" t="str">
        <f>'II_Inkunabeln+'!D581</f>
        <v>https://portal.dnb.de/opac.htm?method=simpleSearch&amp;cqlMode=true&amp;query=idn%3D1066968225</v>
      </c>
      <c r="E581" s="65" t="str">
        <f>'II_Inkunabeln+'!E581</f>
        <v>II 66,2a</v>
      </c>
      <c r="F581" s="65" t="str">
        <f>'II_Inkunabeln+'!H581</f>
        <v>bis 35 cm</v>
      </c>
      <c r="G581" s="93">
        <f>'II_Inkunabeln+'!X581</f>
        <v>0</v>
      </c>
      <c r="H581" s="93">
        <f>'II_Inkunabeln+'!AA581</f>
        <v>0</v>
      </c>
      <c r="I581" s="93">
        <f>'II_Inkunabeln+'!AC581</f>
        <v>0</v>
      </c>
      <c r="J581" s="94"/>
      <c r="K581" s="93">
        <f>'II_Inkunabeln+'!AD581</f>
        <v>0</v>
      </c>
      <c r="L581" s="94"/>
      <c r="M581" s="94"/>
      <c r="N581" s="94"/>
      <c r="O581" s="94"/>
      <c r="P581" s="94"/>
      <c r="Q581" s="94"/>
      <c r="R581" s="94"/>
      <c r="S581" s="94"/>
      <c r="T581" s="94"/>
      <c r="U581" s="94"/>
      <c r="V581" s="94"/>
      <c r="W581" s="94">
        <f>'II_Inkunabeln+'!BA581</f>
        <v>0</v>
      </c>
      <c r="X581" s="108"/>
      <c r="Y581" s="93">
        <f>'II_Inkunabeln+'!BI581</f>
        <v>0</v>
      </c>
      <c r="Z581" s="81">
        <f>'II_Inkunabeln+'!BJ581</f>
        <v>0</v>
      </c>
    </row>
    <row r="582" spans="1:26" x14ac:dyDescent="0.25">
      <c r="A582" s="63">
        <f>'II_Inkunabeln+'!A582</f>
        <v>558</v>
      </c>
      <c r="B582" s="63" t="str">
        <f>'II_Inkunabeln+'!B582</f>
        <v>L-1479-315497939</v>
      </c>
      <c r="C582" s="63">
        <f>'II_Inkunabeln+'!C582</f>
        <v>1066967679</v>
      </c>
      <c r="D582" s="84" t="str">
        <f>'II_Inkunabeln+'!D582</f>
        <v>https://portal.dnb.de/opac.htm?method=simpleSearch&amp;cqlMode=true&amp;query=idn%3D1066967679</v>
      </c>
      <c r="E582" s="65" t="str">
        <f>'II_Inkunabeln+'!E582</f>
        <v>II 66,3a</v>
      </c>
      <c r="F582" s="65">
        <f>'II_Inkunabeln+'!H582</f>
        <v>0</v>
      </c>
      <c r="G582" s="93">
        <f>'II_Inkunabeln+'!X582</f>
        <v>0</v>
      </c>
      <c r="H582" s="93">
        <f>'II_Inkunabeln+'!AA582</f>
        <v>0</v>
      </c>
      <c r="I582" s="93">
        <f>'II_Inkunabeln+'!AC582</f>
        <v>0</v>
      </c>
      <c r="J582" s="94"/>
      <c r="K582" s="93">
        <f>'II_Inkunabeln+'!AD582</f>
        <v>0</v>
      </c>
      <c r="L582" s="94"/>
      <c r="M582" s="94"/>
      <c r="N582" s="94"/>
      <c r="O582" s="94"/>
      <c r="P582" s="94"/>
      <c r="Q582" s="94"/>
      <c r="R582" s="94"/>
      <c r="S582" s="94"/>
      <c r="T582" s="94"/>
      <c r="U582" s="94"/>
      <c r="V582" s="94"/>
      <c r="W582" s="94">
        <f>'II_Inkunabeln+'!BA582</f>
        <v>0</v>
      </c>
      <c r="X582" s="108"/>
      <c r="Y582" s="93">
        <f>'II_Inkunabeln+'!BI582</f>
        <v>0</v>
      </c>
      <c r="Z582" s="81">
        <f>'II_Inkunabeln+'!BJ582</f>
        <v>0</v>
      </c>
    </row>
    <row r="583" spans="1:26" x14ac:dyDescent="0.25">
      <c r="A583" s="63">
        <f>'II_Inkunabeln+'!A583</f>
        <v>559</v>
      </c>
      <c r="B583" s="63" t="str">
        <f>'II_Inkunabeln+'!B583</f>
        <v>L-1486-327679239</v>
      </c>
      <c r="C583" s="63" t="str">
        <f>'II_Inkunabeln+'!C583</f>
        <v>107237840X</v>
      </c>
      <c r="D583" s="84" t="str">
        <f>'II_Inkunabeln+'!D583</f>
        <v>https://portal.dnb.de/opac.htm?method=simpleSearch&amp;cqlMode=true&amp;query=idn%3D107237840X</v>
      </c>
      <c r="E583" s="65" t="str">
        <f>'II_Inkunabeln+'!E583</f>
        <v>II 66,4a</v>
      </c>
      <c r="F583" s="65" t="str">
        <f>'II_Inkunabeln+'!H583</f>
        <v>bis 25 cm</v>
      </c>
      <c r="G583" s="93">
        <f>'II_Inkunabeln+'!X583</f>
        <v>0</v>
      </c>
      <c r="H583" s="93">
        <f>'II_Inkunabeln+'!AA583</f>
        <v>0</v>
      </c>
      <c r="I583" s="93">
        <f>'II_Inkunabeln+'!AC583</f>
        <v>0</v>
      </c>
      <c r="J583" s="94"/>
      <c r="K583" s="93">
        <f>'II_Inkunabeln+'!AD583</f>
        <v>0</v>
      </c>
      <c r="L583" s="94"/>
      <c r="M583" s="94"/>
      <c r="N583" s="94"/>
      <c r="O583" s="94"/>
      <c r="P583" s="94"/>
      <c r="Q583" s="94"/>
      <c r="R583" s="94"/>
      <c r="S583" s="94"/>
      <c r="T583" s="94"/>
      <c r="U583" s="94"/>
      <c r="V583" s="94"/>
      <c r="W583" s="94">
        <f>'II_Inkunabeln+'!BA583</f>
        <v>0</v>
      </c>
      <c r="X583" s="108"/>
      <c r="Y583" s="93">
        <f>'II_Inkunabeln+'!BI583</f>
        <v>0</v>
      </c>
      <c r="Z583" s="81">
        <f>'II_Inkunabeln+'!BJ583</f>
        <v>0</v>
      </c>
    </row>
    <row r="584" spans="1:26" x14ac:dyDescent="0.25">
      <c r="A584" s="63">
        <f>'II_Inkunabeln+'!A584</f>
        <v>560</v>
      </c>
      <c r="B584" s="63" t="str">
        <f>'II_Inkunabeln+'!B584</f>
        <v>L-1475-326906487</v>
      </c>
      <c r="C584" s="63">
        <f>'II_Inkunabeln+'!C584</f>
        <v>1072106345</v>
      </c>
      <c r="D584" s="84" t="str">
        <f>'II_Inkunabeln+'!D584</f>
        <v>https://portal.dnb.de/opac.htm?method=simpleSearch&amp;cqlMode=true&amp;query=idn%3D1072106345</v>
      </c>
      <c r="E584" s="65" t="str">
        <f>'II_Inkunabeln+'!E584</f>
        <v>II 67,1a</v>
      </c>
      <c r="F584" s="65" t="str">
        <f>'II_Inkunabeln+'!H584</f>
        <v>bis 25 cm</v>
      </c>
      <c r="G584" s="93">
        <f>'II_Inkunabeln+'!X584</f>
        <v>0</v>
      </c>
      <c r="H584" s="93">
        <f>'II_Inkunabeln+'!AA584</f>
        <v>0</v>
      </c>
      <c r="I584" s="93">
        <f>'II_Inkunabeln+'!AC584</f>
        <v>0</v>
      </c>
      <c r="J584" s="94"/>
      <c r="K584" s="93">
        <f>'II_Inkunabeln+'!AD584</f>
        <v>0</v>
      </c>
      <c r="L584" s="94"/>
      <c r="M584" s="94"/>
      <c r="N584" s="94"/>
      <c r="O584" s="94"/>
      <c r="P584" s="94"/>
      <c r="Q584" s="94"/>
      <c r="R584" s="94"/>
      <c r="S584" s="94"/>
      <c r="T584" s="94"/>
      <c r="U584" s="94"/>
      <c r="V584" s="94"/>
      <c r="W584" s="94">
        <f>'II_Inkunabeln+'!BA584</f>
        <v>0</v>
      </c>
      <c r="X584" s="108"/>
      <c r="Y584" s="93">
        <f>'II_Inkunabeln+'!BI584</f>
        <v>0</v>
      </c>
      <c r="Z584" s="81">
        <f>'II_Inkunabeln+'!BJ584</f>
        <v>0</v>
      </c>
    </row>
    <row r="585" spans="1:26" x14ac:dyDescent="0.25">
      <c r="A585" s="63">
        <f>'II_Inkunabeln+'!A585</f>
        <v>561</v>
      </c>
      <c r="B585" s="63" t="str">
        <f>'II_Inkunabeln+'!B585</f>
        <v>L-1494-326906622</v>
      </c>
      <c r="C585" s="63">
        <f>'II_Inkunabeln+'!C585</f>
        <v>1072106558</v>
      </c>
      <c r="D585" s="84" t="str">
        <f>'II_Inkunabeln+'!D585</f>
        <v>https://portal.dnb.de/opac.htm?method=simpleSearch&amp;cqlMode=true&amp;query=idn%3D1072106558</v>
      </c>
      <c r="E585" s="65" t="str">
        <f>'II_Inkunabeln+'!E585</f>
        <v>II 67,2a</v>
      </c>
      <c r="F585" s="65" t="str">
        <f>'II_Inkunabeln+'!H585</f>
        <v>bis 25 cm</v>
      </c>
      <c r="G585" s="93">
        <f>'II_Inkunabeln+'!X585</f>
        <v>0</v>
      </c>
      <c r="H585" s="93">
        <f>'II_Inkunabeln+'!AA585</f>
        <v>0</v>
      </c>
      <c r="I585" s="93">
        <f>'II_Inkunabeln+'!AC585</f>
        <v>0</v>
      </c>
      <c r="J585" s="94"/>
      <c r="K585" s="93">
        <f>'II_Inkunabeln+'!AD585</f>
        <v>0</v>
      </c>
      <c r="L585" s="94"/>
      <c r="M585" s="94"/>
      <c r="N585" s="94"/>
      <c r="O585" s="94"/>
      <c r="P585" s="94"/>
      <c r="Q585" s="94"/>
      <c r="R585" s="94"/>
      <c r="S585" s="94"/>
      <c r="T585" s="94"/>
      <c r="U585" s="94"/>
      <c r="V585" s="94"/>
      <c r="W585" s="94">
        <f>'II_Inkunabeln+'!BA585</f>
        <v>0</v>
      </c>
      <c r="X585" s="108"/>
      <c r="Y585" s="93">
        <f>'II_Inkunabeln+'!BI585</f>
        <v>0</v>
      </c>
      <c r="Z585" s="81">
        <f>'II_Inkunabeln+'!BJ585</f>
        <v>0</v>
      </c>
    </row>
    <row r="586" spans="1:26" x14ac:dyDescent="0.25">
      <c r="A586" s="63">
        <f>'II_Inkunabeln+'!A586</f>
        <v>562</v>
      </c>
      <c r="B586" s="63" t="str">
        <f>'II_Inkunabeln+'!B586</f>
        <v>L-1499-315496053</v>
      </c>
      <c r="C586" s="63">
        <f>'II_Inkunabeln+'!C586</f>
        <v>1066965803</v>
      </c>
      <c r="D586" s="84" t="str">
        <f>'II_Inkunabeln+'!D586</f>
        <v>https://portal.dnb.de/opac.htm?method=simpleSearch&amp;cqlMode=true&amp;query=idn%3D1066965803</v>
      </c>
      <c r="E586" s="65" t="str">
        <f>'II_Inkunabeln+'!E586</f>
        <v>II 67,4a</v>
      </c>
      <c r="F586" s="65" t="str">
        <f>'II_Inkunabeln+'!H586</f>
        <v>bis 25 cm</v>
      </c>
      <c r="G586" s="93">
        <f>'II_Inkunabeln+'!X586</f>
        <v>0</v>
      </c>
      <c r="H586" s="93">
        <f>'II_Inkunabeln+'!AA586</f>
        <v>0</v>
      </c>
      <c r="I586" s="93">
        <f>'II_Inkunabeln+'!AC586</f>
        <v>0</v>
      </c>
      <c r="J586" s="94"/>
      <c r="K586" s="93">
        <f>'II_Inkunabeln+'!AD586</f>
        <v>0</v>
      </c>
      <c r="L586" s="94"/>
      <c r="M586" s="94"/>
      <c r="N586" s="94"/>
      <c r="O586" s="94"/>
      <c r="P586" s="94"/>
      <c r="Q586" s="94"/>
      <c r="R586" s="94"/>
      <c r="S586" s="94"/>
      <c r="T586" s="94"/>
      <c r="U586" s="94"/>
      <c r="V586" s="94"/>
      <c r="W586" s="94">
        <f>'II_Inkunabeln+'!BA586</f>
        <v>0</v>
      </c>
      <c r="X586" s="108"/>
      <c r="Y586" s="93">
        <f>'II_Inkunabeln+'!BI586</f>
        <v>0</v>
      </c>
      <c r="Z586" s="81">
        <f>'II_Inkunabeln+'!BJ586</f>
        <v>0</v>
      </c>
    </row>
    <row r="587" spans="1:26" x14ac:dyDescent="0.25">
      <c r="A587" s="63">
        <f>'II_Inkunabeln+'!A587</f>
        <v>563</v>
      </c>
      <c r="B587" s="63" t="str">
        <f>'II_Inkunabeln+'!B587</f>
        <v>L-1480-32690672X</v>
      </c>
      <c r="C587" s="63">
        <f>'II_Inkunabeln+'!C587</f>
        <v>1072106795</v>
      </c>
      <c r="D587" s="84" t="str">
        <f>'II_Inkunabeln+'!D587</f>
        <v>https://portal.dnb.de/opac.htm?method=simpleSearch&amp;cqlMode=true&amp;query=idn%3D1072106795</v>
      </c>
      <c r="E587" s="65" t="str">
        <f>'II_Inkunabeln+'!E587</f>
        <v>II 67,6a</v>
      </c>
      <c r="F587" s="65">
        <f>'II_Inkunabeln+'!H587</f>
        <v>0</v>
      </c>
      <c r="G587" s="93">
        <f>'II_Inkunabeln+'!X587</f>
        <v>0</v>
      </c>
      <c r="H587" s="93">
        <f>'II_Inkunabeln+'!AA587</f>
        <v>0</v>
      </c>
      <c r="I587" s="93">
        <f>'II_Inkunabeln+'!AC587</f>
        <v>0</v>
      </c>
      <c r="J587" s="94"/>
      <c r="K587" s="93">
        <f>'II_Inkunabeln+'!AD587</f>
        <v>0</v>
      </c>
      <c r="L587" s="94"/>
      <c r="M587" s="94"/>
      <c r="N587" s="94"/>
      <c r="O587" s="94"/>
      <c r="P587" s="94"/>
      <c r="Q587" s="94"/>
      <c r="R587" s="94"/>
      <c r="S587" s="94"/>
      <c r="T587" s="94"/>
      <c r="U587" s="94"/>
      <c r="V587" s="94"/>
      <c r="W587" s="94">
        <f>'II_Inkunabeln+'!BA587</f>
        <v>0</v>
      </c>
      <c r="X587" s="108"/>
      <c r="Y587" s="93">
        <f>'II_Inkunabeln+'!BI587</f>
        <v>0</v>
      </c>
      <c r="Z587" s="81">
        <f>'II_Inkunabeln+'!BJ587</f>
        <v>0</v>
      </c>
    </row>
    <row r="588" spans="1:26" x14ac:dyDescent="0.25">
      <c r="A588" s="63">
        <f>'II_Inkunabeln+'!A588</f>
        <v>564</v>
      </c>
      <c r="B588" s="63" t="str">
        <f>'II_Inkunabeln+'!B588</f>
        <v>L-1499-315496223</v>
      </c>
      <c r="C588" s="63">
        <f>'II_Inkunabeln+'!C588</f>
        <v>1066965935</v>
      </c>
      <c r="D588" s="84" t="str">
        <f>'II_Inkunabeln+'!D588</f>
        <v>https://portal.dnb.de/opac.htm?method=simpleSearch&amp;cqlMode=true&amp;query=idn%3D1066965935</v>
      </c>
      <c r="E588" s="65" t="str">
        <f>'II_Inkunabeln+'!E588</f>
        <v>II 67,7a</v>
      </c>
      <c r="F588" s="65">
        <f>'II_Inkunabeln+'!H588</f>
        <v>0</v>
      </c>
      <c r="G588" s="93">
        <f>'II_Inkunabeln+'!X588</f>
        <v>0</v>
      </c>
      <c r="H588" s="93">
        <f>'II_Inkunabeln+'!AA588</f>
        <v>0</v>
      </c>
      <c r="I588" s="93">
        <f>'II_Inkunabeln+'!AC588</f>
        <v>0</v>
      </c>
      <c r="J588" s="94"/>
      <c r="K588" s="93">
        <f>'II_Inkunabeln+'!AD588</f>
        <v>0</v>
      </c>
      <c r="L588" s="94"/>
      <c r="M588" s="94"/>
      <c r="N588" s="94"/>
      <c r="O588" s="94"/>
      <c r="P588" s="94"/>
      <c r="Q588" s="94"/>
      <c r="R588" s="94"/>
      <c r="S588" s="94"/>
      <c r="T588" s="94"/>
      <c r="U588" s="94"/>
      <c r="V588" s="94"/>
      <c r="W588" s="94">
        <f>'II_Inkunabeln+'!BA588</f>
        <v>0</v>
      </c>
      <c r="X588" s="108"/>
      <c r="Y588" s="93">
        <f>'II_Inkunabeln+'!BI588</f>
        <v>0</v>
      </c>
      <c r="Z588" s="81">
        <f>'II_Inkunabeln+'!BJ588</f>
        <v>0</v>
      </c>
    </row>
    <row r="589" spans="1:26" x14ac:dyDescent="0.25">
      <c r="A589" s="63">
        <f>'II_Inkunabeln+'!A589</f>
        <v>565</v>
      </c>
      <c r="B589" s="63" t="str">
        <f>'II_Inkunabeln+'!B589</f>
        <v>L-1495-315501448</v>
      </c>
      <c r="C589" s="63">
        <f>'II_Inkunabeln+'!C589</f>
        <v>1066971080</v>
      </c>
      <c r="D589" s="84" t="str">
        <f>'II_Inkunabeln+'!D589</f>
        <v>https://portal.dnb.de/opac.htm?method=simpleSearch&amp;cqlMode=true&amp;query=idn%3D1066971080</v>
      </c>
      <c r="E589" s="65" t="str">
        <f>'II_Inkunabeln+'!E589</f>
        <v>II 67,9a</v>
      </c>
      <c r="F589" s="65">
        <f>'II_Inkunabeln+'!H589</f>
        <v>0</v>
      </c>
      <c r="G589" s="93">
        <f>'II_Inkunabeln+'!X589</f>
        <v>0</v>
      </c>
      <c r="H589" s="93">
        <f>'II_Inkunabeln+'!AA589</f>
        <v>0</v>
      </c>
      <c r="I589" s="93">
        <f>'II_Inkunabeln+'!AC589</f>
        <v>0</v>
      </c>
      <c r="J589" s="94"/>
      <c r="K589" s="93">
        <f>'II_Inkunabeln+'!AD589</f>
        <v>0</v>
      </c>
      <c r="L589" s="94"/>
      <c r="M589" s="94"/>
      <c r="N589" s="94"/>
      <c r="O589" s="94"/>
      <c r="P589" s="94"/>
      <c r="Q589" s="94"/>
      <c r="R589" s="94"/>
      <c r="S589" s="94"/>
      <c r="T589" s="94"/>
      <c r="U589" s="94"/>
      <c r="V589" s="94"/>
      <c r="W589" s="94">
        <f>'II_Inkunabeln+'!BA589</f>
        <v>0</v>
      </c>
      <c r="X589" s="108"/>
      <c r="Y589" s="93">
        <f>'II_Inkunabeln+'!BI589</f>
        <v>0</v>
      </c>
      <c r="Z589" s="81">
        <f>'II_Inkunabeln+'!BJ589</f>
        <v>0</v>
      </c>
    </row>
    <row r="590" spans="1:26" x14ac:dyDescent="0.25">
      <c r="A590" s="63">
        <f>'II_Inkunabeln+'!A590</f>
        <v>566</v>
      </c>
      <c r="B590" s="63" t="str">
        <f>'II_Inkunabeln+'!B590</f>
        <v>L-1493-315495367</v>
      </c>
      <c r="C590" s="63">
        <f>'II_Inkunabeln+'!C590</f>
        <v>1066965218</v>
      </c>
      <c r="D590" s="84" t="str">
        <f>'II_Inkunabeln+'!D590</f>
        <v>https://portal.dnb.de/opac.htm?method=simpleSearch&amp;cqlMode=true&amp;query=idn%3D1066965218</v>
      </c>
      <c r="E590" s="65" t="str">
        <f>'II_Inkunabeln+'!E590</f>
        <v>II 67,10a</v>
      </c>
      <c r="F590" s="65" t="str">
        <f>'II_Inkunabeln+'!H590</f>
        <v>bis 25 cm</v>
      </c>
      <c r="G590" s="93">
        <f>'II_Inkunabeln+'!X590</f>
        <v>0</v>
      </c>
      <c r="H590" s="93">
        <f>'II_Inkunabeln+'!AA590</f>
        <v>0</v>
      </c>
      <c r="I590" s="93">
        <f>'II_Inkunabeln+'!AC590</f>
        <v>0</v>
      </c>
      <c r="J590" s="94"/>
      <c r="K590" s="93">
        <f>'II_Inkunabeln+'!AD590</f>
        <v>0</v>
      </c>
      <c r="L590" s="94"/>
      <c r="M590" s="94"/>
      <c r="N590" s="94"/>
      <c r="O590" s="94"/>
      <c r="P590" s="94"/>
      <c r="Q590" s="94"/>
      <c r="R590" s="94"/>
      <c r="S590" s="94"/>
      <c r="T590" s="94"/>
      <c r="U590" s="94"/>
      <c r="V590" s="94"/>
      <c r="W590" s="94">
        <f>'II_Inkunabeln+'!BA590</f>
        <v>0</v>
      </c>
      <c r="X590" s="108"/>
      <c r="Y590" s="93">
        <f>'II_Inkunabeln+'!BI590</f>
        <v>0</v>
      </c>
      <c r="Z590" s="81">
        <f>'II_Inkunabeln+'!BJ590</f>
        <v>0</v>
      </c>
    </row>
    <row r="591" spans="1:26" x14ac:dyDescent="0.25">
      <c r="A591" s="63">
        <f>'II_Inkunabeln+'!A591</f>
        <v>567</v>
      </c>
      <c r="B591" s="63" t="str">
        <f>'II_Inkunabeln+'!B591</f>
        <v>L-1493-32767928X</v>
      </c>
      <c r="C591" s="63">
        <f>'II_Inkunabeln+'!C591</f>
        <v>1072378566</v>
      </c>
      <c r="D591" s="84" t="str">
        <f>'II_Inkunabeln+'!D591</f>
        <v>https://portal.dnb.de/opac.htm?method=simpleSearch&amp;cqlMode=true&amp;query=idn%3D1072378566</v>
      </c>
      <c r="E591" s="65" t="str">
        <f>'II_Inkunabeln+'!E591</f>
        <v>II 67,10b</v>
      </c>
      <c r="F591" s="65" t="str">
        <f>'II_Inkunabeln+'!H591</f>
        <v>bis 25 cm</v>
      </c>
      <c r="G591" s="93">
        <f>'II_Inkunabeln+'!X591</f>
        <v>0</v>
      </c>
      <c r="H591" s="93">
        <f>'II_Inkunabeln+'!AA591</f>
        <v>0</v>
      </c>
      <c r="I591" s="93">
        <f>'II_Inkunabeln+'!AC591</f>
        <v>0</v>
      </c>
      <c r="J591" s="94"/>
      <c r="K591" s="93">
        <f>'II_Inkunabeln+'!AD591</f>
        <v>0</v>
      </c>
      <c r="L591" s="94"/>
      <c r="M591" s="94"/>
      <c r="N591" s="94"/>
      <c r="O591" s="94"/>
      <c r="P591" s="94"/>
      <c r="Q591" s="94"/>
      <c r="R591" s="94"/>
      <c r="S591" s="94"/>
      <c r="T591" s="94"/>
      <c r="U591" s="94"/>
      <c r="V591" s="94"/>
      <c r="W591" s="94">
        <f>'II_Inkunabeln+'!BA591</f>
        <v>0</v>
      </c>
      <c r="X591" s="108"/>
      <c r="Y591" s="93">
        <f>'II_Inkunabeln+'!BI591</f>
        <v>0</v>
      </c>
      <c r="Z591" s="81">
        <f>'II_Inkunabeln+'!BJ591</f>
        <v>0</v>
      </c>
    </row>
    <row r="592" spans="1:26" x14ac:dyDescent="0.25">
      <c r="A592" s="63">
        <f>'II_Inkunabeln+'!A592</f>
        <v>568</v>
      </c>
      <c r="B592" s="63" t="str">
        <f>'II_Inkunabeln+'!B592</f>
        <v>L-1475-327679387</v>
      </c>
      <c r="C592" s="63">
        <f>'II_Inkunabeln+'!C592</f>
        <v>1072378760</v>
      </c>
      <c r="D592" s="84" t="str">
        <f>'II_Inkunabeln+'!D592</f>
        <v>https://portal.dnb.de/opac.htm?method=simpleSearch&amp;cqlMode=true&amp;query=idn%3D1072378760</v>
      </c>
      <c r="E592" s="65" t="str">
        <f>'II_Inkunabeln+'!E592</f>
        <v>II 67,11a</v>
      </c>
      <c r="F592" s="65" t="str">
        <f>'II_Inkunabeln+'!H592</f>
        <v>bis 25 cm</v>
      </c>
      <c r="G592" s="93">
        <f>'II_Inkunabeln+'!X592</f>
        <v>0</v>
      </c>
      <c r="H592" s="93">
        <f>'II_Inkunabeln+'!AA592</f>
        <v>0</v>
      </c>
      <c r="I592" s="93">
        <f>'II_Inkunabeln+'!AC592</f>
        <v>0</v>
      </c>
      <c r="J592" s="94"/>
      <c r="K592" s="93">
        <f>'II_Inkunabeln+'!AD592</f>
        <v>0</v>
      </c>
      <c r="L592" s="94"/>
      <c r="M592" s="94"/>
      <c r="N592" s="94"/>
      <c r="O592" s="94"/>
      <c r="P592" s="94"/>
      <c r="Q592" s="94"/>
      <c r="R592" s="94"/>
      <c r="S592" s="94"/>
      <c r="T592" s="94"/>
      <c r="U592" s="94"/>
      <c r="V592" s="94"/>
      <c r="W592" s="94">
        <f>'II_Inkunabeln+'!BA592</f>
        <v>0</v>
      </c>
      <c r="X592" s="108"/>
      <c r="Y592" s="93">
        <f>'II_Inkunabeln+'!BI592</f>
        <v>0</v>
      </c>
      <c r="Z592" s="81">
        <f>'II_Inkunabeln+'!BJ592</f>
        <v>0</v>
      </c>
    </row>
    <row r="593" spans="1:26" x14ac:dyDescent="0.25">
      <c r="A593" s="63">
        <f>'II_Inkunabeln+'!A593</f>
        <v>569</v>
      </c>
      <c r="B593" s="63" t="str">
        <f>'II_Inkunabeln+'!B593</f>
        <v>L-1481-315501057</v>
      </c>
      <c r="C593" s="63" t="str">
        <f>'II_Inkunabeln+'!C593</f>
        <v>106697070X</v>
      </c>
      <c r="D593" s="84" t="str">
        <f>'II_Inkunabeln+'!D593</f>
        <v>https://portal.dnb.de/opac.htm?method=simpleSearch&amp;cqlMode=true&amp;query=idn%3D106697070X</v>
      </c>
      <c r="E593" s="65" t="str">
        <f>'II_Inkunabeln+'!E593</f>
        <v>II 68,1a</v>
      </c>
      <c r="F593" s="65">
        <f>'II_Inkunabeln+'!H593</f>
        <v>0</v>
      </c>
      <c r="G593" s="93">
        <f>'II_Inkunabeln+'!X593</f>
        <v>0</v>
      </c>
      <c r="H593" s="93">
        <f>'II_Inkunabeln+'!AA593</f>
        <v>0</v>
      </c>
      <c r="I593" s="93">
        <f>'II_Inkunabeln+'!AC593</f>
        <v>0</v>
      </c>
      <c r="J593" s="94"/>
      <c r="K593" s="93">
        <f>'II_Inkunabeln+'!AD593</f>
        <v>0</v>
      </c>
      <c r="L593" s="94"/>
      <c r="M593" s="94"/>
      <c r="N593" s="94"/>
      <c r="O593" s="94"/>
      <c r="P593" s="94"/>
      <c r="Q593" s="94"/>
      <c r="R593" s="94"/>
      <c r="S593" s="94"/>
      <c r="T593" s="94"/>
      <c r="U593" s="94"/>
      <c r="V593" s="94"/>
      <c r="W593" s="94">
        <f>'II_Inkunabeln+'!BA593</f>
        <v>0</v>
      </c>
      <c r="X593" s="108"/>
      <c r="Y593" s="93">
        <f>'II_Inkunabeln+'!BI593</f>
        <v>0</v>
      </c>
      <c r="Z593" s="81">
        <f>'II_Inkunabeln+'!BJ593</f>
        <v>0</v>
      </c>
    </row>
    <row r="594" spans="1:26" x14ac:dyDescent="0.25">
      <c r="A594" s="63">
        <f>'II_Inkunabeln+'!A594</f>
        <v>570</v>
      </c>
      <c r="B594" s="63" t="str">
        <f>'II_Inkunabeln+'!B594</f>
        <v>L-1482-343708523</v>
      </c>
      <c r="C594" s="63">
        <f>'II_Inkunabeln+'!C594</f>
        <v>1079560041</v>
      </c>
      <c r="D594" s="84" t="str">
        <f>'II_Inkunabeln+'!D594</f>
        <v>https://portal.dnb.de/opac.htm?method=simpleSearch&amp;cqlMode=true&amp;query=idn%3D1079560041</v>
      </c>
      <c r="E594" s="65" t="str">
        <f>'II_Inkunabeln+'!E594</f>
        <v>II 68,1b</v>
      </c>
      <c r="F594" s="65" t="str">
        <f>'II_Inkunabeln+'!H594</f>
        <v>bis 25 cm</v>
      </c>
      <c r="G594" s="93">
        <f>'II_Inkunabeln+'!X594</f>
        <v>0</v>
      </c>
      <c r="H594" s="93">
        <f>'II_Inkunabeln+'!AA594</f>
        <v>0</v>
      </c>
      <c r="I594" s="93">
        <f>'II_Inkunabeln+'!AC594</f>
        <v>0</v>
      </c>
      <c r="J594" s="94"/>
      <c r="K594" s="93">
        <f>'II_Inkunabeln+'!AD594</f>
        <v>0</v>
      </c>
      <c r="L594" s="94"/>
      <c r="M594" s="94"/>
      <c r="N594" s="94"/>
      <c r="O594" s="94"/>
      <c r="P594" s="94"/>
      <c r="Q594" s="94"/>
      <c r="R594" s="94"/>
      <c r="S594" s="94"/>
      <c r="T594" s="94"/>
      <c r="U594" s="94"/>
      <c r="V594" s="94"/>
      <c r="W594" s="94">
        <f>'II_Inkunabeln+'!BA594</f>
        <v>0</v>
      </c>
      <c r="X594" s="108"/>
      <c r="Y594" s="93">
        <f>'II_Inkunabeln+'!BI594</f>
        <v>0</v>
      </c>
      <c r="Z594" s="81">
        <f>'II_Inkunabeln+'!BJ594</f>
        <v>0</v>
      </c>
    </row>
    <row r="595" spans="1:26" x14ac:dyDescent="0.25">
      <c r="A595" s="63">
        <f>'II_Inkunabeln+'!A595</f>
        <v>571</v>
      </c>
      <c r="B595" s="63" t="str">
        <f>'II_Inkunabeln+'!B595</f>
        <v>L-1481-326907726</v>
      </c>
      <c r="C595" s="63">
        <f>'II_Inkunabeln+'!C595</f>
        <v>1072108216</v>
      </c>
      <c r="D595" s="84" t="str">
        <f>'II_Inkunabeln+'!D595</f>
        <v>https://portal.dnb.de/opac.htm?method=simpleSearch&amp;cqlMode=true&amp;query=idn%3D1072108216</v>
      </c>
      <c r="E595" s="65" t="str">
        <f>'II_Inkunabeln+'!E595</f>
        <v>II 69,1a</v>
      </c>
      <c r="F595" s="65">
        <f>'II_Inkunabeln+'!H595</f>
        <v>0</v>
      </c>
      <c r="G595" s="93">
        <f>'II_Inkunabeln+'!X595</f>
        <v>0</v>
      </c>
      <c r="H595" s="93">
        <f>'II_Inkunabeln+'!AA595</f>
        <v>0</v>
      </c>
      <c r="I595" s="93">
        <f>'II_Inkunabeln+'!AC595</f>
        <v>0</v>
      </c>
      <c r="J595" s="94"/>
      <c r="K595" s="93">
        <f>'II_Inkunabeln+'!AD595</f>
        <v>0</v>
      </c>
      <c r="L595" s="94"/>
      <c r="M595" s="94"/>
      <c r="N595" s="94"/>
      <c r="O595" s="94"/>
      <c r="P595" s="94"/>
      <c r="Q595" s="94"/>
      <c r="R595" s="94"/>
      <c r="S595" s="94"/>
      <c r="T595" s="94"/>
      <c r="U595" s="94"/>
      <c r="V595" s="94"/>
      <c r="W595" s="94">
        <f>'II_Inkunabeln+'!BA595</f>
        <v>0</v>
      </c>
      <c r="X595" s="108"/>
      <c r="Y595" s="93">
        <f>'II_Inkunabeln+'!BI595</f>
        <v>0</v>
      </c>
      <c r="Z595" s="81">
        <f>'II_Inkunabeln+'!BJ595</f>
        <v>0</v>
      </c>
    </row>
    <row r="596" spans="1:26" x14ac:dyDescent="0.25">
      <c r="A596" s="63">
        <f>'II_Inkunabeln+'!A596</f>
        <v>572</v>
      </c>
      <c r="B596" s="63" t="str">
        <f>'II_Inkunabeln+'!B596</f>
        <v>L-1498-315495375</v>
      </c>
      <c r="C596" s="63">
        <f>'II_Inkunabeln+'!C596</f>
        <v>1066965226</v>
      </c>
      <c r="D596" s="84" t="str">
        <f>'II_Inkunabeln+'!D596</f>
        <v>https://portal.dnb.de/opac.htm?method=simpleSearch&amp;cqlMode=true&amp;query=idn%3D1066965226</v>
      </c>
      <c r="E596" s="65" t="str">
        <f>'II_Inkunabeln+'!E596</f>
        <v>II 69,2a</v>
      </c>
      <c r="F596" s="65">
        <f>'II_Inkunabeln+'!H596</f>
        <v>0</v>
      </c>
      <c r="G596" s="93">
        <f>'II_Inkunabeln+'!X596</f>
        <v>0</v>
      </c>
      <c r="H596" s="93">
        <f>'II_Inkunabeln+'!AA596</f>
        <v>0</v>
      </c>
      <c r="I596" s="93">
        <f>'II_Inkunabeln+'!AC596</f>
        <v>0</v>
      </c>
      <c r="J596" s="94"/>
      <c r="K596" s="93">
        <f>'II_Inkunabeln+'!AD596</f>
        <v>0</v>
      </c>
      <c r="L596" s="94"/>
      <c r="M596" s="94"/>
      <c r="N596" s="94"/>
      <c r="O596" s="94"/>
      <c r="P596" s="94"/>
      <c r="Q596" s="94"/>
      <c r="R596" s="94"/>
      <c r="S596" s="94"/>
      <c r="T596" s="94"/>
      <c r="U596" s="94"/>
      <c r="V596" s="94"/>
      <c r="W596" s="94">
        <f>'II_Inkunabeln+'!BA596</f>
        <v>0</v>
      </c>
      <c r="X596" s="108"/>
      <c r="Y596" s="93">
        <f>'II_Inkunabeln+'!BI596</f>
        <v>0</v>
      </c>
      <c r="Z596" s="81">
        <f>'II_Inkunabeln+'!BJ596</f>
        <v>0</v>
      </c>
    </row>
    <row r="597" spans="1:26" x14ac:dyDescent="0.25">
      <c r="A597" s="63">
        <f>'II_Inkunabeln+'!A597</f>
        <v>573</v>
      </c>
      <c r="B597" s="63" t="str">
        <f>'II_Inkunabeln+'!B597</f>
        <v>L-1484-327679522</v>
      </c>
      <c r="C597" s="63">
        <f>'II_Inkunabeln+'!C597</f>
        <v>1072378957</v>
      </c>
      <c r="D597" s="84" t="str">
        <f>'II_Inkunabeln+'!D597</f>
        <v>https://portal.dnb.de/opac.htm?method=simpleSearch&amp;cqlMode=true&amp;query=idn%3D1072378957</v>
      </c>
      <c r="E597" s="65" t="str">
        <f>'II_Inkunabeln+'!E597</f>
        <v>II 69,3a</v>
      </c>
      <c r="F597" s="65">
        <f>'II_Inkunabeln+'!H597</f>
        <v>0</v>
      </c>
      <c r="G597" s="93">
        <f>'II_Inkunabeln+'!X597</f>
        <v>0</v>
      </c>
      <c r="H597" s="93">
        <f>'II_Inkunabeln+'!AA597</f>
        <v>0</v>
      </c>
      <c r="I597" s="93">
        <f>'II_Inkunabeln+'!AC597</f>
        <v>0</v>
      </c>
      <c r="J597" s="94"/>
      <c r="K597" s="93">
        <f>'II_Inkunabeln+'!AD597</f>
        <v>0</v>
      </c>
      <c r="L597" s="94"/>
      <c r="M597" s="94"/>
      <c r="N597" s="94"/>
      <c r="O597" s="94"/>
      <c r="P597" s="94"/>
      <c r="Q597" s="94"/>
      <c r="R597" s="94"/>
      <c r="S597" s="94"/>
      <c r="T597" s="94"/>
      <c r="U597" s="94"/>
      <c r="V597" s="94"/>
      <c r="W597" s="94">
        <f>'II_Inkunabeln+'!BA597</f>
        <v>0</v>
      </c>
      <c r="X597" s="108"/>
      <c r="Y597" s="93">
        <f>'II_Inkunabeln+'!BI597</f>
        <v>0</v>
      </c>
      <c r="Z597" s="81">
        <f>'II_Inkunabeln+'!BJ597</f>
        <v>0</v>
      </c>
    </row>
    <row r="598" spans="1:26" x14ac:dyDescent="0.25">
      <c r="A598" s="63">
        <f>'II_Inkunabeln+'!A598</f>
        <v>574</v>
      </c>
      <c r="B598" s="63" t="str">
        <f>'II_Inkunabeln+'!B598</f>
        <v>L-1498-326910484</v>
      </c>
      <c r="C598" s="63">
        <f>'II_Inkunabeln+'!C598</f>
        <v>1072111624</v>
      </c>
      <c r="D598" s="84" t="str">
        <f>'II_Inkunabeln+'!D598</f>
        <v>https://portal.dnb.de/opac.htm?method=simpleSearch&amp;cqlMode=true&amp;query=idn%3D1072111624</v>
      </c>
      <c r="E598" s="65" t="str">
        <f>'II_Inkunabeln+'!E598</f>
        <v>II 70,1a</v>
      </c>
      <c r="F598" s="65">
        <f>'II_Inkunabeln+'!H598</f>
        <v>0</v>
      </c>
      <c r="G598" s="93">
        <f>'II_Inkunabeln+'!X598</f>
        <v>0</v>
      </c>
      <c r="H598" s="93">
        <f>'II_Inkunabeln+'!AA598</f>
        <v>0</v>
      </c>
      <c r="I598" s="93">
        <f>'II_Inkunabeln+'!AC598</f>
        <v>0</v>
      </c>
      <c r="J598" s="94"/>
      <c r="K598" s="93">
        <f>'II_Inkunabeln+'!AD598</f>
        <v>0</v>
      </c>
      <c r="L598" s="94"/>
      <c r="M598" s="94"/>
      <c r="N598" s="94"/>
      <c r="O598" s="94"/>
      <c r="P598" s="94"/>
      <c r="Q598" s="94"/>
      <c r="R598" s="94"/>
      <c r="S598" s="94"/>
      <c r="T598" s="94"/>
      <c r="U598" s="94"/>
      <c r="V598" s="94"/>
      <c r="W598" s="94">
        <f>'II_Inkunabeln+'!BA598</f>
        <v>0</v>
      </c>
      <c r="X598" s="108"/>
      <c r="Y598" s="93">
        <f>'II_Inkunabeln+'!BI598</f>
        <v>0</v>
      </c>
      <c r="Z598" s="81">
        <f>'II_Inkunabeln+'!BJ598</f>
        <v>0</v>
      </c>
    </row>
    <row r="599" spans="1:26" x14ac:dyDescent="0.25">
      <c r="A599" s="63">
        <f>'II_Inkunabeln+'!A599</f>
        <v>575</v>
      </c>
      <c r="B599" s="63" t="str">
        <f>'II_Inkunabeln+'!B599</f>
        <v>L-1485-326910751</v>
      </c>
      <c r="C599" s="63">
        <f>'II_Inkunabeln+'!C599</f>
        <v>1072112019</v>
      </c>
      <c r="D599" s="84" t="str">
        <f>'II_Inkunabeln+'!D599</f>
        <v>https://portal.dnb.de/opac.htm?method=simpleSearch&amp;cqlMode=true&amp;query=idn%3D1072112019</v>
      </c>
      <c r="E599" s="65" t="str">
        <f>'II_Inkunabeln+'!E599</f>
        <v>II 72,1a</v>
      </c>
      <c r="F599" s="65" t="str">
        <f>'II_Inkunabeln+'!H599</f>
        <v>bis 25 cm</v>
      </c>
      <c r="G599" s="93">
        <f>'II_Inkunabeln+'!X599</f>
        <v>0</v>
      </c>
      <c r="H599" s="93">
        <f>'II_Inkunabeln+'!AA599</f>
        <v>0</v>
      </c>
      <c r="I599" s="93">
        <f>'II_Inkunabeln+'!AC599</f>
        <v>0</v>
      </c>
      <c r="J599" s="94"/>
      <c r="K599" s="93">
        <f>'II_Inkunabeln+'!AD599</f>
        <v>0</v>
      </c>
      <c r="L599" s="94"/>
      <c r="M599" s="94"/>
      <c r="N599" s="94"/>
      <c r="O599" s="94"/>
      <c r="P599" s="94"/>
      <c r="Q599" s="94"/>
      <c r="R599" s="94"/>
      <c r="S599" s="94"/>
      <c r="T599" s="94"/>
      <c r="U599" s="94"/>
      <c r="V599" s="94"/>
      <c r="W599" s="94">
        <f>'II_Inkunabeln+'!BA599</f>
        <v>0</v>
      </c>
      <c r="X599" s="108"/>
      <c r="Y599" s="93">
        <f>'II_Inkunabeln+'!BI599</f>
        <v>0</v>
      </c>
      <c r="Z599" s="81">
        <f>'II_Inkunabeln+'!BJ599</f>
        <v>0</v>
      </c>
    </row>
    <row r="600" spans="1:26" x14ac:dyDescent="0.25">
      <c r="A600" s="63">
        <f>'II_Inkunabeln+'!A600</f>
        <v>576</v>
      </c>
      <c r="B600" s="63" t="str">
        <f>'II_Inkunabeln+'!B600</f>
        <v>L-1481-315497114</v>
      </c>
      <c r="C600" s="63">
        <f>'II_Inkunabeln+'!C600</f>
        <v>1066966818</v>
      </c>
      <c r="D600" s="84" t="str">
        <f>'II_Inkunabeln+'!D600</f>
        <v>https://portal.dnb.de/opac.htm?method=simpleSearch&amp;cqlMode=true&amp;query=idn%3D1066966818</v>
      </c>
      <c r="E600" s="65" t="str">
        <f>'II_Inkunabeln+'!E600</f>
        <v>II 74,1a</v>
      </c>
      <c r="F600" s="65" t="str">
        <f>'II_Inkunabeln+'!H600</f>
        <v>bis 35 cm</v>
      </c>
      <c r="G600" s="93">
        <f>'II_Inkunabeln+'!X600</f>
        <v>0</v>
      </c>
      <c r="H600" s="93">
        <f>'II_Inkunabeln+'!AA600</f>
        <v>0</v>
      </c>
      <c r="I600" s="93">
        <f>'II_Inkunabeln+'!AC600</f>
        <v>0</v>
      </c>
      <c r="J600" s="94"/>
      <c r="K600" s="93">
        <f>'II_Inkunabeln+'!AD600</f>
        <v>0</v>
      </c>
      <c r="L600" s="94"/>
      <c r="M600" s="94"/>
      <c r="N600" s="94"/>
      <c r="O600" s="94"/>
      <c r="P600" s="94"/>
      <c r="Q600" s="94"/>
      <c r="R600" s="94"/>
      <c r="S600" s="94"/>
      <c r="T600" s="94"/>
      <c r="U600" s="94"/>
      <c r="V600" s="94"/>
      <c r="W600" s="94">
        <f>'II_Inkunabeln+'!BA600</f>
        <v>0</v>
      </c>
      <c r="X600" s="108"/>
      <c r="Y600" s="93">
        <f>'II_Inkunabeln+'!BI600</f>
        <v>0</v>
      </c>
      <c r="Z600" s="81">
        <f>'II_Inkunabeln+'!BJ600</f>
        <v>0</v>
      </c>
    </row>
    <row r="601" spans="1:26" x14ac:dyDescent="0.25">
      <c r="A601" s="63">
        <f>'II_Inkunabeln+'!A601</f>
        <v>577</v>
      </c>
      <c r="B601" s="63" t="str">
        <f>'II_Inkunabeln+'!B601</f>
        <v>L-1494-315495693</v>
      </c>
      <c r="C601" s="63">
        <f>'II_Inkunabeln+'!C601</f>
        <v>1066965455</v>
      </c>
      <c r="D601" s="84" t="str">
        <f>'II_Inkunabeln+'!D601</f>
        <v>https://portal.dnb.de/opac.htm?method=simpleSearch&amp;cqlMode=true&amp;query=idn%3D1066965455</v>
      </c>
      <c r="E601" s="65" t="str">
        <f>'II_Inkunabeln+'!E601</f>
        <v>II 74,2a</v>
      </c>
      <c r="F601" s="65">
        <f>'II_Inkunabeln+'!H601</f>
        <v>0</v>
      </c>
      <c r="G601" s="93">
        <f>'II_Inkunabeln+'!X601</f>
        <v>0</v>
      </c>
      <c r="H601" s="93">
        <f>'II_Inkunabeln+'!AA601</f>
        <v>0</v>
      </c>
      <c r="I601" s="93">
        <f>'II_Inkunabeln+'!AC601</f>
        <v>0</v>
      </c>
      <c r="J601" s="94"/>
      <c r="K601" s="93">
        <f>'II_Inkunabeln+'!AD601</f>
        <v>0</v>
      </c>
      <c r="L601" s="94"/>
      <c r="M601" s="94"/>
      <c r="N601" s="94"/>
      <c r="O601" s="94"/>
      <c r="P601" s="94"/>
      <c r="Q601" s="94"/>
      <c r="R601" s="94"/>
      <c r="S601" s="94"/>
      <c r="T601" s="94"/>
      <c r="U601" s="94"/>
      <c r="V601" s="94"/>
      <c r="W601" s="94">
        <f>'II_Inkunabeln+'!BA601</f>
        <v>0</v>
      </c>
      <c r="X601" s="108"/>
      <c r="Y601" s="93">
        <f>'II_Inkunabeln+'!BI601</f>
        <v>0</v>
      </c>
      <c r="Z601" s="81">
        <f>'II_Inkunabeln+'!BJ601</f>
        <v>0</v>
      </c>
    </row>
    <row r="602" spans="1:26" x14ac:dyDescent="0.25">
      <c r="A602" s="63">
        <f>'II_Inkunabeln+'!A602</f>
        <v>578</v>
      </c>
      <c r="B602" s="63" t="str">
        <f>'II_Inkunabeln+'!B602</f>
        <v>L-1498-315497718</v>
      </c>
      <c r="C602" s="63">
        <f>'II_Inkunabeln+'!C602</f>
        <v>1066967458</v>
      </c>
      <c r="D602" s="84" t="str">
        <f>'II_Inkunabeln+'!D602</f>
        <v>https://portal.dnb.de/opac.htm?method=simpleSearch&amp;cqlMode=true&amp;query=idn%3D1066967458</v>
      </c>
      <c r="E602" s="65" t="str">
        <f>'II_Inkunabeln+'!E602</f>
        <v>II 74,3a</v>
      </c>
      <c r="F602" s="65" t="str">
        <f>'II_Inkunabeln+'!H602</f>
        <v>bis 25 cm</v>
      </c>
      <c r="G602" s="93">
        <f>'II_Inkunabeln+'!X602</f>
        <v>0</v>
      </c>
      <c r="H602" s="93">
        <f>'II_Inkunabeln+'!AA602</f>
        <v>0</v>
      </c>
      <c r="I602" s="93">
        <f>'II_Inkunabeln+'!AC602</f>
        <v>0</v>
      </c>
      <c r="J602" s="94"/>
      <c r="K602" s="93">
        <f>'II_Inkunabeln+'!AD602</f>
        <v>0</v>
      </c>
      <c r="L602" s="94"/>
      <c r="M602" s="94"/>
      <c r="N602" s="94"/>
      <c r="O602" s="94"/>
      <c r="P602" s="94"/>
      <c r="Q602" s="94"/>
      <c r="R602" s="94"/>
      <c r="S602" s="94"/>
      <c r="T602" s="94"/>
      <c r="U602" s="94"/>
      <c r="V602" s="94"/>
      <c r="W602" s="94">
        <f>'II_Inkunabeln+'!BA602</f>
        <v>0</v>
      </c>
      <c r="X602" s="108"/>
      <c r="Y602" s="93">
        <f>'II_Inkunabeln+'!BI602</f>
        <v>0</v>
      </c>
      <c r="Z602" s="81">
        <f>'II_Inkunabeln+'!BJ602</f>
        <v>0</v>
      </c>
    </row>
    <row r="603" spans="1:26" x14ac:dyDescent="0.25">
      <c r="A603" s="63">
        <f>'II_Inkunabeln+'!A603</f>
        <v>579</v>
      </c>
      <c r="B603" s="63" t="str">
        <f>'II_Inkunabeln+'!B603</f>
        <v>L-1470-320163695</v>
      </c>
      <c r="C603" s="63">
        <f>'II_Inkunabeln+'!C603</f>
        <v>1069014885</v>
      </c>
      <c r="D603" s="84" t="str">
        <f>'II_Inkunabeln+'!D603</f>
        <v>https://portal.dnb.de/opac.htm?method=simpleSearch&amp;cqlMode=true&amp;query=idn%3D1069014885</v>
      </c>
      <c r="E603" s="65" t="str">
        <f>'II_Inkunabeln+'!E603</f>
        <v>II 75,1b - 1</v>
      </c>
      <c r="F603" s="65">
        <f>'II_Inkunabeln+'!H603</f>
        <v>0</v>
      </c>
      <c r="G603" s="93">
        <f>'II_Inkunabeln+'!X603</f>
        <v>0</v>
      </c>
      <c r="H603" s="93">
        <f>'II_Inkunabeln+'!AA603</f>
        <v>0</v>
      </c>
      <c r="I603" s="93">
        <f>'II_Inkunabeln+'!AC603</f>
        <v>0</v>
      </c>
      <c r="J603" s="94"/>
      <c r="K603" s="93">
        <f>'II_Inkunabeln+'!AD603</f>
        <v>0</v>
      </c>
      <c r="L603" s="94"/>
      <c r="M603" s="94"/>
      <c r="N603" s="94"/>
      <c r="O603" s="94"/>
      <c r="P603" s="94"/>
      <c r="Q603" s="94"/>
      <c r="R603" s="94"/>
      <c r="S603" s="94"/>
      <c r="T603" s="94"/>
      <c r="U603" s="94"/>
      <c r="V603" s="94"/>
      <c r="W603" s="94">
        <f>'II_Inkunabeln+'!BA603</f>
        <v>0</v>
      </c>
      <c r="X603" s="108"/>
      <c r="Y603" s="93">
        <f>'II_Inkunabeln+'!BI603</f>
        <v>0</v>
      </c>
      <c r="Z603" s="81">
        <f>'II_Inkunabeln+'!BJ603</f>
        <v>0</v>
      </c>
    </row>
    <row r="604" spans="1:26" x14ac:dyDescent="0.25">
      <c r="A604" s="63">
        <f>'II_Inkunabeln+'!A604</f>
        <v>580</v>
      </c>
      <c r="B604" s="63" t="str">
        <f>'II_Inkunabeln+'!B604</f>
        <v>L-1470-320163733</v>
      </c>
      <c r="C604" s="63" t="str">
        <f>'II_Inkunabeln+'!C604</f>
        <v>106901494X</v>
      </c>
      <c r="D604" s="84" t="str">
        <f>'II_Inkunabeln+'!D604</f>
        <v>https://portal.dnb.de/opac.htm?method=simpleSearch&amp;cqlMode=true&amp;query=idn%3D106901494X</v>
      </c>
      <c r="E604" s="65" t="str">
        <f>'II_Inkunabeln+'!E604</f>
        <v>II 75,1b - 2</v>
      </c>
      <c r="F604" s="65">
        <f>'II_Inkunabeln+'!H604</f>
        <v>0</v>
      </c>
      <c r="G604" s="93">
        <f>'II_Inkunabeln+'!X604</f>
        <v>0</v>
      </c>
      <c r="H604" s="93">
        <f>'II_Inkunabeln+'!AA604</f>
        <v>0</v>
      </c>
      <c r="I604" s="93">
        <f>'II_Inkunabeln+'!AC604</f>
        <v>0</v>
      </c>
      <c r="J604" s="94"/>
      <c r="K604" s="93">
        <f>'II_Inkunabeln+'!AD604</f>
        <v>0</v>
      </c>
      <c r="L604" s="94"/>
      <c r="M604" s="94"/>
      <c r="N604" s="94"/>
      <c r="O604" s="94"/>
      <c r="P604" s="94"/>
      <c r="Q604" s="94"/>
      <c r="R604" s="94"/>
      <c r="S604" s="94"/>
      <c r="T604" s="94"/>
      <c r="U604" s="94"/>
      <c r="V604" s="94"/>
      <c r="W604" s="94">
        <f>'II_Inkunabeln+'!BA604</f>
        <v>0</v>
      </c>
      <c r="X604" s="108"/>
      <c r="Y604" s="93">
        <f>'II_Inkunabeln+'!BI604</f>
        <v>0</v>
      </c>
      <c r="Z604" s="81">
        <f>'II_Inkunabeln+'!BJ604</f>
        <v>0</v>
      </c>
    </row>
    <row r="605" spans="1:26" x14ac:dyDescent="0.25">
      <c r="A605" s="63">
        <f>'II_Inkunabeln+'!A605</f>
        <v>581</v>
      </c>
      <c r="B605" s="63" t="str">
        <f>'II_Inkunabeln+'!B605</f>
        <v>L-1476-315502517</v>
      </c>
      <c r="C605" s="63">
        <f>'II_Inkunabeln+'!C605</f>
        <v>1066972095</v>
      </c>
      <c r="D605" s="84" t="str">
        <f>'II_Inkunabeln+'!D605</f>
        <v>https://portal.dnb.de/opac.htm?method=simpleSearch&amp;cqlMode=true&amp;query=idn%3D1066972095</v>
      </c>
      <c r="E605" s="65" t="str">
        <f>'II_Inkunabeln+'!E605</f>
        <v>II 75,2e</v>
      </c>
      <c r="F605" s="65">
        <f>'II_Inkunabeln+'!H605</f>
        <v>0</v>
      </c>
      <c r="G605" s="93">
        <f>'II_Inkunabeln+'!X605</f>
        <v>0</v>
      </c>
      <c r="H605" s="93">
        <f>'II_Inkunabeln+'!AA605</f>
        <v>0</v>
      </c>
      <c r="I605" s="93">
        <f>'II_Inkunabeln+'!AC605</f>
        <v>0</v>
      </c>
      <c r="J605" s="94"/>
      <c r="K605" s="93">
        <f>'II_Inkunabeln+'!AD605</f>
        <v>0</v>
      </c>
      <c r="L605" s="94"/>
      <c r="M605" s="94"/>
      <c r="N605" s="94"/>
      <c r="O605" s="94"/>
      <c r="P605" s="94"/>
      <c r="Q605" s="94"/>
      <c r="R605" s="94"/>
      <c r="S605" s="94"/>
      <c r="T605" s="94"/>
      <c r="U605" s="94"/>
      <c r="V605" s="94"/>
      <c r="W605" s="94">
        <f>'II_Inkunabeln+'!BA605</f>
        <v>0</v>
      </c>
      <c r="X605" s="108"/>
      <c r="Y605" s="93">
        <f>'II_Inkunabeln+'!BI605</f>
        <v>0</v>
      </c>
      <c r="Z605" s="81">
        <f>'II_Inkunabeln+'!BJ605</f>
        <v>0</v>
      </c>
    </row>
    <row r="606" spans="1:26" x14ac:dyDescent="0.25">
      <c r="A606" s="63">
        <f>'II_Inkunabeln+'!A606</f>
        <v>582</v>
      </c>
      <c r="B606" s="63" t="str">
        <f>'II_Inkunabeln+'!B606</f>
        <v>L-1495-326993355</v>
      </c>
      <c r="C606" s="63">
        <f>'II_Inkunabeln+'!C606</f>
        <v>1072153890</v>
      </c>
      <c r="D606" s="84" t="str">
        <f>'II_Inkunabeln+'!D606</f>
        <v>https://portal.dnb.de/opac.htm?method=simpleSearch&amp;cqlMode=true&amp;query=idn%3D1072153890</v>
      </c>
      <c r="E606" s="65" t="str">
        <f>'II_Inkunabeln+'!E606</f>
        <v>II 76,1a</v>
      </c>
      <c r="F606" s="65">
        <f>'II_Inkunabeln+'!H606</f>
        <v>0</v>
      </c>
      <c r="G606" s="93">
        <f>'II_Inkunabeln+'!X606</f>
        <v>0</v>
      </c>
      <c r="H606" s="93">
        <f>'II_Inkunabeln+'!AA606</f>
        <v>0</v>
      </c>
      <c r="I606" s="93">
        <f>'II_Inkunabeln+'!AC606</f>
        <v>0</v>
      </c>
      <c r="J606" s="94"/>
      <c r="K606" s="93">
        <f>'II_Inkunabeln+'!AD606</f>
        <v>0</v>
      </c>
      <c r="L606" s="94"/>
      <c r="M606" s="94"/>
      <c r="N606" s="94"/>
      <c r="O606" s="94"/>
      <c r="P606" s="94"/>
      <c r="Q606" s="94"/>
      <c r="R606" s="94"/>
      <c r="S606" s="94"/>
      <c r="T606" s="94"/>
      <c r="U606" s="94"/>
      <c r="V606" s="94"/>
      <c r="W606" s="94">
        <f>'II_Inkunabeln+'!BA606</f>
        <v>0</v>
      </c>
      <c r="X606" s="108"/>
      <c r="Y606" s="93">
        <f>'II_Inkunabeln+'!BI606</f>
        <v>0</v>
      </c>
      <c r="Z606" s="81">
        <f>'II_Inkunabeln+'!BJ606</f>
        <v>0</v>
      </c>
    </row>
    <row r="607" spans="1:26" x14ac:dyDescent="0.25">
      <c r="A607" s="63">
        <f>'II_Inkunabeln+'!A607</f>
        <v>583</v>
      </c>
      <c r="B607" s="63" t="str">
        <f>'II_Inkunabeln+'!B607</f>
        <v>L-1492-326993479</v>
      </c>
      <c r="C607" s="63">
        <f>'II_Inkunabeln+'!C607</f>
        <v>1072153998</v>
      </c>
      <c r="D607" s="84" t="str">
        <f>'II_Inkunabeln+'!D607</f>
        <v>https://portal.dnb.de/opac.htm?method=simpleSearch&amp;cqlMode=true&amp;query=idn%3D1072153998</v>
      </c>
      <c r="E607" s="65" t="str">
        <f>'II_Inkunabeln+'!E607</f>
        <v>II 80,1a</v>
      </c>
      <c r="F607" s="65">
        <f>'II_Inkunabeln+'!H607</f>
        <v>0</v>
      </c>
      <c r="G607" s="93">
        <f>'II_Inkunabeln+'!X607</f>
        <v>0</v>
      </c>
      <c r="H607" s="93">
        <f>'II_Inkunabeln+'!AA607</f>
        <v>0</v>
      </c>
      <c r="I607" s="93">
        <f>'II_Inkunabeln+'!AC607</f>
        <v>0</v>
      </c>
      <c r="J607" s="94"/>
      <c r="K607" s="93">
        <f>'II_Inkunabeln+'!AD607</f>
        <v>0</v>
      </c>
      <c r="L607" s="94"/>
      <c r="M607" s="94"/>
      <c r="N607" s="94"/>
      <c r="O607" s="94"/>
      <c r="P607" s="94"/>
      <c r="Q607" s="94"/>
      <c r="R607" s="94"/>
      <c r="S607" s="94"/>
      <c r="T607" s="94"/>
      <c r="U607" s="94"/>
      <c r="V607" s="94"/>
      <c r="W607" s="94">
        <f>'II_Inkunabeln+'!BA607</f>
        <v>0</v>
      </c>
      <c r="X607" s="108"/>
      <c r="Y607" s="93">
        <f>'II_Inkunabeln+'!BI607</f>
        <v>0</v>
      </c>
      <c r="Z607" s="81">
        <f>'II_Inkunabeln+'!BJ607</f>
        <v>0</v>
      </c>
    </row>
    <row r="608" spans="1:26" x14ac:dyDescent="0.25">
      <c r="A608" s="63">
        <f>'II_Inkunabeln+'!A608</f>
        <v>584</v>
      </c>
      <c r="B608" s="63" t="str">
        <f>'II_Inkunabeln+'!B608</f>
        <v>L-1476-326993541</v>
      </c>
      <c r="C608" s="63">
        <f>'II_Inkunabeln+'!C608</f>
        <v>1072154080</v>
      </c>
      <c r="D608" s="84" t="str">
        <f>'II_Inkunabeln+'!D608</f>
        <v>https://portal.dnb.de/opac.htm?method=simpleSearch&amp;cqlMode=true&amp;query=idn%3D1072154080</v>
      </c>
      <c r="E608" s="65" t="str">
        <f>'II_Inkunabeln+'!E608</f>
        <v>II 80,2a</v>
      </c>
      <c r="F608" s="65" t="str">
        <f>'II_Inkunabeln+'!H608</f>
        <v>bis 35 cm</v>
      </c>
      <c r="G608" s="93">
        <f>'II_Inkunabeln+'!X608</f>
        <v>0</v>
      </c>
      <c r="H608" s="93">
        <f>'II_Inkunabeln+'!AA608</f>
        <v>0</v>
      </c>
      <c r="I608" s="93">
        <f>'II_Inkunabeln+'!AC608</f>
        <v>0</v>
      </c>
      <c r="J608" s="94"/>
      <c r="K608" s="93">
        <f>'II_Inkunabeln+'!AD608</f>
        <v>0</v>
      </c>
      <c r="L608" s="94"/>
      <c r="M608" s="94"/>
      <c r="N608" s="94"/>
      <c r="O608" s="94"/>
      <c r="P608" s="94"/>
      <c r="Q608" s="94"/>
      <c r="R608" s="94"/>
      <c r="S608" s="94"/>
      <c r="T608" s="94"/>
      <c r="U608" s="94"/>
      <c r="V608" s="94"/>
      <c r="W608" s="94">
        <f>'II_Inkunabeln+'!BA608</f>
        <v>0</v>
      </c>
      <c r="X608" s="108"/>
      <c r="Y608" s="93">
        <f>'II_Inkunabeln+'!BI608</f>
        <v>0</v>
      </c>
      <c r="Z608" s="81">
        <f>'II_Inkunabeln+'!BJ608</f>
        <v>0</v>
      </c>
    </row>
    <row r="609" spans="1:26" x14ac:dyDescent="0.25">
      <c r="A609" s="63">
        <f>'II_Inkunabeln+'!A609</f>
        <v>585</v>
      </c>
      <c r="B609" s="63" t="str">
        <f>'II_Inkunabeln+'!B609</f>
        <v>L-1477-326993959</v>
      </c>
      <c r="C609" s="63">
        <f>'II_Inkunabeln+'!C609</f>
        <v>1072154773</v>
      </c>
      <c r="D609" s="84" t="str">
        <f>'II_Inkunabeln+'!D609</f>
        <v>https://portal.dnb.de/opac.htm?method=simpleSearch&amp;cqlMode=true&amp;query=idn%3D1072154773</v>
      </c>
      <c r="E609" s="65" t="str">
        <f>'II_Inkunabeln+'!E609</f>
        <v>II 80,3a</v>
      </c>
      <c r="F609" s="65">
        <f>'II_Inkunabeln+'!H609</f>
        <v>0</v>
      </c>
      <c r="G609" s="93">
        <f>'II_Inkunabeln+'!X609</f>
        <v>0</v>
      </c>
      <c r="H609" s="93">
        <f>'II_Inkunabeln+'!AA609</f>
        <v>0</v>
      </c>
      <c r="I609" s="93">
        <f>'II_Inkunabeln+'!AC609</f>
        <v>0</v>
      </c>
      <c r="J609" s="94"/>
      <c r="K609" s="93">
        <f>'II_Inkunabeln+'!AD609</f>
        <v>0</v>
      </c>
      <c r="L609" s="94"/>
      <c r="M609" s="94"/>
      <c r="N609" s="94"/>
      <c r="O609" s="94"/>
      <c r="P609" s="94"/>
      <c r="Q609" s="94"/>
      <c r="R609" s="94"/>
      <c r="S609" s="94"/>
      <c r="T609" s="94"/>
      <c r="U609" s="94"/>
      <c r="V609" s="94"/>
      <c r="W609" s="94">
        <f>'II_Inkunabeln+'!BA609</f>
        <v>0</v>
      </c>
      <c r="X609" s="108"/>
      <c r="Y609" s="93">
        <f>'II_Inkunabeln+'!BI609</f>
        <v>0</v>
      </c>
      <c r="Z609" s="81">
        <f>'II_Inkunabeln+'!BJ609</f>
        <v>0</v>
      </c>
    </row>
    <row r="610" spans="1:26" x14ac:dyDescent="0.25">
      <c r="A610" s="63">
        <f>'II_Inkunabeln+'!A610</f>
        <v>586</v>
      </c>
      <c r="B610" s="63" t="str">
        <f>'II_Inkunabeln+'!B610</f>
        <v>L-1480-326998527</v>
      </c>
      <c r="C610" s="63">
        <f>'II_Inkunabeln+'!C610</f>
        <v>1072161362</v>
      </c>
      <c r="D610" s="84" t="str">
        <f>'II_Inkunabeln+'!D610</f>
        <v>https://portal.dnb.de/opac.htm?method=simpleSearch&amp;cqlMode=true&amp;query=idn%3D1072161362</v>
      </c>
      <c r="E610" s="65" t="str">
        <f>'II_Inkunabeln+'!E610</f>
        <v>II 80,5a</v>
      </c>
      <c r="F610" s="65">
        <f>'II_Inkunabeln+'!H610</f>
        <v>0</v>
      </c>
      <c r="G610" s="93">
        <f>'II_Inkunabeln+'!X610</f>
        <v>0</v>
      </c>
      <c r="H610" s="93">
        <f>'II_Inkunabeln+'!AA610</f>
        <v>0</v>
      </c>
      <c r="I610" s="93">
        <f>'II_Inkunabeln+'!AC610</f>
        <v>0</v>
      </c>
      <c r="J610" s="94"/>
      <c r="K610" s="93">
        <f>'II_Inkunabeln+'!AD610</f>
        <v>0</v>
      </c>
      <c r="L610" s="94"/>
      <c r="M610" s="94"/>
      <c r="N610" s="94"/>
      <c r="O610" s="94"/>
      <c r="P610" s="94"/>
      <c r="Q610" s="94"/>
      <c r="R610" s="94"/>
      <c r="S610" s="94"/>
      <c r="T610" s="94"/>
      <c r="U610" s="94"/>
      <c r="V610" s="94"/>
      <c r="W610" s="94">
        <f>'II_Inkunabeln+'!BA610</f>
        <v>0</v>
      </c>
      <c r="X610" s="108"/>
      <c r="Y610" s="93">
        <f>'II_Inkunabeln+'!BI610</f>
        <v>0</v>
      </c>
      <c r="Z610" s="81">
        <f>'II_Inkunabeln+'!BJ610</f>
        <v>0</v>
      </c>
    </row>
    <row r="611" spans="1:26" x14ac:dyDescent="0.25">
      <c r="A611" s="63">
        <f>'II_Inkunabeln+'!A611</f>
        <v>587</v>
      </c>
      <c r="B611" s="63" t="str">
        <f>'II_Inkunabeln+'!B611</f>
        <v>L-1480-326998683</v>
      </c>
      <c r="C611" s="63">
        <f>'II_Inkunabeln+'!C611</f>
        <v>1072161729</v>
      </c>
      <c r="D611" s="84" t="str">
        <f>'II_Inkunabeln+'!D611</f>
        <v>https://portal.dnb.de/opac.htm?method=simpleSearch&amp;cqlMode=true&amp;query=idn%3D1072161729</v>
      </c>
      <c r="E611" s="65" t="str">
        <f>'II_Inkunabeln+'!E611</f>
        <v>II 80,6a</v>
      </c>
      <c r="F611" s="65">
        <f>'II_Inkunabeln+'!H611</f>
        <v>0</v>
      </c>
      <c r="G611" s="93">
        <f>'II_Inkunabeln+'!X611</f>
        <v>0</v>
      </c>
      <c r="H611" s="93">
        <f>'II_Inkunabeln+'!AA611</f>
        <v>0</v>
      </c>
      <c r="I611" s="93">
        <f>'II_Inkunabeln+'!AC611</f>
        <v>0</v>
      </c>
      <c r="J611" s="94"/>
      <c r="K611" s="93">
        <f>'II_Inkunabeln+'!AD611</f>
        <v>0</v>
      </c>
      <c r="L611" s="94"/>
      <c r="M611" s="94"/>
      <c r="N611" s="94"/>
      <c r="O611" s="94"/>
      <c r="P611" s="94"/>
      <c r="Q611" s="94"/>
      <c r="R611" s="94"/>
      <c r="S611" s="94"/>
      <c r="T611" s="94"/>
      <c r="U611" s="94"/>
      <c r="V611" s="94"/>
      <c r="W611" s="94">
        <f>'II_Inkunabeln+'!BA611</f>
        <v>0</v>
      </c>
      <c r="X611" s="108"/>
      <c r="Y611" s="93">
        <f>'II_Inkunabeln+'!BI611</f>
        <v>0</v>
      </c>
      <c r="Z611" s="81">
        <f>'II_Inkunabeln+'!BJ611</f>
        <v>0</v>
      </c>
    </row>
    <row r="612" spans="1:26" x14ac:dyDescent="0.25">
      <c r="A612" s="63">
        <f>'II_Inkunabeln+'!A612</f>
        <v>588</v>
      </c>
      <c r="B612" s="63" t="str">
        <f>'II_Inkunabeln+'!B612</f>
        <v>L-1470-326999035</v>
      </c>
      <c r="C612" s="63">
        <f>'II_Inkunabeln+'!C612</f>
        <v>1072162407</v>
      </c>
      <c r="D612" s="84" t="str">
        <f>'II_Inkunabeln+'!D612</f>
        <v>https://portal.dnb.de/opac.htm?method=simpleSearch&amp;cqlMode=true&amp;query=idn%3D1072162407</v>
      </c>
      <c r="E612" s="65" t="str">
        <f>'II_Inkunabeln+'!E612</f>
        <v>II 82,1 c</v>
      </c>
      <c r="F612" s="65">
        <f>'II_Inkunabeln+'!H612</f>
        <v>0</v>
      </c>
      <c r="G612" s="93">
        <f>'II_Inkunabeln+'!X612</f>
        <v>0</v>
      </c>
      <c r="H612" s="93">
        <f>'II_Inkunabeln+'!AA612</f>
        <v>0</v>
      </c>
      <c r="I612" s="93">
        <f>'II_Inkunabeln+'!AC612</f>
        <v>0</v>
      </c>
      <c r="J612" s="94"/>
      <c r="K612" s="93">
        <f>'II_Inkunabeln+'!AD612</f>
        <v>0</v>
      </c>
      <c r="L612" s="94"/>
      <c r="M612" s="94"/>
      <c r="N612" s="94"/>
      <c r="O612" s="94"/>
      <c r="P612" s="94"/>
      <c r="Q612" s="94"/>
      <c r="R612" s="94"/>
      <c r="S612" s="94"/>
      <c r="T612" s="94"/>
      <c r="U612" s="94"/>
      <c r="V612" s="94"/>
      <c r="W612" s="94">
        <f>'II_Inkunabeln+'!BA612</f>
        <v>0</v>
      </c>
      <c r="X612" s="108"/>
      <c r="Y612" s="93">
        <f>'II_Inkunabeln+'!BI612</f>
        <v>0</v>
      </c>
      <c r="Z612" s="81">
        <f>'II_Inkunabeln+'!BJ612</f>
        <v>0</v>
      </c>
    </row>
    <row r="613" spans="1:26" x14ac:dyDescent="0.25">
      <c r="A613" s="63">
        <f>'II_Inkunabeln+'!A613</f>
        <v>589</v>
      </c>
      <c r="B613" s="63" t="str">
        <f>'II_Inkunabeln+'!B613</f>
        <v>L-1470-326998888</v>
      </c>
      <c r="C613" s="63">
        <f>'II_Inkunabeln+'!C613</f>
        <v>1072162032</v>
      </c>
      <c r="D613" s="84" t="str">
        <f>'II_Inkunabeln+'!D613</f>
        <v>https://portal.dnb.de/opac.htm?method=simpleSearch&amp;cqlMode=true&amp;query=idn%3D1072162032</v>
      </c>
      <c r="E613" s="65" t="str">
        <f>'II_Inkunabeln+'!E613</f>
        <v>II 82,1b</v>
      </c>
      <c r="F613" s="65">
        <f>'II_Inkunabeln+'!H613</f>
        <v>0</v>
      </c>
      <c r="G613" s="93">
        <f>'II_Inkunabeln+'!X613</f>
        <v>0</v>
      </c>
      <c r="H613" s="93">
        <f>'II_Inkunabeln+'!AA613</f>
        <v>0</v>
      </c>
      <c r="I613" s="93">
        <f>'II_Inkunabeln+'!AC613</f>
        <v>0</v>
      </c>
      <c r="J613" s="94"/>
      <c r="K613" s="93">
        <f>'II_Inkunabeln+'!AD613</f>
        <v>0</v>
      </c>
      <c r="L613" s="94"/>
      <c r="M613" s="94"/>
      <c r="N613" s="94"/>
      <c r="O613" s="94"/>
      <c r="P613" s="94"/>
      <c r="Q613" s="94"/>
      <c r="R613" s="94"/>
      <c r="S613" s="94"/>
      <c r="T613" s="94"/>
      <c r="U613" s="94"/>
      <c r="V613" s="94"/>
      <c r="W613" s="94">
        <f>'II_Inkunabeln+'!BA613</f>
        <v>0</v>
      </c>
      <c r="X613" s="108"/>
      <c r="Y613" s="93">
        <f>'II_Inkunabeln+'!BI613</f>
        <v>0</v>
      </c>
      <c r="Z613" s="81">
        <f>'II_Inkunabeln+'!BJ613</f>
        <v>0</v>
      </c>
    </row>
    <row r="614" spans="1:26" x14ac:dyDescent="0.25">
      <c r="A614" s="63">
        <f>'II_Inkunabeln+'!A614</f>
        <v>590</v>
      </c>
      <c r="B614" s="63" t="str">
        <f>'II_Inkunabeln+'!B614</f>
        <v>L-1472-315497645</v>
      </c>
      <c r="C614" s="63">
        <f>'II_Inkunabeln+'!C614</f>
        <v>1066967393</v>
      </c>
      <c r="D614" s="84" t="str">
        <f>'II_Inkunabeln+'!D614</f>
        <v>https://portal.dnb.de/opac.htm?method=simpleSearch&amp;cqlMode=true&amp;query=idn%3D1066967393</v>
      </c>
      <c r="E614" s="65" t="str">
        <f>'II_Inkunabeln+'!E614</f>
        <v>II 82,1e</v>
      </c>
      <c r="F614" s="65" t="str">
        <f>'II_Inkunabeln+'!H614</f>
        <v>bis 35 cm</v>
      </c>
      <c r="G614" s="93">
        <f>'II_Inkunabeln+'!X614</f>
        <v>0</v>
      </c>
      <c r="H614" s="93">
        <f>'II_Inkunabeln+'!AA614</f>
        <v>0</v>
      </c>
      <c r="I614" s="93">
        <f>'II_Inkunabeln+'!AC614</f>
        <v>0</v>
      </c>
      <c r="J614" s="94"/>
      <c r="K614" s="93">
        <f>'II_Inkunabeln+'!AD614</f>
        <v>0</v>
      </c>
      <c r="L614" s="94"/>
      <c r="M614" s="94"/>
      <c r="N614" s="94"/>
      <c r="O614" s="94"/>
      <c r="P614" s="94"/>
      <c r="Q614" s="94"/>
      <c r="R614" s="94"/>
      <c r="S614" s="94"/>
      <c r="T614" s="94"/>
      <c r="U614" s="94"/>
      <c r="V614" s="94"/>
      <c r="W614" s="94">
        <f>'II_Inkunabeln+'!BA614</f>
        <v>0</v>
      </c>
      <c r="X614" s="108"/>
      <c r="Y614" s="93">
        <f>'II_Inkunabeln+'!BI614</f>
        <v>0</v>
      </c>
      <c r="Z614" s="81">
        <f>'II_Inkunabeln+'!BJ614</f>
        <v>0</v>
      </c>
    </row>
    <row r="615" spans="1:26" x14ac:dyDescent="0.25">
      <c r="A615" s="63">
        <f>'II_Inkunabeln+'!A615</f>
        <v>591</v>
      </c>
      <c r="B615" s="63" t="str">
        <f>'II_Inkunabeln+'!B615</f>
        <v>L-1471-315496428</v>
      </c>
      <c r="C615" s="63">
        <f>'II_Inkunabeln+'!C615</f>
        <v>1066966125</v>
      </c>
      <c r="D615" s="84" t="str">
        <f>'II_Inkunabeln+'!D615</f>
        <v>https://portal.dnb.de/opac.htm?method=simpleSearch&amp;cqlMode=true&amp;query=idn%3D1066966125</v>
      </c>
      <c r="E615" s="65" t="str">
        <f>'II_Inkunabeln+'!E615</f>
        <v>II 82,1g (I)</v>
      </c>
      <c r="F615" s="65">
        <f>'II_Inkunabeln+'!H615</f>
        <v>0</v>
      </c>
      <c r="G615" s="93">
        <f>'II_Inkunabeln+'!X615</f>
        <v>0</v>
      </c>
      <c r="H615" s="93">
        <f>'II_Inkunabeln+'!AA615</f>
        <v>0</v>
      </c>
      <c r="I615" s="93">
        <f>'II_Inkunabeln+'!AC615</f>
        <v>0</v>
      </c>
      <c r="J615" s="94"/>
      <c r="K615" s="93">
        <f>'II_Inkunabeln+'!AD615</f>
        <v>0</v>
      </c>
      <c r="L615" s="94"/>
      <c r="M615" s="94"/>
      <c r="N615" s="94"/>
      <c r="O615" s="94"/>
      <c r="P615" s="94"/>
      <c r="Q615" s="94"/>
      <c r="R615" s="94"/>
      <c r="S615" s="94"/>
      <c r="T615" s="94"/>
      <c r="U615" s="94"/>
      <c r="V615" s="94"/>
      <c r="W615" s="94">
        <f>'II_Inkunabeln+'!BA615</f>
        <v>0</v>
      </c>
      <c r="X615" s="108"/>
      <c r="Y615" s="93">
        <f>'II_Inkunabeln+'!BI615</f>
        <v>0</v>
      </c>
      <c r="Z615" s="81">
        <f>'II_Inkunabeln+'!BJ615</f>
        <v>0</v>
      </c>
    </row>
    <row r="616" spans="1:26" x14ac:dyDescent="0.25">
      <c r="A616" s="63">
        <f>'II_Inkunabeln+'!A616</f>
        <v>592</v>
      </c>
      <c r="B616" s="63" t="str">
        <f>'II_Inkunabeln+'!B616</f>
        <v>L-1471-315496436</v>
      </c>
      <c r="C616" s="63">
        <f>'II_Inkunabeln+'!C616</f>
        <v>1066966133</v>
      </c>
      <c r="D616" s="84" t="str">
        <f>'II_Inkunabeln+'!D616</f>
        <v>https://portal.dnb.de/opac.htm?method=simpleSearch&amp;cqlMode=true&amp;query=idn%3D1066966133</v>
      </c>
      <c r="E616" s="65" t="str">
        <f>'II_Inkunabeln+'!E616</f>
        <v>II 82,1g (II)</v>
      </c>
      <c r="F616" s="65">
        <f>'II_Inkunabeln+'!H616</f>
        <v>0</v>
      </c>
      <c r="G616" s="93">
        <f>'II_Inkunabeln+'!X616</f>
        <v>0</v>
      </c>
      <c r="H616" s="93">
        <f>'II_Inkunabeln+'!AA616</f>
        <v>0</v>
      </c>
      <c r="I616" s="93">
        <f>'II_Inkunabeln+'!AC616</f>
        <v>0</v>
      </c>
      <c r="J616" s="94"/>
      <c r="K616" s="93">
        <f>'II_Inkunabeln+'!AD616</f>
        <v>0</v>
      </c>
      <c r="L616" s="94"/>
      <c r="M616" s="94"/>
      <c r="N616" s="94"/>
      <c r="O616" s="94"/>
      <c r="P616" s="94"/>
      <c r="Q616" s="94"/>
      <c r="R616" s="94"/>
      <c r="S616" s="94"/>
      <c r="T616" s="94"/>
      <c r="U616" s="94"/>
      <c r="V616" s="94"/>
      <c r="W616" s="94">
        <f>'II_Inkunabeln+'!BA616</f>
        <v>0</v>
      </c>
      <c r="X616" s="108"/>
      <c r="Y616" s="93">
        <f>'II_Inkunabeln+'!BI616</f>
        <v>0</v>
      </c>
      <c r="Z616" s="81">
        <f>'II_Inkunabeln+'!BJ616</f>
        <v>0</v>
      </c>
    </row>
    <row r="617" spans="1:26" x14ac:dyDescent="0.25">
      <c r="A617" s="63">
        <f>'II_Inkunabeln+'!A617</f>
        <v>593</v>
      </c>
      <c r="B617" s="63" t="str">
        <f>'II_Inkunabeln+'!B617</f>
        <v>L-1476-315501669</v>
      </c>
      <c r="C617" s="63">
        <f>'II_Inkunabeln+'!C617</f>
        <v>1066971307</v>
      </c>
      <c r="D617" s="84" t="str">
        <f>'II_Inkunabeln+'!D617</f>
        <v>https://portal.dnb.de/opac.htm?method=simpleSearch&amp;cqlMode=true&amp;query=idn%3D1066971307</v>
      </c>
      <c r="E617" s="65" t="str">
        <f>'II_Inkunabeln+'!E617</f>
        <v>II 82,2c</v>
      </c>
      <c r="F617" s="65" t="str">
        <f>'II_Inkunabeln+'!H617</f>
        <v>bis 35 cm</v>
      </c>
      <c r="G617" s="93">
        <f>'II_Inkunabeln+'!X617</f>
        <v>0</v>
      </c>
      <c r="H617" s="93">
        <f>'II_Inkunabeln+'!AA617</f>
        <v>0</v>
      </c>
      <c r="I617" s="93">
        <f>'II_Inkunabeln+'!AC617</f>
        <v>0</v>
      </c>
      <c r="J617" s="94"/>
      <c r="K617" s="93">
        <f>'II_Inkunabeln+'!AD617</f>
        <v>0</v>
      </c>
      <c r="L617" s="94"/>
      <c r="M617" s="94"/>
      <c r="N617" s="94"/>
      <c r="O617" s="94"/>
      <c r="P617" s="94"/>
      <c r="Q617" s="94"/>
      <c r="R617" s="94"/>
      <c r="S617" s="94"/>
      <c r="T617" s="94"/>
      <c r="U617" s="94"/>
      <c r="V617" s="94"/>
      <c r="W617" s="94">
        <f>'II_Inkunabeln+'!BA617</f>
        <v>0</v>
      </c>
      <c r="X617" s="108"/>
      <c r="Y617" s="93">
        <f>'II_Inkunabeln+'!BI617</f>
        <v>0</v>
      </c>
      <c r="Z617" s="81">
        <f>'II_Inkunabeln+'!BJ617</f>
        <v>0</v>
      </c>
    </row>
    <row r="618" spans="1:26" x14ac:dyDescent="0.25">
      <c r="A618" s="63">
        <f>'II_Inkunabeln+'!A618</f>
        <v>594</v>
      </c>
      <c r="B618" s="63" t="str">
        <f>'II_Inkunabeln+'!B618</f>
        <v>L-1477-315495669</v>
      </c>
      <c r="C618" s="63">
        <f>'II_Inkunabeln+'!C618</f>
        <v>1173179313</v>
      </c>
      <c r="D618" s="84" t="str">
        <f>'II_Inkunabeln+'!D618</f>
        <v>https://portal.dnb.de/opac.htm?method=simpleSearch&amp;cqlMode=true&amp;query=idn%3D1173179313</v>
      </c>
      <c r="E618" s="65" t="str">
        <f>'II_Inkunabeln+'!E618</f>
        <v>II 82,2d</v>
      </c>
      <c r="F618" s="65" t="str">
        <f>'II_Inkunabeln+'!H618</f>
        <v>bis 35 cm</v>
      </c>
      <c r="G618" s="93">
        <f>'II_Inkunabeln+'!X618</f>
        <v>0</v>
      </c>
      <c r="H618" s="93">
        <f>'II_Inkunabeln+'!AA618</f>
        <v>0</v>
      </c>
      <c r="I618" s="93">
        <f>'II_Inkunabeln+'!AC618</f>
        <v>0</v>
      </c>
      <c r="J618" s="94"/>
      <c r="K618" s="93">
        <f>'II_Inkunabeln+'!AD618</f>
        <v>0</v>
      </c>
      <c r="L618" s="94"/>
      <c r="M618" s="94"/>
      <c r="N618" s="94"/>
      <c r="O618" s="94"/>
      <c r="P618" s="94"/>
      <c r="Q618" s="94"/>
      <c r="R618" s="94"/>
      <c r="S618" s="94"/>
      <c r="T618" s="94"/>
      <c r="U618" s="94"/>
      <c r="V618" s="94"/>
      <c r="W618" s="94">
        <f>'II_Inkunabeln+'!BA618</f>
        <v>0</v>
      </c>
      <c r="X618" s="108"/>
      <c r="Y618" s="93">
        <f>'II_Inkunabeln+'!BI618</f>
        <v>0</v>
      </c>
      <c r="Z618" s="81">
        <f>'II_Inkunabeln+'!BJ618</f>
        <v>0</v>
      </c>
    </row>
    <row r="619" spans="1:26" x14ac:dyDescent="0.25">
      <c r="A619" s="63">
        <f>'II_Inkunabeln+'!A619</f>
        <v>595</v>
      </c>
      <c r="B619" s="63" t="str">
        <f>'II_Inkunabeln+'!B619</f>
        <v>L-1478-315499842</v>
      </c>
      <c r="C619" s="63">
        <f>'II_Inkunabeln+'!C619</f>
        <v>1066969515</v>
      </c>
      <c r="D619" s="84" t="str">
        <f>'II_Inkunabeln+'!D619</f>
        <v>https://portal.dnb.de/opac.htm?method=simpleSearch&amp;cqlMode=true&amp;query=idn%3D1066969515</v>
      </c>
      <c r="E619" s="65" t="str">
        <f>'II_Inkunabeln+'!E619</f>
        <v>II 82,2e</v>
      </c>
      <c r="F619" s="65">
        <f>'II_Inkunabeln+'!H619</f>
        <v>0</v>
      </c>
      <c r="G619" s="93">
        <f>'II_Inkunabeln+'!X619</f>
        <v>0</v>
      </c>
      <c r="H619" s="93">
        <f>'II_Inkunabeln+'!AA619</f>
        <v>0</v>
      </c>
      <c r="I619" s="93">
        <f>'II_Inkunabeln+'!AC619</f>
        <v>0</v>
      </c>
      <c r="J619" s="94"/>
      <c r="K619" s="93">
        <f>'II_Inkunabeln+'!AD619</f>
        <v>0</v>
      </c>
      <c r="L619" s="94"/>
      <c r="M619" s="94"/>
      <c r="N619" s="94"/>
      <c r="O619" s="94"/>
      <c r="P619" s="94"/>
      <c r="Q619" s="94"/>
      <c r="R619" s="94"/>
      <c r="S619" s="94"/>
      <c r="T619" s="94"/>
      <c r="U619" s="94"/>
      <c r="V619" s="94"/>
      <c r="W619" s="94">
        <f>'II_Inkunabeln+'!BA619</f>
        <v>0</v>
      </c>
      <c r="X619" s="108"/>
      <c r="Y619" s="93">
        <f>'II_Inkunabeln+'!BI619</f>
        <v>0</v>
      </c>
      <c r="Z619" s="81">
        <f>'II_Inkunabeln+'!BJ619</f>
        <v>0</v>
      </c>
    </row>
    <row r="620" spans="1:26" x14ac:dyDescent="0.25">
      <c r="A620" s="63">
        <f>'II_Inkunabeln+'!A620</f>
        <v>596</v>
      </c>
      <c r="B620" s="63" t="str">
        <f>'II_Inkunabeln+'!B620</f>
        <v>L-1478-31549641X</v>
      </c>
      <c r="C620" s="63">
        <f>'II_Inkunabeln+'!C620</f>
        <v>1066966117</v>
      </c>
      <c r="D620" s="84" t="str">
        <f>'II_Inkunabeln+'!D620</f>
        <v>https://portal.dnb.de/opac.htm?method=simpleSearch&amp;cqlMode=true&amp;query=idn%3D1066966117</v>
      </c>
      <c r="E620" s="65" t="str">
        <f>'II_Inkunabeln+'!E620</f>
        <v>II 82,2f</v>
      </c>
      <c r="F620" s="65">
        <f>'II_Inkunabeln+'!H620</f>
        <v>0</v>
      </c>
      <c r="G620" s="93">
        <f>'II_Inkunabeln+'!X620</f>
        <v>0</v>
      </c>
      <c r="H620" s="93">
        <f>'II_Inkunabeln+'!AA620</f>
        <v>0</v>
      </c>
      <c r="I620" s="93">
        <f>'II_Inkunabeln+'!AC620</f>
        <v>0</v>
      </c>
      <c r="J620" s="94"/>
      <c r="K620" s="93">
        <f>'II_Inkunabeln+'!AD620</f>
        <v>0</v>
      </c>
      <c r="L620" s="94"/>
      <c r="M620" s="94"/>
      <c r="N620" s="94"/>
      <c r="O620" s="94"/>
      <c r="P620" s="94"/>
      <c r="Q620" s="94"/>
      <c r="R620" s="94"/>
      <c r="S620" s="94"/>
      <c r="T620" s="94"/>
      <c r="U620" s="94"/>
      <c r="V620" s="94"/>
      <c r="W620" s="94">
        <f>'II_Inkunabeln+'!BA620</f>
        <v>0</v>
      </c>
      <c r="X620" s="108"/>
      <c r="Y620" s="93">
        <f>'II_Inkunabeln+'!BI620</f>
        <v>0</v>
      </c>
      <c r="Z620" s="81">
        <f>'II_Inkunabeln+'!BJ620</f>
        <v>0</v>
      </c>
    </row>
    <row r="621" spans="1:26" x14ac:dyDescent="0.25">
      <c r="A621" s="63">
        <f>'II_Inkunabeln+'!A621</f>
        <v>597</v>
      </c>
      <c r="B621" s="63" t="str">
        <f>'II_Inkunabeln+'!B621</f>
        <v>L-1478-343708906</v>
      </c>
      <c r="C621" s="63">
        <f>'II_Inkunabeln+'!C621</f>
        <v>1079560564</v>
      </c>
      <c r="D621" s="84" t="str">
        <f>'II_Inkunabeln+'!D621</f>
        <v>https://portal.dnb.de/opac.htm?method=simpleSearch&amp;cqlMode=true&amp;query=idn%3D1079560564</v>
      </c>
      <c r="E621" s="65" t="str">
        <f>'II_Inkunabeln+'!E621</f>
        <v>II 82,2f (angebunden)</v>
      </c>
      <c r="F621" s="65">
        <f>'II_Inkunabeln+'!H621</f>
        <v>0</v>
      </c>
      <c r="G621" s="93">
        <f>'II_Inkunabeln+'!X621</f>
        <v>0</v>
      </c>
      <c r="H621" s="93">
        <f>'II_Inkunabeln+'!AA621</f>
        <v>0</v>
      </c>
      <c r="I621" s="93">
        <f>'II_Inkunabeln+'!AC621</f>
        <v>0</v>
      </c>
      <c r="J621" s="94"/>
      <c r="K621" s="93">
        <f>'II_Inkunabeln+'!AD621</f>
        <v>0</v>
      </c>
      <c r="L621" s="94"/>
      <c r="M621" s="94"/>
      <c r="N621" s="94"/>
      <c r="O621" s="94"/>
      <c r="P621" s="94"/>
      <c r="Q621" s="94"/>
      <c r="R621" s="94"/>
      <c r="S621" s="94"/>
      <c r="T621" s="94"/>
      <c r="U621" s="94"/>
      <c r="V621" s="94"/>
      <c r="W621" s="94">
        <f>'II_Inkunabeln+'!BA621</f>
        <v>0</v>
      </c>
      <c r="X621" s="108"/>
      <c r="Y621" s="93">
        <f>'II_Inkunabeln+'!BI621</f>
        <v>0</v>
      </c>
      <c r="Z621" s="81">
        <f>'II_Inkunabeln+'!BJ621</f>
        <v>0</v>
      </c>
    </row>
    <row r="622" spans="1:26" x14ac:dyDescent="0.25">
      <c r="A622" s="63">
        <f>'II_Inkunabeln+'!A622</f>
        <v>598</v>
      </c>
      <c r="B622" s="63" t="str">
        <f>'II_Inkunabeln+'!B622</f>
        <v>L-1471-327006366</v>
      </c>
      <c r="C622" s="63">
        <f>'II_Inkunabeln+'!C622</f>
        <v>1072170264</v>
      </c>
      <c r="D622" s="84" t="str">
        <f>'II_Inkunabeln+'!D622</f>
        <v>https://portal.dnb.de/opac.htm?method=simpleSearch&amp;cqlMode=true&amp;query=idn%3D1072170264</v>
      </c>
      <c r="E622" s="65" t="str">
        <f>'II_Inkunabeln+'!E622</f>
        <v>II 82,3a</v>
      </c>
      <c r="F622" s="65">
        <f>'II_Inkunabeln+'!H622</f>
        <v>0</v>
      </c>
      <c r="G622" s="93">
        <f>'II_Inkunabeln+'!X622</f>
        <v>0</v>
      </c>
      <c r="H622" s="93">
        <f>'II_Inkunabeln+'!AA622</f>
        <v>0</v>
      </c>
      <c r="I622" s="93">
        <f>'II_Inkunabeln+'!AC622</f>
        <v>0</v>
      </c>
      <c r="J622" s="94"/>
      <c r="K622" s="93">
        <f>'II_Inkunabeln+'!AD622</f>
        <v>0</v>
      </c>
      <c r="L622" s="94"/>
      <c r="M622" s="94"/>
      <c r="N622" s="94"/>
      <c r="O622" s="94"/>
      <c r="P622" s="94"/>
      <c r="Q622" s="94"/>
      <c r="R622" s="94"/>
      <c r="S622" s="94"/>
      <c r="T622" s="94"/>
      <c r="U622" s="94"/>
      <c r="V622" s="94"/>
      <c r="W622" s="94">
        <f>'II_Inkunabeln+'!BA622</f>
        <v>0</v>
      </c>
      <c r="X622" s="108"/>
      <c r="Y622" s="93">
        <f>'II_Inkunabeln+'!BI622</f>
        <v>0</v>
      </c>
      <c r="Z622" s="81">
        <f>'II_Inkunabeln+'!BJ622</f>
        <v>0</v>
      </c>
    </row>
    <row r="623" spans="1:26" x14ac:dyDescent="0.25">
      <c r="A623" s="63">
        <f>'II_Inkunabeln+'!A623</f>
        <v>599</v>
      </c>
      <c r="B623" s="63" t="str">
        <f>'II_Inkunabeln+'!B623</f>
        <v>L-1476-315501278</v>
      </c>
      <c r="C623" s="63">
        <f>'II_Inkunabeln+'!C623</f>
        <v>1066970912</v>
      </c>
      <c r="D623" s="84" t="str">
        <f>'II_Inkunabeln+'!D623</f>
        <v>https://portal.dnb.de/opac.htm?method=simpleSearch&amp;cqlMode=true&amp;query=idn%3D1066970912</v>
      </c>
      <c r="E623" s="65" t="str">
        <f>'II_Inkunabeln+'!E623</f>
        <v>II 82,4b</v>
      </c>
      <c r="F623" s="65">
        <f>'II_Inkunabeln+'!H623</f>
        <v>0</v>
      </c>
      <c r="G623" s="93">
        <f>'II_Inkunabeln+'!X623</f>
        <v>0</v>
      </c>
      <c r="H623" s="93">
        <f>'II_Inkunabeln+'!AA623</f>
        <v>0</v>
      </c>
      <c r="I623" s="93">
        <f>'II_Inkunabeln+'!AC623</f>
        <v>0</v>
      </c>
      <c r="J623" s="94"/>
      <c r="K623" s="93">
        <f>'II_Inkunabeln+'!AD623</f>
        <v>0</v>
      </c>
      <c r="L623" s="94"/>
      <c r="M623" s="94"/>
      <c r="N623" s="94"/>
      <c r="O623" s="94"/>
      <c r="P623" s="94"/>
      <c r="Q623" s="94"/>
      <c r="R623" s="94"/>
      <c r="S623" s="94"/>
      <c r="T623" s="94"/>
      <c r="U623" s="94"/>
      <c r="V623" s="94"/>
      <c r="W623" s="94">
        <f>'II_Inkunabeln+'!BA623</f>
        <v>0</v>
      </c>
      <c r="X623" s="108"/>
      <c r="Y623" s="93">
        <f>'II_Inkunabeln+'!BI623</f>
        <v>0</v>
      </c>
      <c r="Z623" s="81">
        <f>'II_Inkunabeln+'!BJ623</f>
        <v>0</v>
      </c>
    </row>
    <row r="624" spans="1:26" x14ac:dyDescent="0.25">
      <c r="A624" s="63">
        <f>'II_Inkunabeln+'!A624</f>
        <v>600</v>
      </c>
      <c r="B624" s="63" t="str">
        <f>'II_Inkunabeln+'!B624</f>
        <v>L-1482-315494972</v>
      </c>
      <c r="C624" s="63">
        <f>'II_Inkunabeln+'!C624</f>
        <v>1066964793</v>
      </c>
      <c r="D624" s="84" t="str">
        <f>'II_Inkunabeln+'!D624</f>
        <v>https://portal.dnb.de/opac.htm?method=simpleSearch&amp;cqlMode=true&amp;query=idn%3D1066964793</v>
      </c>
      <c r="E624" s="65" t="str">
        <f>'II_Inkunabeln+'!E624</f>
        <v>II 82,4c</v>
      </c>
      <c r="F624" s="65" t="str">
        <f>'II_Inkunabeln+'!H624</f>
        <v>bis 35 cm</v>
      </c>
      <c r="G624" s="93">
        <f>'II_Inkunabeln+'!X624</f>
        <v>0</v>
      </c>
      <c r="H624" s="93">
        <f>'II_Inkunabeln+'!AA624</f>
        <v>0</v>
      </c>
      <c r="I624" s="93">
        <f>'II_Inkunabeln+'!AC624</f>
        <v>0</v>
      </c>
      <c r="J624" s="94"/>
      <c r="K624" s="93">
        <f>'II_Inkunabeln+'!AD624</f>
        <v>0</v>
      </c>
      <c r="L624" s="94"/>
      <c r="M624" s="94"/>
      <c r="N624" s="94"/>
      <c r="O624" s="94"/>
      <c r="P624" s="94"/>
      <c r="Q624" s="94"/>
      <c r="R624" s="94"/>
      <c r="S624" s="94"/>
      <c r="T624" s="94"/>
      <c r="U624" s="94"/>
      <c r="V624" s="94"/>
      <c r="W624" s="94">
        <f>'II_Inkunabeln+'!BA624</f>
        <v>0</v>
      </c>
      <c r="X624" s="108"/>
      <c r="Y624" s="93">
        <f>'II_Inkunabeln+'!BI624</f>
        <v>0</v>
      </c>
      <c r="Z624" s="81">
        <f>'II_Inkunabeln+'!BJ624</f>
        <v>0</v>
      </c>
    </row>
    <row r="625" spans="1:27" x14ac:dyDescent="0.25">
      <c r="A625" s="63">
        <f>'II_Inkunabeln+'!A625</f>
        <v>601</v>
      </c>
      <c r="B625" s="63" t="str">
        <f>'II_Inkunabeln+'!B625</f>
        <v>L-1479-315497696</v>
      </c>
      <c r="C625" s="63">
        <f>'II_Inkunabeln+'!C625</f>
        <v>1066967431</v>
      </c>
      <c r="D625" s="84" t="str">
        <f>'II_Inkunabeln+'!D625</f>
        <v>https://portal.dnb.de/opac.htm?method=simpleSearch&amp;cqlMode=true&amp;query=idn%3D1066967431</v>
      </c>
      <c r="E625" s="65" t="str">
        <f>'II_Inkunabeln+'!E625</f>
        <v>II 82,5a</v>
      </c>
      <c r="F625" s="65" t="str">
        <f>'II_Inkunabeln+'!H625</f>
        <v>bis 35 cm</v>
      </c>
      <c r="G625" s="93">
        <f>'II_Inkunabeln+'!X625</f>
        <v>0</v>
      </c>
      <c r="H625" s="93">
        <f>'II_Inkunabeln+'!AA625</f>
        <v>0</v>
      </c>
      <c r="I625" s="93">
        <f>'II_Inkunabeln+'!AC625</f>
        <v>0</v>
      </c>
      <c r="J625" s="94"/>
      <c r="K625" s="93">
        <f>'II_Inkunabeln+'!AD625</f>
        <v>0</v>
      </c>
      <c r="L625" s="94"/>
      <c r="M625" s="94"/>
      <c r="N625" s="94"/>
      <c r="O625" s="94"/>
      <c r="P625" s="94"/>
      <c r="Q625" s="94"/>
      <c r="R625" s="94"/>
      <c r="S625" s="94"/>
      <c r="T625" s="94"/>
      <c r="U625" s="94"/>
      <c r="V625" s="94"/>
      <c r="W625" s="94">
        <f>'II_Inkunabeln+'!BA625</f>
        <v>0</v>
      </c>
      <c r="X625" s="108"/>
      <c r="Y625" s="93">
        <f>'II_Inkunabeln+'!BI625</f>
        <v>0</v>
      </c>
      <c r="Z625" s="81">
        <f>'II_Inkunabeln+'!BJ625</f>
        <v>0</v>
      </c>
    </row>
    <row r="626" spans="1:27" x14ac:dyDescent="0.25">
      <c r="A626" s="63">
        <f>'II_Inkunabeln+'!A626</f>
        <v>602</v>
      </c>
      <c r="B626" s="63" t="str">
        <f>'II_Inkunabeln+'!B626</f>
        <v>L-1476-315495723</v>
      </c>
      <c r="C626" s="63" t="str">
        <f>'II_Inkunabeln+'!C626</f>
        <v>106696548X</v>
      </c>
      <c r="D626" s="84" t="str">
        <f>'II_Inkunabeln+'!D626</f>
        <v>https://portal.dnb.de/opac.htm?method=simpleSearch&amp;cqlMode=true&amp;query=idn%3D106696548X</v>
      </c>
      <c r="E626" s="65" t="str">
        <f>'II_Inkunabeln+'!E626</f>
        <v>II 82,6a</v>
      </c>
      <c r="F626" s="65" t="str">
        <f>'II_Inkunabeln+'!H626</f>
        <v>bis 35 cm</v>
      </c>
      <c r="G626" s="93" t="str">
        <f>'II_Inkunabeln+'!X626</f>
        <v>L</v>
      </c>
      <c r="H626" s="93" t="str">
        <f>'II_Inkunabeln+'!AA626</f>
        <v>h/E</v>
      </c>
      <c r="I626" s="93">
        <f>'II_Inkunabeln+'!AC626</f>
        <v>0</v>
      </c>
      <c r="J626" s="94"/>
      <c r="K626" s="93">
        <f>'II_Inkunabeln+'!AD626</f>
        <v>0</v>
      </c>
      <c r="L626" s="94"/>
      <c r="M626" s="94"/>
      <c r="N626" s="94"/>
      <c r="O626" s="94"/>
      <c r="P626" s="94"/>
      <c r="Q626" s="94"/>
      <c r="R626" s="94"/>
      <c r="S626" s="94"/>
      <c r="T626" s="94"/>
      <c r="U626" s="94"/>
      <c r="V626" s="94"/>
      <c r="W626" s="94" t="str">
        <f>'II_Inkunabeln+'!BA626</f>
        <v>n</v>
      </c>
      <c r="X626" s="108"/>
      <c r="Y626" s="93">
        <f>'II_Inkunabeln+'!BI626</f>
        <v>0</v>
      </c>
      <c r="Z626" s="81">
        <f>'II_Inkunabeln+'!BJ626</f>
        <v>0</v>
      </c>
    </row>
    <row r="627" spans="1:27" x14ac:dyDescent="0.25">
      <c r="A627" s="63">
        <f>'II_Inkunabeln+'!A627</f>
        <v>603</v>
      </c>
      <c r="B627" s="63" t="str">
        <f>'II_Inkunabeln+'!B627</f>
        <v>L-1468-315501197</v>
      </c>
      <c r="C627" s="63">
        <f>'II_Inkunabeln+'!C627</f>
        <v>1066970831</v>
      </c>
      <c r="D627" s="84" t="str">
        <f>'II_Inkunabeln+'!D627</f>
        <v>https://portal.dnb.de/opac.htm?method=simpleSearch&amp;cqlMode=true&amp;query=idn%3D1066970831</v>
      </c>
      <c r="E627" s="65" t="str">
        <f>'II_Inkunabeln+'!E627</f>
        <v>II 82,7b</v>
      </c>
      <c r="F627" s="65" t="str">
        <f>'II_Inkunabeln+'!H627</f>
        <v>bis 25 cm</v>
      </c>
      <c r="G627" s="93" t="str">
        <f>'II_Inkunabeln+'!X627</f>
        <v>G</v>
      </c>
      <c r="H627" s="93" t="str">
        <f>'II_Inkunabeln+'!AA627</f>
        <v>h/E</v>
      </c>
      <c r="I627" s="93">
        <f>'II_Inkunabeln+'!AC627</f>
        <v>0</v>
      </c>
      <c r="J627" s="94"/>
      <c r="K627" s="93">
        <f>'II_Inkunabeln+'!AD627</f>
        <v>0</v>
      </c>
      <c r="L627" s="94"/>
      <c r="M627" s="94"/>
      <c r="N627" s="94"/>
      <c r="O627" s="94"/>
      <c r="P627" s="94"/>
      <c r="Q627" s="94"/>
      <c r="R627" s="94"/>
      <c r="S627" s="94"/>
      <c r="T627" s="94"/>
      <c r="U627" s="94"/>
      <c r="V627" s="94"/>
      <c r="W627" s="94" t="str">
        <f>'II_Inkunabeln+'!BA627</f>
        <v>n</v>
      </c>
      <c r="X627" s="108"/>
      <c r="Y627" s="93">
        <f>'II_Inkunabeln+'!BI627</f>
        <v>0</v>
      </c>
      <c r="Z627" s="81">
        <f>'II_Inkunabeln+'!BJ627</f>
        <v>0</v>
      </c>
    </row>
    <row r="628" spans="1:27" ht="34.5" x14ac:dyDescent="0.25">
      <c r="A628" s="63">
        <f>'II_Inkunabeln+'!A628</f>
        <v>604</v>
      </c>
      <c r="B628" s="63" t="str">
        <f>'II_Inkunabeln+'!B628</f>
        <v>L-1483-327015608</v>
      </c>
      <c r="C628" s="63">
        <f>'II_Inkunabeln+'!C628</f>
        <v>1066968098</v>
      </c>
      <c r="D628" s="84" t="str">
        <f>'II_Inkunabeln+'!D628</f>
        <v>https://portal.dnb.de/opac.htm?method=simpleSearch&amp;cqlMode=true&amp;query=idn%3D1066968098</v>
      </c>
      <c r="E628" s="65" t="str">
        <f>'II_Inkunabeln+'!E628</f>
        <v>II 82,7d</v>
      </c>
      <c r="F628" s="65" t="str">
        <f>'II_Inkunabeln+'!H628</f>
        <v>bis 25 cm</v>
      </c>
      <c r="G628" s="93" t="str">
        <f>'II_Inkunabeln+'!X628</f>
        <v>HPg</v>
      </c>
      <c r="H628" s="93" t="str">
        <f>'II_Inkunabeln+'!AA628</f>
        <v>f</v>
      </c>
      <c r="I628" s="93">
        <f>'II_Inkunabeln+'!AC628</f>
        <v>0</v>
      </c>
      <c r="J628" s="94"/>
      <c r="K628" s="93">
        <f>'II_Inkunabeln+'!AD628</f>
        <v>0</v>
      </c>
      <c r="L628" s="94" t="s">
        <v>1633</v>
      </c>
      <c r="M628" s="94"/>
      <c r="N628" s="94" t="s">
        <v>1744</v>
      </c>
      <c r="O628" s="94"/>
      <c r="P628" s="94"/>
      <c r="Q628" s="94"/>
      <c r="R628" s="94"/>
      <c r="S628" s="94" t="s">
        <v>1953</v>
      </c>
      <c r="T628" s="94"/>
      <c r="U628" s="94"/>
      <c r="V628" s="94"/>
      <c r="W628" s="94" t="str">
        <f>'II_Inkunabeln+'!BA628</f>
        <v>ja vor</v>
      </c>
      <c r="X628" s="108">
        <v>3</v>
      </c>
      <c r="Y628" s="93">
        <f>'II_Inkunabeln+'!BI628</f>
        <v>0</v>
      </c>
      <c r="Z628" s="81">
        <f>'II_Inkunabeln+'!BJ628</f>
        <v>0</v>
      </c>
      <c r="AA628" s="81" t="s">
        <v>1954</v>
      </c>
    </row>
    <row r="629" spans="1:27" x14ac:dyDescent="0.25">
      <c r="A629" s="63">
        <f>'II_Inkunabeln+'!A629</f>
        <v>605</v>
      </c>
      <c r="B629" s="63" t="str">
        <f>'II_Inkunabeln+'!B629</f>
        <v>L-1483-315501162</v>
      </c>
      <c r="C629" s="63">
        <f>'II_Inkunabeln+'!C629</f>
        <v>1066970807</v>
      </c>
      <c r="D629" s="84" t="str">
        <f>'II_Inkunabeln+'!D629</f>
        <v>https://portal.dnb.de/opac.htm?method=simpleSearch&amp;cqlMode=true&amp;query=idn%3D1066970807</v>
      </c>
      <c r="E629" s="65" t="str">
        <f>'II_Inkunabeln+'!E629</f>
        <v>II 82,7e</v>
      </c>
      <c r="F629" s="65" t="str">
        <f>'II_Inkunabeln+'!H629</f>
        <v>bis 35 cm</v>
      </c>
      <c r="G629" s="93" t="str">
        <f>'II_Inkunabeln+'!X629</f>
        <v>HPg</v>
      </c>
      <c r="H629" s="93" t="str">
        <f>'II_Inkunabeln+'!AA629</f>
        <v>h/E</v>
      </c>
      <c r="I629" s="93">
        <f>'II_Inkunabeln+'!AC629</f>
        <v>0</v>
      </c>
      <c r="J629" s="94"/>
      <c r="K629" s="93">
        <f>'II_Inkunabeln+'!AD629</f>
        <v>0</v>
      </c>
      <c r="L629" s="94"/>
      <c r="M629" s="94"/>
      <c r="N629" s="94"/>
      <c r="O629" s="94"/>
      <c r="P629" s="94"/>
      <c r="Q629" s="94"/>
      <c r="R629" s="94"/>
      <c r="S629" s="94"/>
      <c r="T629" s="94"/>
      <c r="U629" s="94"/>
      <c r="V629" s="94"/>
      <c r="W629" s="94" t="str">
        <f>'II_Inkunabeln+'!BA629</f>
        <v>n</v>
      </c>
      <c r="X629" s="108"/>
      <c r="Y629" s="93">
        <f>'II_Inkunabeln+'!BI629</f>
        <v>0</v>
      </c>
      <c r="Z629" s="81">
        <f>'II_Inkunabeln+'!BJ629</f>
        <v>0</v>
      </c>
    </row>
    <row r="630" spans="1:27" x14ac:dyDescent="0.25">
      <c r="A630" s="63">
        <f>'II_Inkunabeln+'!A630</f>
        <v>606</v>
      </c>
      <c r="B630" s="63" t="str">
        <f>'II_Inkunabeln+'!B630</f>
        <v>L-1485-315498447</v>
      </c>
      <c r="C630" s="63">
        <f>'II_Inkunabeln+'!C630</f>
        <v>1066968179</v>
      </c>
      <c r="D630" s="84" t="str">
        <f>'II_Inkunabeln+'!D630</f>
        <v>https://portal.dnb.de/opac.htm?method=simpleSearch&amp;cqlMode=true&amp;query=idn%3D1066968179</v>
      </c>
      <c r="E630" s="65" t="str">
        <f>'II_Inkunabeln+'!E630</f>
        <v>II 82,7f</v>
      </c>
      <c r="F630" s="65" t="str">
        <f>'II_Inkunabeln+'!H630</f>
        <v>bis 25 cm</v>
      </c>
      <c r="G630" s="93" t="str">
        <f>'II_Inkunabeln+'!X630</f>
        <v>HL</v>
      </c>
      <c r="H630" s="93" t="str">
        <f>'II_Inkunabeln+'!AA630</f>
        <v>h/E</v>
      </c>
      <c r="I630" s="93">
        <f>'II_Inkunabeln+'!AC630</f>
        <v>0</v>
      </c>
      <c r="J630" s="94"/>
      <c r="K630" s="93">
        <f>'II_Inkunabeln+'!AD630</f>
        <v>0</v>
      </c>
      <c r="L630" s="94"/>
      <c r="M630" s="94"/>
      <c r="N630" s="94"/>
      <c r="O630" s="94"/>
      <c r="P630" s="94"/>
      <c r="Q630" s="94"/>
      <c r="R630" s="94"/>
      <c r="S630" s="94"/>
      <c r="T630" s="94"/>
      <c r="U630" s="94"/>
      <c r="V630" s="94"/>
      <c r="W630" s="94" t="str">
        <f>'II_Inkunabeln+'!BA630</f>
        <v>n</v>
      </c>
      <c r="X630" s="108"/>
      <c r="Y630" s="93">
        <f>'II_Inkunabeln+'!BI630</f>
        <v>0</v>
      </c>
      <c r="Z630" s="81">
        <f>'II_Inkunabeln+'!BJ630</f>
        <v>0</v>
      </c>
    </row>
    <row r="631" spans="1:27" x14ac:dyDescent="0.25">
      <c r="A631" s="63">
        <f>'II_Inkunabeln+'!A631</f>
        <v>607</v>
      </c>
      <c r="B631" s="63" t="str">
        <f>'II_Inkunabeln+'!B631</f>
        <v>L-1480-315499982</v>
      </c>
      <c r="C631" s="63">
        <f>'II_Inkunabeln+'!C631</f>
        <v>1066969655</v>
      </c>
      <c r="D631" s="84" t="str">
        <f>'II_Inkunabeln+'!D631</f>
        <v>https://portal.dnb.de/opac.htm?method=simpleSearch&amp;cqlMode=true&amp;query=idn%3D1066969655</v>
      </c>
      <c r="E631" s="65" t="str">
        <f>'II_Inkunabeln+'!E631</f>
        <v>II 82,7g</v>
      </c>
      <c r="F631" s="65" t="str">
        <f>'II_Inkunabeln+'!H631</f>
        <v>bis 25 cm</v>
      </c>
      <c r="G631" s="93" t="str">
        <f>'II_Inkunabeln+'!X631</f>
        <v>HL</v>
      </c>
      <c r="H631" s="93" t="str">
        <f>'II_Inkunabeln+'!AA631</f>
        <v>f/E</v>
      </c>
      <c r="I631" s="93">
        <f>'II_Inkunabeln+'!AC631</f>
        <v>0</v>
      </c>
      <c r="J631" s="94"/>
      <c r="K631" s="93">
        <f>'II_Inkunabeln+'!AD631</f>
        <v>0</v>
      </c>
      <c r="L631" s="94"/>
      <c r="M631" s="94"/>
      <c r="N631" s="94"/>
      <c r="O631" s="94"/>
      <c r="P631" s="94"/>
      <c r="Q631" s="94"/>
      <c r="R631" s="94"/>
      <c r="S631" s="94"/>
      <c r="T631" s="94"/>
      <c r="U631" s="94"/>
      <c r="V631" s="94"/>
      <c r="W631" s="94" t="str">
        <f>'II_Inkunabeln+'!BA631</f>
        <v>n</v>
      </c>
      <c r="X631" s="108"/>
      <c r="Y631" s="93">
        <f>'II_Inkunabeln+'!BI631</f>
        <v>0</v>
      </c>
      <c r="Z631" s="81" t="str">
        <f>'II_Inkunabeln+'!BJ631</f>
        <v>Schaden ist stabil genug</v>
      </c>
    </row>
    <row r="632" spans="1:27" x14ac:dyDescent="0.25">
      <c r="A632" s="63">
        <f>'II_Inkunabeln+'!A632</f>
        <v>608</v>
      </c>
      <c r="B632" s="63" t="str">
        <f>'II_Inkunabeln+'!B632</f>
        <v>L-2013-316396</v>
      </c>
      <c r="C632" s="63">
        <f>'II_Inkunabeln+'!C632</f>
        <v>1036843505</v>
      </c>
      <c r="D632" s="84" t="str">
        <f>'II_Inkunabeln+'!D632</f>
        <v>https://portal.dnb.de/opac.htm?method=simpleSearch&amp;cqlMode=true&amp;query=idn%3D1036843505</v>
      </c>
      <c r="E632" s="65" t="str">
        <f>'II_Inkunabeln+'!E632</f>
        <v>II 82,7h</v>
      </c>
      <c r="F632" s="65" t="str">
        <f>'II_Inkunabeln+'!H632</f>
        <v>bis 25 cm</v>
      </c>
      <c r="G632" s="93" t="str">
        <f>'II_Inkunabeln+'!X632</f>
        <v>Pg</v>
      </c>
      <c r="H632" s="93" t="str">
        <f>'II_Inkunabeln+'!AA632</f>
        <v>h</v>
      </c>
      <c r="I632" s="93">
        <f>'II_Inkunabeln+'!AC632</f>
        <v>0</v>
      </c>
      <c r="J632" s="94"/>
      <c r="K632" s="93">
        <f>'II_Inkunabeln+'!AD632</f>
        <v>0</v>
      </c>
      <c r="L632" s="94"/>
      <c r="M632" s="94"/>
      <c r="N632" s="94"/>
      <c r="O632" s="94"/>
      <c r="P632" s="94"/>
      <c r="Q632" s="94"/>
      <c r="R632" s="94"/>
      <c r="S632" s="94"/>
      <c r="T632" s="94"/>
      <c r="U632" s="94"/>
      <c r="V632" s="94"/>
      <c r="W632" s="94" t="str">
        <f>'II_Inkunabeln+'!BA632</f>
        <v>n</v>
      </c>
      <c r="X632" s="108"/>
      <c r="Y632" s="93">
        <f>'II_Inkunabeln+'!BI632</f>
        <v>0</v>
      </c>
      <c r="Z632" s="81" t="str">
        <f>'II_Inkunabeln+'!BJ632</f>
        <v>Schaden ist stabil genug</v>
      </c>
    </row>
    <row r="633" spans="1:27" x14ac:dyDescent="0.25">
      <c r="A633" s="63">
        <f>'II_Inkunabeln+'!A633</f>
        <v>609</v>
      </c>
      <c r="B633" s="63" t="str">
        <f>'II_Inkunabeln+'!B633</f>
        <v>L-1485-266425038</v>
      </c>
      <c r="C633" s="63">
        <f>'II_Inkunabeln+'!C633</f>
        <v>1036845559</v>
      </c>
      <c r="D633" s="84" t="str">
        <f>'II_Inkunabeln+'!D633</f>
        <v>https://portal.dnb.de/opac.htm?method=simpleSearch&amp;cqlMode=true&amp;query=idn%3D1036845559</v>
      </c>
      <c r="E633" s="65" t="str">
        <f>'II_Inkunabeln+'!E633</f>
        <v>II 82,7h (angebunden)</v>
      </c>
      <c r="F633" s="65">
        <f>'II_Inkunabeln+'!H633</f>
        <v>0</v>
      </c>
      <c r="G633" s="93">
        <f>'II_Inkunabeln+'!X633</f>
        <v>0</v>
      </c>
      <c r="H633" s="93">
        <f>'II_Inkunabeln+'!AA633</f>
        <v>0</v>
      </c>
      <c r="I633" s="93">
        <f>'II_Inkunabeln+'!AC633</f>
        <v>0</v>
      </c>
      <c r="J633" s="94"/>
      <c r="K633" s="93">
        <f>'II_Inkunabeln+'!AD633</f>
        <v>0</v>
      </c>
      <c r="L633" s="94"/>
      <c r="M633" s="94"/>
      <c r="N633" s="94"/>
      <c r="O633" s="94"/>
      <c r="P633" s="94"/>
      <c r="Q633" s="94"/>
      <c r="R633" s="94"/>
      <c r="S633" s="94"/>
      <c r="T633" s="94"/>
      <c r="U633" s="94"/>
      <c r="V633" s="94"/>
      <c r="W633" s="94">
        <f>'II_Inkunabeln+'!BA633</f>
        <v>0</v>
      </c>
      <c r="X633" s="108"/>
      <c r="Y633" s="93">
        <f>'II_Inkunabeln+'!BI633</f>
        <v>0</v>
      </c>
      <c r="Z633" s="81">
        <f>'II_Inkunabeln+'!BJ633</f>
        <v>0</v>
      </c>
    </row>
    <row r="634" spans="1:27" ht="23" x14ac:dyDescent="0.25">
      <c r="A634" s="63">
        <f>'II_Inkunabeln+'!A634</f>
        <v>610</v>
      </c>
      <c r="B634" s="63" t="str">
        <f>'II_Inkunabeln+'!B634</f>
        <v>L-1476-315498021</v>
      </c>
      <c r="C634" s="63">
        <f>'II_Inkunabeln+'!C634</f>
        <v>1066967768</v>
      </c>
      <c r="D634" s="84" t="str">
        <f>'II_Inkunabeln+'!D634</f>
        <v>https://portal.dnb.de/opac.htm?method=simpleSearch&amp;cqlMode=true&amp;query=idn%3D1066967768</v>
      </c>
      <c r="E634" s="65" t="str">
        <f>'II_Inkunabeln+'!E634</f>
        <v>II 82,9a</v>
      </c>
      <c r="F634" s="65" t="str">
        <f>'II_Inkunabeln+'!H634</f>
        <v>bis 35 cm</v>
      </c>
      <c r="G634" s="93" t="str">
        <f>'II_Inkunabeln+'!X634</f>
        <v>HL</v>
      </c>
      <c r="H634" s="93" t="str">
        <f>'II_Inkunabeln+'!AA634</f>
        <v>h/E</v>
      </c>
      <c r="I634" s="93">
        <f>'II_Inkunabeln+'!AC634</f>
        <v>0</v>
      </c>
      <c r="J634" s="94" t="s">
        <v>1633</v>
      </c>
      <c r="K634" s="93">
        <f>'II_Inkunabeln+'!AD634</f>
        <v>0</v>
      </c>
      <c r="L634" s="94"/>
      <c r="M634" s="94"/>
      <c r="N634" s="94" t="s">
        <v>1767</v>
      </c>
      <c r="O634" s="94"/>
      <c r="P634" s="94" t="s">
        <v>1633</v>
      </c>
      <c r="Q634" s="94"/>
      <c r="R634" s="94"/>
      <c r="S634" s="94"/>
      <c r="T634" s="94"/>
      <c r="U634" s="94"/>
      <c r="V634" s="94"/>
      <c r="W634" s="94" t="str">
        <f>'II_Inkunabeln+'!BA634</f>
        <v>ja vor</v>
      </c>
      <c r="X634" s="108">
        <v>1</v>
      </c>
      <c r="Y634" s="93">
        <f>'II_Inkunabeln+'!BI634</f>
        <v>0</v>
      </c>
      <c r="Z634" s="81">
        <f>'II_Inkunabeln+'!BJ634</f>
        <v>0</v>
      </c>
      <c r="AA634" s="81" t="s">
        <v>1956</v>
      </c>
    </row>
    <row r="635" spans="1:27" x14ac:dyDescent="0.25">
      <c r="A635" s="63">
        <f>'II_Inkunabeln+'!A635</f>
        <v>611</v>
      </c>
      <c r="B635" s="63" t="str">
        <f>'II_Inkunabeln+'!B635</f>
        <v>L-1478-315500832</v>
      </c>
      <c r="C635" s="63">
        <f>'II_Inkunabeln+'!C635</f>
        <v>1066970475</v>
      </c>
      <c r="D635" s="84" t="str">
        <f>'II_Inkunabeln+'!D635</f>
        <v>https://portal.dnb.de/opac.htm?method=simpleSearch&amp;cqlMode=true&amp;query=idn%3D1066970475</v>
      </c>
      <c r="E635" s="65" t="str">
        <f>'II_Inkunabeln+'!E635</f>
        <v>II 82,9b</v>
      </c>
      <c r="F635" s="65" t="str">
        <f>'II_Inkunabeln+'!H635</f>
        <v>bis 35 cm</v>
      </c>
      <c r="G635" s="93" t="str">
        <f>'II_Inkunabeln+'!X635</f>
        <v>HL</v>
      </c>
      <c r="H635" s="93" t="str">
        <f>'II_Inkunabeln+'!AA635</f>
        <v>h/E</v>
      </c>
      <c r="I635" s="93">
        <f>'II_Inkunabeln+'!AC635</f>
        <v>0</v>
      </c>
      <c r="J635" s="94"/>
      <c r="K635" s="93">
        <f>'II_Inkunabeln+'!AD635</f>
        <v>0</v>
      </c>
      <c r="L635" s="94"/>
      <c r="M635" s="94"/>
      <c r="N635" s="94"/>
      <c r="O635" s="94"/>
      <c r="P635" s="94"/>
      <c r="Q635" s="94"/>
      <c r="R635" s="94"/>
      <c r="S635" s="94"/>
      <c r="T635" s="94"/>
      <c r="U635" s="94"/>
      <c r="V635" s="94"/>
      <c r="W635" s="94" t="str">
        <f>'II_Inkunabeln+'!BA635</f>
        <v>n</v>
      </c>
      <c r="X635" s="108"/>
      <c r="Y635" s="93">
        <f>'II_Inkunabeln+'!BI635</f>
        <v>0</v>
      </c>
      <c r="Z635" s="81">
        <f>'II_Inkunabeln+'!BJ635</f>
        <v>0</v>
      </c>
    </row>
    <row r="636" spans="1:27" x14ac:dyDescent="0.25">
      <c r="A636" s="63">
        <f>'II_Inkunabeln+'!A636</f>
        <v>612</v>
      </c>
      <c r="B636" s="63" t="str">
        <f>'II_Inkunabeln+'!B636</f>
        <v>L-1478-315496762</v>
      </c>
      <c r="C636" s="63">
        <f>'II_Inkunabeln+'!C636</f>
        <v>1066966478</v>
      </c>
      <c r="D636" s="84" t="str">
        <f>'II_Inkunabeln+'!D636</f>
        <v>https://portal.dnb.de/opac.htm?method=simpleSearch&amp;cqlMode=true&amp;query=idn%3D1066966478</v>
      </c>
      <c r="E636" s="65" t="str">
        <f>'II_Inkunabeln+'!E636</f>
        <v>II 82,10 b</v>
      </c>
      <c r="F636" s="65">
        <f>'II_Inkunabeln+'!H636</f>
        <v>0</v>
      </c>
      <c r="G636" s="93">
        <f>'II_Inkunabeln+'!X636</f>
        <v>0</v>
      </c>
      <c r="H636" s="93">
        <f>'II_Inkunabeln+'!AA636</f>
        <v>0</v>
      </c>
      <c r="I636" s="93">
        <f>'II_Inkunabeln+'!AC636</f>
        <v>0</v>
      </c>
      <c r="J636" s="94"/>
      <c r="K636" s="93">
        <f>'II_Inkunabeln+'!AD636</f>
        <v>0</v>
      </c>
      <c r="L636" s="94"/>
      <c r="M636" s="94"/>
      <c r="N636" s="94"/>
      <c r="O636" s="94"/>
      <c r="P636" s="94"/>
      <c r="Q636" s="94"/>
      <c r="R636" s="94"/>
      <c r="S636" s="94"/>
      <c r="T636" s="94"/>
      <c r="U636" s="94"/>
      <c r="V636" s="94"/>
      <c r="W636" s="94">
        <f>'II_Inkunabeln+'!BA636</f>
        <v>0</v>
      </c>
      <c r="X636" s="108"/>
      <c r="Y636" s="93">
        <f>'II_Inkunabeln+'!BI636</f>
        <v>0</v>
      </c>
      <c r="Z636" s="81">
        <f>'II_Inkunabeln+'!BJ636</f>
        <v>0</v>
      </c>
    </row>
    <row r="637" spans="1:27" x14ac:dyDescent="0.25">
      <c r="A637" s="63">
        <f>'II_Inkunabeln+'!A637</f>
        <v>613</v>
      </c>
      <c r="B637" s="63" t="str">
        <f>'II_Inkunabeln+'!B637</f>
        <v>L-1480-315498919</v>
      </c>
      <c r="C637" s="63">
        <f>'II_Inkunabeln+'!C637</f>
        <v>1066968675</v>
      </c>
      <c r="D637" s="84" t="str">
        <f>'II_Inkunabeln+'!D637</f>
        <v>https://portal.dnb.de/opac.htm?method=simpleSearch&amp;cqlMode=true&amp;query=idn%3D1066968675</v>
      </c>
      <c r="E637" s="65" t="str">
        <f>'II_Inkunabeln+'!E637</f>
        <v>II 82,10a</v>
      </c>
      <c r="F637" s="65">
        <f>'II_Inkunabeln+'!H637</f>
        <v>0</v>
      </c>
      <c r="G637" s="93">
        <f>'II_Inkunabeln+'!X637</f>
        <v>0</v>
      </c>
      <c r="H637" s="93">
        <f>'II_Inkunabeln+'!AA637</f>
        <v>0</v>
      </c>
      <c r="I637" s="93">
        <f>'II_Inkunabeln+'!AC637</f>
        <v>0</v>
      </c>
      <c r="J637" s="94"/>
      <c r="K637" s="93">
        <f>'II_Inkunabeln+'!AD637</f>
        <v>0</v>
      </c>
      <c r="L637" s="94"/>
      <c r="M637" s="94"/>
      <c r="N637" s="94"/>
      <c r="O637" s="94"/>
      <c r="P637" s="94"/>
      <c r="Q637" s="94"/>
      <c r="R637" s="94"/>
      <c r="S637" s="94"/>
      <c r="T637" s="94"/>
      <c r="U637" s="94"/>
      <c r="V637" s="94"/>
      <c r="W637" s="94">
        <f>'II_Inkunabeln+'!BA637</f>
        <v>0</v>
      </c>
      <c r="X637" s="108"/>
      <c r="Y637" s="93">
        <f>'II_Inkunabeln+'!BI637</f>
        <v>0</v>
      </c>
      <c r="Z637" s="81">
        <f>'II_Inkunabeln+'!BJ637</f>
        <v>0</v>
      </c>
    </row>
    <row r="638" spans="1:27" ht="23" x14ac:dyDescent="0.25">
      <c r="A638" s="63">
        <f>'II_Inkunabeln+'!A638</f>
        <v>614</v>
      </c>
      <c r="B638" s="63" t="str">
        <f>'II_Inkunabeln+'!B638</f>
        <v>L-1482-327679670</v>
      </c>
      <c r="C638" s="63">
        <f>'II_Inkunabeln+'!C638</f>
        <v>1072379198</v>
      </c>
      <c r="D638" s="84" t="str">
        <f>'II_Inkunabeln+'!D638</f>
        <v>https://portal.dnb.de/opac.htm?method=simpleSearch&amp;cqlMode=true&amp;query=idn%3D1072379198</v>
      </c>
      <c r="E638" s="65" t="str">
        <f>'II_Inkunabeln+'!E638</f>
        <v>II 82,11a</v>
      </c>
      <c r="F638" s="65" t="str">
        <f>'II_Inkunabeln+'!H638</f>
        <v>bis 35 cm</v>
      </c>
      <c r="G638" s="93" t="str">
        <f>'II_Inkunabeln+'!X638</f>
        <v>HL</v>
      </c>
      <c r="H638" s="93" t="str">
        <f>'II_Inkunabeln+'!AA638</f>
        <v>f/V</v>
      </c>
      <c r="I638" s="93">
        <f>'II_Inkunabeln+'!AC638</f>
        <v>0</v>
      </c>
      <c r="J638" s="94" t="s">
        <v>1633</v>
      </c>
      <c r="K638" s="93">
        <f>'II_Inkunabeln+'!AD638</f>
        <v>0</v>
      </c>
      <c r="L638" s="94" t="s">
        <v>1633</v>
      </c>
      <c r="M638" s="94"/>
      <c r="N638" s="94"/>
      <c r="O638" s="94"/>
      <c r="P638" s="94"/>
      <c r="Q638" s="94"/>
      <c r="R638" s="94"/>
      <c r="S638" s="94"/>
      <c r="T638" s="94"/>
      <c r="U638" s="94"/>
      <c r="V638" s="94"/>
      <c r="W638" s="94" t="str">
        <f>'II_Inkunabeln+'!BA638</f>
        <v>ja vor</v>
      </c>
      <c r="X638" s="108">
        <v>1</v>
      </c>
      <c r="Y638" s="93">
        <f>'II_Inkunabeln+'!BI638</f>
        <v>0</v>
      </c>
      <c r="Z638" s="81">
        <f>'II_Inkunabeln+'!BJ638</f>
        <v>0</v>
      </c>
      <c r="AA638" s="81" t="s">
        <v>1957</v>
      </c>
    </row>
    <row r="639" spans="1:27" x14ac:dyDescent="0.25">
      <c r="A639" s="63">
        <f>'II_Inkunabeln+'!A639</f>
        <v>615</v>
      </c>
      <c r="B639" s="63" t="str">
        <f>'II_Inkunabeln+'!B639</f>
        <v>L-1493-31550224X</v>
      </c>
      <c r="C639" s="63">
        <f>'II_Inkunabeln+'!C639</f>
        <v>1066971846</v>
      </c>
      <c r="D639" s="84" t="str">
        <f>'II_Inkunabeln+'!D639</f>
        <v>https://portal.dnb.de/opac.htm?method=simpleSearch&amp;cqlMode=true&amp;query=idn%3D1066971846</v>
      </c>
      <c r="E639" s="65" t="str">
        <f>'II_Inkunabeln+'!E639</f>
        <v>II 82,11a [angebunden]</v>
      </c>
      <c r="F639" s="65">
        <f>'II_Inkunabeln+'!H639</f>
        <v>0</v>
      </c>
      <c r="G639" s="93">
        <f>'II_Inkunabeln+'!X639</f>
        <v>0</v>
      </c>
      <c r="H639" s="93">
        <f>'II_Inkunabeln+'!AA639</f>
        <v>0</v>
      </c>
      <c r="I639" s="93">
        <f>'II_Inkunabeln+'!AC639</f>
        <v>0</v>
      </c>
      <c r="J639" s="94"/>
      <c r="K639" s="93">
        <f>'II_Inkunabeln+'!AD639</f>
        <v>0</v>
      </c>
      <c r="L639" s="94"/>
      <c r="M639" s="94"/>
      <c r="N639" s="94"/>
      <c r="O639" s="94"/>
      <c r="P639" s="94"/>
      <c r="Q639" s="94"/>
      <c r="R639" s="94"/>
      <c r="S639" s="94"/>
      <c r="T639" s="94"/>
      <c r="U639" s="94"/>
      <c r="V639" s="94"/>
      <c r="W639" s="94">
        <f>'II_Inkunabeln+'!BA639</f>
        <v>0</v>
      </c>
      <c r="X639" s="108"/>
      <c r="Y639" s="93">
        <f>'II_Inkunabeln+'!BI639</f>
        <v>0</v>
      </c>
      <c r="Z639" s="81">
        <f>'II_Inkunabeln+'!BJ639</f>
        <v>0</v>
      </c>
    </row>
    <row r="640" spans="1:27" x14ac:dyDescent="0.25">
      <c r="A640" s="63">
        <f>'II_Inkunabeln+'!A640</f>
        <v>616</v>
      </c>
      <c r="B640" s="63" t="str">
        <f>'II_Inkunabeln+'!B640</f>
        <v>L-1480-315498528</v>
      </c>
      <c r="C640" s="63">
        <f>'II_Inkunabeln+'!C640</f>
        <v>1066968268</v>
      </c>
      <c r="D640" s="84" t="str">
        <f>'II_Inkunabeln+'!D640</f>
        <v>https://portal.dnb.de/opac.htm?method=simpleSearch&amp;cqlMode=true&amp;query=idn%3D1066968268</v>
      </c>
      <c r="E640" s="65" t="str">
        <f>'II_Inkunabeln+'!E640</f>
        <v>II 82,12a</v>
      </c>
      <c r="F640" s="65" t="str">
        <f>'II_Inkunabeln+'!H640</f>
        <v>bis 25 cm</v>
      </c>
      <c r="G640" s="93" t="str">
        <f>'II_Inkunabeln+'!X640</f>
        <v>HD</v>
      </c>
      <c r="H640" s="93" t="str">
        <f>'II_Inkunabeln+'!AA640</f>
        <v>f/V</v>
      </c>
      <c r="I640" s="93">
        <f>'II_Inkunabeln+'!AC640</f>
        <v>0</v>
      </c>
      <c r="J640" s="94"/>
      <c r="K640" s="93">
        <f>'II_Inkunabeln+'!AD640</f>
        <v>0</v>
      </c>
      <c r="L640" s="94"/>
      <c r="M640" s="94"/>
      <c r="N640" s="94"/>
      <c r="O640" s="94"/>
      <c r="P640" s="94"/>
      <c r="Q640" s="94"/>
      <c r="R640" s="94"/>
      <c r="S640" s="94"/>
      <c r="T640" s="94"/>
      <c r="U640" s="94"/>
      <c r="V640" s="94"/>
      <c r="W640" s="94" t="str">
        <f>'II_Inkunabeln+'!BA640</f>
        <v>n</v>
      </c>
      <c r="X640" s="108"/>
      <c r="Y640" s="93">
        <f>'II_Inkunabeln+'!BI640</f>
        <v>0</v>
      </c>
      <c r="Z640" s="81" t="str">
        <f>'II_Inkunabeln+'!BJ640</f>
        <v>Schaden ist stabil genug</v>
      </c>
    </row>
    <row r="641" spans="1:27" x14ac:dyDescent="0.25">
      <c r="A641" s="63">
        <f>'II_Inkunabeln+'!A641</f>
        <v>617</v>
      </c>
      <c r="B641" s="63" t="str">
        <f>'II_Inkunabeln+'!B641</f>
        <v>L-1496-327016809</v>
      </c>
      <c r="C641" s="63">
        <f>'II_Inkunabeln+'!C641</f>
        <v>1072183919</v>
      </c>
      <c r="D641" s="84" t="str">
        <f>'II_Inkunabeln+'!D641</f>
        <v>https://portal.dnb.de/opac.htm?method=simpleSearch&amp;cqlMode=true&amp;query=idn%3D1072183919</v>
      </c>
      <c r="E641" s="65" t="str">
        <f>'II_Inkunabeln+'!E641</f>
        <v>II 82,13a</v>
      </c>
      <c r="F641" s="65">
        <f>'II_Inkunabeln+'!H641</f>
        <v>0</v>
      </c>
      <c r="G641" s="93">
        <f>'II_Inkunabeln+'!X641</f>
        <v>0</v>
      </c>
      <c r="H641" s="93">
        <f>'II_Inkunabeln+'!AA641</f>
        <v>0</v>
      </c>
      <c r="I641" s="93">
        <f>'II_Inkunabeln+'!AC641</f>
        <v>0</v>
      </c>
      <c r="J641" s="94"/>
      <c r="K641" s="93">
        <f>'II_Inkunabeln+'!AD641</f>
        <v>0</v>
      </c>
      <c r="L641" s="94"/>
      <c r="M641" s="94"/>
      <c r="N641" s="94"/>
      <c r="O641" s="94"/>
      <c r="P641" s="94"/>
      <c r="Q641" s="94"/>
      <c r="R641" s="94"/>
      <c r="S641" s="94"/>
      <c r="T641" s="94"/>
      <c r="U641" s="94"/>
      <c r="V641" s="94"/>
      <c r="W641" s="94">
        <f>'II_Inkunabeln+'!BA641</f>
        <v>0</v>
      </c>
      <c r="X641" s="108"/>
      <c r="Y641" s="93">
        <f>'II_Inkunabeln+'!BI641</f>
        <v>0</v>
      </c>
      <c r="Z641" s="81">
        <f>'II_Inkunabeln+'!BJ641</f>
        <v>0</v>
      </c>
    </row>
    <row r="642" spans="1:27" x14ac:dyDescent="0.25">
      <c r="A642" s="63">
        <f>'II_Inkunabeln+'!A642</f>
        <v>618</v>
      </c>
      <c r="B642" s="63" t="str">
        <f>'II_Inkunabeln+'!B642</f>
        <v>L-1482-315501308</v>
      </c>
      <c r="C642" s="63">
        <f>'II_Inkunabeln+'!C642</f>
        <v>1066970947</v>
      </c>
      <c r="D642" s="84" t="str">
        <f>'II_Inkunabeln+'!D642</f>
        <v>https://portal.dnb.de/opac.htm?method=simpleSearch&amp;cqlMode=true&amp;query=idn%3D1066970947</v>
      </c>
      <c r="E642" s="65" t="str">
        <f>'II_Inkunabeln+'!E642</f>
        <v>II 82,14 a</v>
      </c>
      <c r="F642" s="65" t="str">
        <f>'II_Inkunabeln+'!H642</f>
        <v>bis 25 cm</v>
      </c>
      <c r="G642" s="93" t="str">
        <f>'II_Inkunabeln+'!X642</f>
        <v>HD</v>
      </c>
      <c r="H642" s="93" t="str">
        <f>'II_Inkunabeln+'!AA642</f>
        <v>f/V</v>
      </c>
      <c r="I642" s="93" t="str">
        <f>'II_Inkunabeln+'!AC642</f>
        <v>x</v>
      </c>
      <c r="J642" s="94" t="s">
        <v>1633</v>
      </c>
      <c r="K642" s="93">
        <f>'II_Inkunabeln+'!AD642</f>
        <v>0</v>
      </c>
      <c r="L642" s="94" t="s">
        <v>1633</v>
      </c>
      <c r="M642" s="94"/>
      <c r="N642" s="94"/>
      <c r="O642" s="94"/>
      <c r="P642" s="94"/>
      <c r="Q642" s="94"/>
      <c r="R642" s="94"/>
      <c r="S642" s="94"/>
      <c r="T642" s="94"/>
      <c r="U642" s="94"/>
      <c r="V642" s="94"/>
      <c r="W642" s="94" t="str">
        <f>'II_Inkunabeln+'!BA642</f>
        <v>ja vor</v>
      </c>
      <c r="X642" s="108">
        <v>2</v>
      </c>
      <c r="Y642" s="93">
        <f>'II_Inkunabeln+'!BI642</f>
        <v>0</v>
      </c>
      <c r="Z642" s="81">
        <f>'II_Inkunabeln+'!BJ642</f>
        <v>0</v>
      </c>
    </row>
    <row r="643" spans="1:27" x14ac:dyDescent="0.25">
      <c r="A643" s="63">
        <f>'II_Inkunabeln+'!A643</f>
        <v>619</v>
      </c>
      <c r="B643" s="63" t="str">
        <f>'II_Inkunabeln+'!B643</f>
        <v>L-1486-315503114</v>
      </c>
      <c r="C643" s="63">
        <f>'II_Inkunabeln+'!C643</f>
        <v>1066972702</v>
      </c>
      <c r="D643" s="84" t="str">
        <f>'II_Inkunabeln+'!D643</f>
        <v>https://portal.dnb.de/opac.htm?method=simpleSearch&amp;cqlMode=true&amp;query=idn%3D1066972702</v>
      </c>
      <c r="E643" s="65" t="str">
        <f>'II_Inkunabeln+'!E643</f>
        <v>II 82,15a</v>
      </c>
      <c r="F643" s="65">
        <f>'II_Inkunabeln+'!H643</f>
        <v>0</v>
      </c>
      <c r="G643" s="93">
        <f>'II_Inkunabeln+'!X643</f>
        <v>0</v>
      </c>
      <c r="H643" s="93">
        <f>'II_Inkunabeln+'!AA643</f>
        <v>0</v>
      </c>
      <c r="I643" s="93">
        <f>'II_Inkunabeln+'!AC643</f>
        <v>0</v>
      </c>
      <c r="J643" s="94"/>
      <c r="K643" s="93">
        <f>'II_Inkunabeln+'!AD643</f>
        <v>0</v>
      </c>
      <c r="L643" s="94"/>
      <c r="M643" s="94"/>
      <c r="N643" s="94"/>
      <c r="O643" s="94"/>
      <c r="P643" s="94"/>
      <c r="Q643" s="94"/>
      <c r="R643" s="94"/>
      <c r="S643" s="94"/>
      <c r="T643" s="94"/>
      <c r="U643" s="94"/>
      <c r="V643" s="94"/>
      <c r="W643" s="94">
        <f>'II_Inkunabeln+'!BA643</f>
        <v>0</v>
      </c>
      <c r="X643" s="108"/>
      <c r="Y643" s="93">
        <f>'II_Inkunabeln+'!BI643</f>
        <v>0</v>
      </c>
      <c r="Z643" s="81">
        <f>'II_Inkunabeln+'!BJ643</f>
        <v>0</v>
      </c>
    </row>
    <row r="644" spans="1:27" x14ac:dyDescent="0.25">
      <c r="A644" s="63">
        <f>'II_Inkunabeln+'!A644</f>
        <v>620</v>
      </c>
      <c r="B644" s="63" t="str">
        <f>'II_Inkunabeln+'!B644</f>
        <v>L-1489-315503017</v>
      </c>
      <c r="C644" s="63">
        <f>'II_Inkunabeln+'!C644</f>
        <v>1066972591</v>
      </c>
      <c r="D644" s="84" t="str">
        <f>'II_Inkunabeln+'!D644</f>
        <v>https://portal.dnb.de/opac.htm?method=simpleSearch&amp;cqlMode=true&amp;query=idn%3D1066972591</v>
      </c>
      <c r="E644" s="65" t="str">
        <f>'II_Inkunabeln+'!E644</f>
        <v>II 82,15b</v>
      </c>
      <c r="F644" s="65" t="str">
        <f>'II_Inkunabeln+'!H644</f>
        <v>bis 35 cm</v>
      </c>
      <c r="G644" s="93" t="str">
        <f>'II_Inkunabeln+'!X644</f>
        <v>HD</v>
      </c>
      <c r="H644" s="93" t="str">
        <f>'II_Inkunabeln+'!AA644</f>
        <v>f/V</v>
      </c>
      <c r="I644" s="93">
        <f>'II_Inkunabeln+'!AC644</f>
        <v>0</v>
      </c>
      <c r="J644" s="94"/>
      <c r="K644" s="93">
        <f>'II_Inkunabeln+'!AD644</f>
        <v>0</v>
      </c>
      <c r="L644" s="94"/>
      <c r="M644" s="94"/>
      <c r="N644" s="94"/>
      <c r="O644" s="94"/>
      <c r="P644" s="94"/>
      <c r="Q644" s="94"/>
      <c r="R644" s="94"/>
      <c r="S644" s="94"/>
      <c r="T644" s="94"/>
      <c r="U644" s="94"/>
      <c r="V644" s="94"/>
      <c r="W644" s="94" t="str">
        <f>'II_Inkunabeln+'!BA644</f>
        <v>n</v>
      </c>
      <c r="X644" s="108"/>
      <c r="Y644" s="93">
        <f>'II_Inkunabeln+'!BI644</f>
        <v>0</v>
      </c>
      <c r="Z644" s="81">
        <f>'II_Inkunabeln+'!BJ644</f>
        <v>0</v>
      </c>
    </row>
    <row r="645" spans="1:27" x14ac:dyDescent="0.25">
      <c r="A645" s="63">
        <f>'II_Inkunabeln+'!A645</f>
        <v>621</v>
      </c>
      <c r="B645" s="63" t="str">
        <f>'II_Inkunabeln+'!B645</f>
        <v>L-1490-327679786</v>
      </c>
      <c r="C645" s="63" t="str">
        <f>'II_Inkunabeln+'!C645</f>
        <v>107237935X</v>
      </c>
      <c r="D645" s="84" t="str">
        <f>'II_Inkunabeln+'!D645</f>
        <v>https://portal.dnb.de/opac.htm?method=simpleSearch&amp;cqlMode=true&amp;query=idn%3D107237935X</v>
      </c>
      <c r="E645" s="65" t="str">
        <f>'II_Inkunabeln+'!E645</f>
        <v>II 82,15b [angebunden]</v>
      </c>
      <c r="F645" s="65">
        <f>'II_Inkunabeln+'!H645</f>
        <v>0</v>
      </c>
      <c r="G645" s="93">
        <f>'II_Inkunabeln+'!X645</f>
        <v>0</v>
      </c>
      <c r="H645" s="93">
        <f>'II_Inkunabeln+'!AA645</f>
        <v>0</v>
      </c>
      <c r="I645" s="93">
        <f>'II_Inkunabeln+'!AC645</f>
        <v>0</v>
      </c>
      <c r="J645" s="94"/>
      <c r="K645" s="93">
        <f>'II_Inkunabeln+'!AD645</f>
        <v>0</v>
      </c>
      <c r="L645" s="94"/>
      <c r="M645" s="94"/>
      <c r="N645" s="94"/>
      <c r="O645" s="94"/>
      <c r="P645" s="94"/>
      <c r="Q645" s="94"/>
      <c r="R645" s="94"/>
      <c r="S645" s="94"/>
      <c r="T645" s="94"/>
      <c r="U645" s="94"/>
      <c r="V645" s="94"/>
      <c r="W645" s="94">
        <f>'II_Inkunabeln+'!BA645</f>
        <v>0</v>
      </c>
      <c r="X645" s="108"/>
      <c r="Y645" s="93">
        <f>'II_Inkunabeln+'!BI645</f>
        <v>0</v>
      </c>
      <c r="Z645" s="81">
        <f>'II_Inkunabeln+'!BJ645</f>
        <v>0</v>
      </c>
    </row>
    <row r="646" spans="1:27" x14ac:dyDescent="0.25">
      <c r="A646" s="63">
        <f>'II_Inkunabeln+'!A646</f>
        <v>622</v>
      </c>
      <c r="B646" s="63" t="str">
        <f>'II_Inkunabeln+'!B646</f>
        <v>L-2013-303556</v>
      </c>
      <c r="C646" s="63">
        <f>'II_Inkunabeln+'!C646</f>
        <v>1032687681</v>
      </c>
      <c r="D646" s="84" t="str">
        <f>'II_Inkunabeln+'!D646</f>
        <v>https://portal.dnb.de/opac.htm?method=simpleSearch&amp;cqlMode=true&amp;query=idn%3D1032687681</v>
      </c>
      <c r="E646" s="65" t="str">
        <f>'II_Inkunabeln+'!E646</f>
        <v>II 82,15c</v>
      </c>
      <c r="F646" s="65" t="str">
        <f>'II_Inkunabeln+'!H646</f>
        <v>bis 25 cm</v>
      </c>
      <c r="G646" s="93" t="str">
        <f>'II_Inkunabeln+'!X646</f>
        <v>G</v>
      </c>
      <c r="H646" s="93" t="str">
        <f>'II_Inkunabeln+'!AA646</f>
        <v>h/E</v>
      </c>
      <c r="I646" s="93">
        <f>'II_Inkunabeln+'!AC646</f>
        <v>0</v>
      </c>
      <c r="J646" s="94"/>
      <c r="K646" s="93">
        <f>'II_Inkunabeln+'!AD646</f>
        <v>0</v>
      </c>
      <c r="L646" s="94"/>
      <c r="M646" s="94"/>
      <c r="N646" s="94"/>
      <c r="O646" s="94"/>
      <c r="P646" s="94"/>
      <c r="Q646" s="94"/>
      <c r="R646" s="94"/>
      <c r="S646" s="94"/>
      <c r="T646" s="94"/>
      <c r="U646" s="94"/>
      <c r="V646" s="94"/>
      <c r="W646" s="94" t="str">
        <f>'II_Inkunabeln+'!BA646</f>
        <v>n</v>
      </c>
      <c r="X646" s="108"/>
      <c r="Y646" s="93">
        <f>'II_Inkunabeln+'!BI646</f>
        <v>0</v>
      </c>
      <c r="Z646" s="81">
        <f>'II_Inkunabeln+'!BJ646</f>
        <v>0</v>
      </c>
    </row>
    <row r="647" spans="1:27" x14ac:dyDescent="0.25">
      <c r="A647" s="63">
        <f>'II_Inkunabeln+'!A647</f>
        <v>623</v>
      </c>
      <c r="B647" s="63" t="str">
        <f>'II_Inkunabeln+'!B647</f>
        <v>L-1496-327017139</v>
      </c>
      <c r="C647" s="63">
        <f>'II_Inkunabeln+'!C647</f>
        <v>1066968594</v>
      </c>
      <c r="D647" s="84" t="str">
        <f>'II_Inkunabeln+'!D647</f>
        <v>https://portal.dnb.de/opac.htm?method=simpleSearch&amp;cqlMode=true&amp;query=idn%3D1066968594</v>
      </c>
      <c r="E647" s="65" t="str">
        <f>'II_Inkunabeln+'!E647</f>
        <v>II 82,16 a</v>
      </c>
      <c r="F647" s="65">
        <f>'II_Inkunabeln+'!H647</f>
        <v>0</v>
      </c>
      <c r="G647" s="93">
        <f>'II_Inkunabeln+'!X647</f>
        <v>0</v>
      </c>
      <c r="H647" s="93">
        <f>'II_Inkunabeln+'!AA647</f>
        <v>0</v>
      </c>
      <c r="I647" s="93">
        <f>'II_Inkunabeln+'!AC647</f>
        <v>0</v>
      </c>
      <c r="J647" s="94"/>
      <c r="K647" s="93">
        <f>'II_Inkunabeln+'!AD647</f>
        <v>0</v>
      </c>
      <c r="L647" s="94"/>
      <c r="M647" s="94"/>
      <c r="N647" s="94"/>
      <c r="O647" s="94"/>
      <c r="P647" s="94"/>
      <c r="Q647" s="94"/>
      <c r="R647" s="94"/>
      <c r="S647" s="94"/>
      <c r="T647" s="94"/>
      <c r="U647" s="94"/>
      <c r="V647" s="94"/>
      <c r="W647" s="94">
        <f>'II_Inkunabeln+'!BA647</f>
        <v>0</v>
      </c>
      <c r="X647" s="108"/>
      <c r="Y647" s="93">
        <f>'II_Inkunabeln+'!BI647</f>
        <v>0</v>
      </c>
      <c r="Z647" s="81">
        <f>'II_Inkunabeln+'!BJ647</f>
        <v>0</v>
      </c>
    </row>
    <row r="648" spans="1:27" x14ac:dyDescent="0.25">
      <c r="A648" s="63">
        <f>'II_Inkunabeln+'!A648</f>
        <v>624</v>
      </c>
      <c r="B648" s="63" t="str">
        <f>'II_Inkunabeln+'!B648</f>
        <v>L-1497-315498404</v>
      </c>
      <c r="C648" s="63">
        <f>'II_Inkunabeln+'!C648</f>
        <v>1066968136</v>
      </c>
      <c r="D648" s="84" t="str">
        <f>'II_Inkunabeln+'!D648</f>
        <v>https://portal.dnb.de/opac.htm?method=simpleSearch&amp;cqlMode=true&amp;query=idn%3D1066968136</v>
      </c>
      <c r="E648" s="65" t="str">
        <f>'II_Inkunabeln+'!E648</f>
        <v>II 82,16 b</v>
      </c>
      <c r="F648" s="65">
        <f>'II_Inkunabeln+'!H648</f>
        <v>0</v>
      </c>
      <c r="G648" s="93">
        <f>'II_Inkunabeln+'!X648</f>
        <v>0</v>
      </c>
      <c r="H648" s="93">
        <f>'II_Inkunabeln+'!AA648</f>
        <v>0</v>
      </c>
      <c r="I648" s="93">
        <f>'II_Inkunabeln+'!AC648</f>
        <v>0</v>
      </c>
      <c r="J648" s="94"/>
      <c r="K648" s="93">
        <f>'II_Inkunabeln+'!AD648</f>
        <v>0</v>
      </c>
      <c r="L648" s="94"/>
      <c r="M648" s="94"/>
      <c r="N648" s="94"/>
      <c r="O648" s="94"/>
      <c r="P648" s="94"/>
      <c r="Q648" s="94"/>
      <c r="R648" s="94"/>
      <c r="S648" s="94"/>
      <c r="T648" s="94"/>
      <c r="U648" s="94"/>
      <c r="V648" s="94"/>
      <c r="W648" s="94">
        <f>'II_Inkunabeln+'!BA648</f>
        <v>0</v>
      </c>
      <c r="X648" s="108"/>
      <c r="Y648" s="93">
        <f>'II_Inkunabeln+'!BI648</f>
        <v>0</v>
      </c>
      <c r="Z648" s="81">
        <f>'II_Inkunabeln+'!BJ648</f>
        <v>0</v>
      </c>
    </row>
    <row r="649" spans="1:27" x14ac:dyDescent="0.25">
      <c r="A649" s="63">
        <f>'II_Inkunabeln+'!A649</f>
        <v>625</v>
      </c>
      <c r="B649" s="63" t="str">
        <f>'II_Inkunabeln+'!B649</f>
        <v>L-1496-315498846</v>
      </c>
      <c r="C649" s="63">
        <f>'II_Inkunabeln+'!C649</f>
        <v>1066968594</v>
      </c>
      <c r="D649" s="84" t="str">
        <f>'II_Inkunabeln+'!D649</f>
        <v>https://portal.dnb.de/opac.htm?method=simpleSearch&amp;cqlMode=true&amp;query=idn%3D1066968594</v>
      </c>
      <c r="E649" s="65" t="str">
        <f>'II_Inkunabeln+'!E649</f>
        <v>II 82,16ab - Fragm.</v>
      </c>
      <c r="F649" s="65">
        <f>'II_Inkunabeln+'!H649</f>
        <v>0</v>
      </c>
      <c r="G649" s="93">
        <f>'II_Inkunabeln+'!X649</f>
        <v>0</v>
      </c>
      <c r="H649" s="93">
        <f>'II_Inkunabeln+'!AA649</f>
        <v>0</v>
      </c>
      <c r="I649" s="93">
        <f>'II_Inkunabeln+'!AC649</f>
        <v>0</v>
      </c>
      <c r="J649" s="94"/>
      <c r="K649" s="93">
        <f>'II_Inkunabeln+'!AD649</f>
        <v>0</v>
      </c>
      <c r="L649" s="94"/>
      <c r="M649" s="94"/>
      <c r="N649" s="94"/>
      <c r="O649" s="94"/>
      <c r="P649" s="94"/>
      <c r="Q649" s="94"/>
      <c r="R649" s="94"/>
      <c r="S649" s="94"/>
      <c r="T649" s="94"/>
      <c r="U649" s="94"/>
      <c r="V649" s="94"/>
      <c r="W649" s="94">
        <f>'II_Inkunabeln+'!BA649</f>
        <v>0</v>
      </c>
      <c r="X649" s="108"/>
      <c r="Y649" s="93">
        <f>'II_Inkunabeln+'!BI649</f>
        <v>0</v>
      </c>
      <c r="Z649" s="81">
        <f>'II_Inkunabeln+'!BJ649</f>
        <v>0</v>
      </c>
    </row>
    <row r="650" spans="1:27" x14ac:dyDescent="0.25">
      <c r="A650" s="63">
        <f>'II_Inkunabeln+'!A650</f>
        <v>626</v>
      </c>
      <c r="B650" s="63" t="str">
        <f>'II_Inkunabeln+'!B650</f>
        <v>L-1481-31549851X</v>
      </c>
      <c r="C650" s="63" t="str">
        <f>'II_Inkunabeln+'!C650</f>
        <v>106696825X</v>
      </c>
      <c r="D650" s="84" t="str">
        <f>'II_Inkunabeln+'!D650</f>
        <v>https://portal.dnb.de/opac.htm?method=simpleSearch&amp;cqlMode=true&amp;query=idn%3D106696825X</v>
      </c>
      <c r="E650" s="65" t="str">
        <f>'II_Inkunabeln+'!E650</f>
        <v>II 82,17 a</v>
      </c>
      <c r="F650" s="65">
        <f>'II_Inkunabeln+'!H650</f>
        <v>0</v>
      </c>
      <c r="G650" s="93">
        <f>'II_Inkunabeln+'!X650</f>
        <v>0</v>
      </c>
      <c r="H650" s="93">
        <f>'II_Inkunabeln+'!AA650</f>
        <v>0</v>
      </c>
      <c r="I650" s="93">
        <f>'II_Inkunabeln+'!AC650</f>
        <v>0</v>
      </c>
      <c r="J650" s="94"/>
      <c r="K650" s="93">
        <f>'II_Inkunabeln+'!AD650</f>
        <v>0</v>
      </c>
      <c r="L650" s="94"/>
      <c r="M650" s="94"/>
      <c r="N650" s="94"/>
      <c r="O650" s="94"/>
      <c r="P650" s="94"/>
      <c r="Q650" s="94"/>
      <c r="R650" s="94"/>
      <c r="S650" s="94"/>
      <c r="T650" s="94"/>
      <c r="U650" s="94"/>
      <c r="V650" s="94"/>
      <c r="W650" s="94">
        <f>'II_Inkunabeln+'!BA650</f>
        <v>0</v>
      </c>
      <c r="X650" s="108"/>
      <c r="Y650" s="93">
        <f>'II_Inkunabeln+'!BI650</f>
        <v>0</v>
      </c>
      <c r="Z650" s="81">
        <f>'II_Inkunabeln+'!BJ650</f>
        <v>0</v>
      </c>
    </row>
    <row r="651" spans="1:27" x14ac:dyDescent="0.25">
      <c r="A651" s="63">
        <f>'II_Inkunabeln+'!A651</f>
        <v>627</v>
      </c>
      <c r="B651" s="63" t="str">
        <f>'II_Inkunabeln+'!B651</f>
        <v>L-1481-315499125</v>
      </c>
      <c r="C651" s="63">
        <f>'II_Inkunabeln+'!C651</f>
        <v>1066968853</v>
      </c>
      <c r="D651" s="84" t="str">
        <f>'II_Inkunabeln+'!D651</f>
        <v>https://portal.dnb.de/opac.htm?method=simpleSearch&amp;cqlMode=true&amp;query=idn%3D1066968853</v>
      </c>
      <c r="E651" s="65" t="str">
        <f>'II_Inkunabeln+'!E651</f>
        <v>II 82,17 b</v>
      </c>
      <c r="F651" s="65">
        <f>'II_Inkunabeln+'!H651</f>
        <v>0</v>
      </c>
      <c r="G651" s="93">
        <f>'II_Inkunabeln+'!X651</f>
        <v>0</v>
      </c>
      <c r="H651" s="93">
        <f>'II_Inkunabeln+'!AA651</f>
        <v>0</v>
      </c>
      <c r="I651" s="93">
        <f>'II_Inkunabeln+'!AC651</f>
        <v>0</v>
      </c>
      <c r="J651" s="94"/>
      <c r="K651" s="93">
        <f>'II_Inkunabeln+'!AD651</f>
        <v>0</v>
      </c>
      <c r="L651" s="94"/>
      <c r="M651" s="94"/>
      <c r="N651" s="94"/>
      <c r="O651" s="94"/>
      <c r="P651" s="94"/>
      <c r="Q651" s="94"/>
      <c r="R651" s="94"/>
      <c r="S651" s="94"/>
      <c r="T651" s="94"/>
      <c r="U651" s="94"/>
      <c r="V651" s="94"/>
      <c r="W651" s="94">
        <f>'II_Inkunabeln+'!BA651</f>
        <v>0</v>
      </c>
      <c r="X651" s="108"/>
      <c r="Y651" s="93">
        <f>'II_Inkunabeln+'!BI651</f>
        <v>0</v>
      </c>
      <c r="Z651" s="81">
        <f>'II_Inkunabeln+'!BJ651</f>
        <v>0</v>
      </c>
    </row>
    <row r="652" spans="1:27" x14ac:dyDescent="0.25">
      <c r="A652" s="63">
        <f>'II_Inkunabeln+'!A652</f>
        <v>628</v>
      </c>
      <c r="B652" s="63" t="str">
        <f>'II_Inkunabeln+'!B652</f>
        <v>L-1481-315503130</v>
      </c>
      <c r="C652" s="63">
        <f>'II_Inkunabeln+'!C652</f>
        <v>1066972737</v>
      </c>
      <c r="D652" s="84" t="str">
        <f>'II_Inkunabeln+'!D652</f>
        <v>https://portal.dnb.de/opac.htm?method=simpleSearch&amp;cqlMode=true&amp;query=idn%3D1066972737</v>
      </c>
      <c r="E652" s="65" t="str">
        <f>'II_Inkunabeln+'!E652</f>
        <v>II 82,17c</v>
      </c>
      <c r="F652" s="65" t="str">
        <f>'II_Inkunabeln+'!H652</f>
        <v>bis 35 cm</v>
      </c>
      <c r="G652" s="93" t="str">
        <f>'II_Inkunabeln+'!X652</f>
        <v>HD</v>
      </c>
      <c r="H652" s="93" t="str">
        <f>'II_Inkunabeln+'!AA652</f>
        <v>f/V</v>
      </c>
      <c r="I652" s="93">
        <f>'II_Inkunabeln+'!AC652</f>
        <v>0</v>
      </c>
      <c r="J652" s="94" t="s">
        <v>1633</v>
      </c>
      <c r="K652" s="93">
        <f>'II_Inkunabeln+'!AD652</f>
        <v>0</v>
      </c>
      <c r="L652" s="94" t="s">
        <v>1633</v>
      </c>
      <c r="M652" s="94"/>
      <c r="N652" s="94"/>
      <c r="O652" s="94"/>
      <c r="P652" s="94"/>
      <c r="Q652" s="94"/>
      <c r="R652" s="94"/>
      <c r="S652" s="94"/>
      <c r="T652" s="94"/>
      <c r="U652" s="94"/>
      <c r="V652" s="94"/>
      <c r="W652" s="94" t="str">
        <f>'II_Inkunabeln+'!BA652</f>
        <v>ja vor</v>
      </c>
      <c r="X652" s="108">
        <v>0.5</v>
      </c>
      <c r="Y652" s="93">
        <f>'II_Inkunabeln+'!BI652</f>
        <v>0</v>
      </c>
      <c r="Z652" s="81">
        <f>'II_Inkunabeln+'!BJ652</f>
        <v>0</v>
      </c>
    </row>
    <row r="653" spans="1:27" x14ac:dyDescent="0.25">
      <c r="A653" s="63">
        <f>'II_Inkunabeln+'!A653</f>
        <v>629</v>
      </c>
      <c r="B653" s="63" t="str">
        <f>'II_Inkunabeln+'!B653</f>
        <v>L-1481-315499052</v>
      </c>
      <c r="C653" s="63">
        <f>'II_Inkunabeln+'!C653</f>
        <v>1066968780</v>
      </c>
      <c r="D653" s="84" t="str">
        <f>'II_Inkunabeln+'!D653</f>
        <v>https://portal.dnb.de/opac.htm?method=simpleSearch&amp;cqlMode=true&amp;query=idn%3D1066968780</v>
      </c>
      <c r="E653" s="65" t="str">
        <f>'II_Inkunabeln+'!E653</f>
        <v>II 82,17d</v>
      </c>
      <c r="F653" s="65">
        <f>'II_Inkunabeln+'!H653</f>
        <v>0</v>
      </c>
      <c r="G653" s="93">
        <f>'II_Inkunabeln+'!X653</f>
        <v>0</v>
      </c>
      <c r="H653" s="93">
        <f>'II_Inkunabeln+'!AA653</f>
        <v>0</v>
      </c>
      <c r="I653" s="93">
        <f>'II_Inkunabeln+'!AC653</f>
        <v>0</v>
      </c>
      <c r="J653" s="94"/>
      <c r="K653" s="93">
        <f>'II_Inkunabeln+'!AD653</f>
        <v>0</v>
      </c>
      <c r="L653" s="94"/>
      <c r="M653" s="94"/>
      <c r="N653" s="94"/>
      <c r="O653" s="94"/>
      <c r="P653" s="94"/>
      <c r="Q653" s="94"/>
      <c r="R653" s="94"/>
      <c r="S653" s="94"/>
      <c r="T653" s="94"/>
      <c r="U653" s="94"/>
      <c r="V653" s="94"/>
      <c r="W653" s="94">
        <f>'II_Inkunabeln+'!BA653</f>
        <v>0</v>
      </c>
      <c r="X653" s="108"/>
      <c r="Y653" s="93">
        <f>'II_Inkunabeln+'!BI653</f>
        <v>0</v>
      </c>
      <c r="Z653" s="81">
        <f>'II_Inkunabeln+'!BJ653</f>
        <v>0</v>
      </c>
    </row>
    <row r="654" spans="1:27" x14ac:dyDescent="0.25">
      <c r="A654" s="63">
        <f>'II_Inkunabeln+'!A654</f>
        <v>630</v>
      </c>
      <c r="B654" s="63" t="str">
        <f>'II_Inkunabeln+'!B654</f>
        <v>L-1481-315498137</v>
      </c>
      <c r="C654" s="63">
        <f>'II_Inkunabeln+'!C654</f>
        <v>1066967881</v>
      </c>
      <c r="D654" s="84" t="str">
        <f>'II_Inkunabeln+'!D654</f>
        <v>https://portal.dnb.de/opac.htm?method=simpleSearch&amp;cqlMode=true&amp;query=idn%3D1066967881</v>
      </c>
      <c r="E654" s="65" t="str">
        <f>'II_Inkunabeln+'!E654</f>
        <v>II 82,17e</v>
      </c>
      <c r="F654" s="65" t="str">
        <f>'II_Inkunabeln+'!H654</f>
        <v>bis 25 cm</v>
      </c>
      <c r="G654" s="93" t="str">
        <f>'II_Inkunabeln+'!X654</f>
        <v>HL</v>
      </c>
      <c r="H654" s="93" t="str">
        <f>'II_Inkunabeln+'!AA654</f>
        <v>h/E</v>
      </c>
      <c r="I654" s="93">
        <f>'II_Inkunabeln+'!AC654</f>
        <v>0</v>
      </c>
      <c r="J654" s="94"/>
      <c r="K654" s="93">
        <f>'II_Inkunabeln+'!AD654</f>
        <v>0</v>
      </c>
      <c r="L654" s="94"/>
      <c r="M654" s="94"/>
      <c r="N654" s="94"/>
      <c r="O654" s="94"/>
      <c r="P654" s="94"/>
      <c r="Q654" s="94"/>
      <c r="R654" s="94"/>
      <c r="S654" s="94"/>
      <c r="T654" s="94"/>
      <c r="U654" s="94"/>
      <c r="V654" s="94"/>
      <c r="W654" s="94" t="str">
        <f>'II_Inkunabeln+'!BA654</f>
        <v>n</v>
      </c>
      <c r="X654" s="108"/>
      <c r="Y654" s="93">
        <f>'II_Inkunabeln+'!BI654</f>
        <v>0</v>
      </c>
      <c r="Z654" s="81">
        <f>'II_Inkunabeln+'!BJ654</f>
        <v>0</v>
      </c>
    </row>
    <row r="655" spans="1:27" ht="46" x14ac:dyDescent="0.25">
      <c r="A655" s="63">
        <f>'II_Inkunabeln+'!A655</f>
        <v>631</v>
      </c>
      <c r="B655" s="63" t="str">
        <f>'II_Inkunabeln+'!B655</f>
        <v>L-1486-315502363</v>
      </c>
      <c r="C655" s="63">
        <f>'II_Inkunabeln+'!C655</f>
        <v>1066971951</v>
      </c>
      <c r="D655" s="84" t="str">
        <f>'II_Inkunabeln+'!D655</f>
        <v>https://portal.dnb.de/opac.htm?method=simpleSearch&amp;cqlMode=true&amp;query=idn%3D1066971951</v>
      </c>
      <c r="E655" s="65" t="str">
        <f>'II_Inkunabeln+'!E655</f>
        <v>II 82,19a</v>
      </c>
      <c r="F655" s="65" t="str">
        <f>'II_Inkunabeln+'!H655</f>
        <v>bis 35 cm</v>
      </c>
      <c r="G655" s="93" t="str">
        <f>'II_Inkunabeln+'!X655</f>
        <v>HL</v>
      </c>
      <c r="H655" s="93" t="str">
        <f>'II_Inkunabeln+'!AA655</f>
        <v>h/E</v>
      </c>
      <c r="I655" s="93">
        <f>'II_Inkunabeln+'!AC655</f>
        <v>0</v>
      </c>
      <c r="J655" s="94" t="s">
        <v>1633</v>
      </c>
      <c r="K655" s="93">
        <f>'II_Inkunabeln+'!AD655</f>
        <v>0</v>
      </c>
      <c r="L655" s="94"/>
      <c r="M655" s="94"/>
      <c r="N655" s="94" t="s">
        <v>1767</v>
      </c>
      <c r="O655" s="94"/>
      <c r="P655" s="94" t="s">
        <v>1633</v>
      </c>
      <c r="Q655" s="94"/>
      <c r="R655" s="94"/>
      <c r="S655" s="94"/>
      <c r="T655" s="94"/>
      <c r="U655" s="94"/>
      <c r="V655" s="94"/>
      <c r="W655" s="94" t="str">
        <f>'II_Inkunabeln+'!BA655</f>
        <v>ja vor</v>
      </c>
      <c r="X655" s="108">
        <v>1</v>
      </c>
      <c r="Y655" s="93">
        <f>'II_Inkunabeln+'!BI655</f>
        <v>0</v>
      </c>
      <c r="Z655" s="81" t="str">
        <f>'II_Inkunabeln+'!BJ655</f>
        <v>Rückeneinlage furchtbar dick und steif --&gt; Rest.maßnahme sehr gut überlegen</v>
      </c>
      <c r="AA655" s="81" t="s">
        <v>1962</v>
      </c>
    </row>
    <row r="656" spans="1:27" ht="34.5" x14ac:dyDescent="0.25">
      <c r="B656" s="63">
        <f>'II_Inkunabeln+'!B656</f>
        <v>0</v>
      </c>
      <c r="C656" s="63">
        <f>'II_Inkunabeln+'!C656</f>
        <v>0</v>
      </c>
      <c r="D656" s="84">
        <f>'II_Inkunabeln+'!D656</f>
        <v>0</v>
      </c>
      <c r="E656" s="65" t="s">
        <v>1963</v>
      </c>
      <c r="F656" s="65" t="str">
        <f>'II_Inkunabeln+'!H656</f>
        <v>bis 25 cm</v>
      </c>
      <c r="G656" s="93" t="str">
        <f>'II_Inkunabeln+'!X656</f>
        <v>HL</v>
      </c>
      <c r="H656" s="93" t="str">
        <f>'II_Inkunabeln+'!AA656</f>
        <v>h/E</v>
      </c>
      <c r="I656" s="93">
        <f>'II_Inkunabeln+'!AC656</f>
        <v>0</v>
      </c>
      <c r="J656" s="94"/>
      <c r="K656" s="93">
        <f>'II_Inkunabeln+'!AD656</f>
        <v>0</v>
      </c>
      <c r="L656" s="94"/>
      <c r="M656" s="94"/>
      <c r="N656" s="94"/>
      <c r="O656" s="94"/>
      <c r="P656" s="94"/>
      <c r="Q656" s="94"/>
      <c r="R656" s="94"/>
      <c r="S656" s="94"/>
      <c r="T656" s="94"/>
      <c r="U656" s="94"/>
      <c r="V656" s="94"/>
      <c r="W656" s="94" t="str">
        <f>'II_Inkunabeln+'!BA656</f>
        <v>n</v>
      </c>
      <c r="X656" s="108"/>
      <c r="Y656" s="93">
        <f>'II_Inkunabeln+'!BI656</f>
        <v>0</v>
      </c>
      <c r="Z656" s="81">
        <f>'II_Inkunabeln+'!BJ656</f>
        <v>0</v>
      </c>
    </row>
    <row r="657" spans="1:27" x14ac:dyDescent="0.25">
      <c r="A657" s="63">
        <f>'II_Inkunabeln+'!A657</f>
        <v>632</v>
      </c>
      <c r="B657" s="63" t="str">
        <f>'II_Inkunabeln+'!B657</f>
        <v>L-1485-315497599</v>
      </c>
      <c r="C657" s="63">
        <f>'II_Inkunabeln+'!C657</f>
        <v>1066967342</v>
      </c>
      <c r="D657" s="84" t="str">
        <f>'II_Inkunabeln+'!D657</f>
        <v>https://portal.dnb.de/opac.htm?method=simpleSearch&amp;cqlMode=true&amp;query=idn%3D1066967342</v>
      </c>
      <c r="E657" s="65" t="str">
        <f>'II_Inkunabeln+'!E657</f>
        <v>II 82,20a</v>
      </c>
      <c r="F657" s="65" t="str">
        <f>'II_Inkunabeln+'!H657</f>
        <v>bis 25 cm</v>
      </c>
      <c r="G657" s="93" t="str">
        <f>'II_Inkunabeln+'!X657</f>
        <v>HD</v>
      </c>
      <c r="H657" s="93" t="str">
        <f>'II_Inkunabeln+'!AA657</f>
        <v>f</v>
      </c>
      <c r="I657" s="93">
        <f>'II_Inkunabeln+'!AC657</f>
        <v>0</v>
      </c>
      <c r="J657" s="94"/>
      <c r="K657" s="93">
        <f>'II_Inkunabeln+'!AD657</f>
        <v>0</v>
      </c>
      <c r="L657" s="94"/>
      <c r="M657" s="94"/>
      <c r="N657" s="94"/>
      <c r="O657" s="94"/>
      <c r="P657" s="94"/>
      <c r="Q657" s="94"/>
      <c r="R657" s="94"/>
      <c r="S657" s="94"/>
      <c r="T657" s="94"/>
      <c r="U657" s="94"/>
      <c r="V657" s="94"/>
      <c r="W657" s="94" t="str">
        <f>'II_Inkunabeln+'!BA657</f>
        <v>n</v>
      </c>
      <c r="X657" s="108"/>
      <c r="Y657" s="93">
        <f>'II_Inkunabeln+'!BI657</f>
        <v>0</v>
      </c>
      <c r="Z657" s="81">
        <f>'II_Inkunabeln+'!BJ657</f>
        <v>0</v>
      </c>
    </row>
    <row r="658" spans="1:27" ht="23" x14ac:dyDescent="0.25">
      <c r="A658" s="63">
        <f>'II_Inkunabeln+'!A658</f>
        <v>633</v>
      </c>
      <c r="B658" s="63" t="str">
        <f>'II_Inkunabeln+'!B658</f>
        <v>L-1486-315503084</v>
      </c>
      <c r="C658" s="63">
        <f>'II_Inkunabeln+'!C658</f>
        <v>1066972664</v>
      </c>
      <c r="D658" s="84" t="str">
        <f>'II_Inkunabeln+'!D658</f>
        <v>https://portal.dnb.de/opac.htm?method=simpleSearch&amp;cqlMode=true&amp;query=idn%3D1066972664</v>
      </c>
      <c r="E658" s="65" t="str">
        <f>'II_Inkunabeln+'!E658</f>
        <v>II 82,21a</v>
      </c>
      <c r="F658" s="65" t="str">
        <f>'II_Inkunabeln+'!H658</f>
        <v>bis 35 cm</v>
      </c>
      <c r="G658" s="93" t="str">
        <f>'II_Inkunabeln+'!X658</f>
        <v>HD</v>
      </c>
      <c r="H658" s="93" t="str">
        <f>'II_Inkunabeln+'!AA658</f>
        <v>f/V</v>
      </c>
      <c r="I658" s="93">
        <f>'II_Inkunabeln+'!AC658</f>
        <v>0</v>
      </c>
      <c r="J658" s="94"/>
      <c r="K658" s="93">
        <f>'II_Inkunabeln+'!AD658</f>
        <v>0</v>
      </c>
      <c r="L658" s="94"/>
      <c r="M658" s="94"/>
      <c r="N658" s="94"/>
      <c r="O658" s="94"/>
      <c r="P658" s="94"/>
      <c r="Q658" s="94"/>
      <c r="R658" s="94" t="s">
        <v>1633</v>
      </c>
      <c r="S658" s="94"/>
      <c r="T658" s="94"/>
      <c r="U658" s="94"/>
      <c r="V658" s="94"/>
      <c r="W658" s="94" t="str">
        <f>'II_Inkunabeln+'!BA658</f>
        <v>ja vor</v>
      </c>
      <c r="X658" s="108">
        <v>1.5</v>
      </c>
      <c r="Y658" s="93">
        <f>'II_Inkunabeln+'!BI658</f>
        <v>0</v>
      </c>
      <c r="Z658" s="81" t="str">
        <f>'II_Inkunabeln+'!BJ658</f>
        <v>Erfurter Einband, leider völlig überarbeitet/überformt</v>
      </c>
      <c r="AA658" s="81" t="s">
        <v>1968</v>
      </c>
    </row>
    <row r="659" spans="1:27" x14ac:dyDescent="0.25">
      <c r="A659" s="63">
        <f>'II_Inkunabeln+'!A659</f>
        <v>634</v>
      </c>
      <c r="B659" s="63" t="str">
        <f>'II_Inkunabeln+'!B659</f>
        <v>L-1494-315502258</v>
      </c>
      <c r="C659" s="63">
        <f>'II_Inkunabeln+'!C659</f>
        <v>1066971854</v>
      </c>
      <c r="D659" s="84" t="str">
        <f>'II_Inkunabeln+'!D659</f>
        <v>https://portal.dnb.de/opac.htm?method=simpleSearch&amp;cqlMode=true&amp;query=idn%3D1066971854</v>
      </c>
      <c r="E659" s="65" t="str">
        <f>'II_Inkunabeln+'!E659</f>
        <v>II 82,23a</v>
      </c>
      <c r="F659" s="65" t="str">
        <f>'II_Inkunabeln+'!H659</f>
        <v>bis 35 cm</v>
      </c>
      <c r="G659" s="93" t="str">
        <f>'II_Inkunabeln+'!X659</f>
        <v>HL</v>
      </c>
      <c r="H659" s="93" t="str">
        <f>'II_Inkunabeln+'!AA659</f>
        <v>h/E</v>
      </c>
      <c r="I659" s="93">
        <f>'II_Inkunabeln+'!AC659</f>
        <v>0</v>
      </c>
      <c r="J659" s="94"/>
      <c r="K659" s="93">
        <f>'II_Inkunabeln+'!AD659</f>
        <v>0</v>
      </c>
      <c r="L659" s="94"/>
      <c r="M659" s="94"/>
      <c r="N659" s="94"/>
      <c r="O659" s="94"/>
      <c r="P659" s="94"/>
      <c r="Q659" s="94"/>
      <c r="R659" s="94"/>
      <c r="S659" s="94"/>
      <c r="T659" s="94"/>
      <c r="U659" s="94"/>
      <c r="V659" s="94"/>
      <c r="W659" s="94" t="str">
        <f>'II_Inkunabeln+'!BA659</f>
        <v>n</v>
      </c>
      <c r="X659" s="108"/>
      <c r="Y659" s="93">
        <f>'II_Inkunabeln+'!BI659</f>
        <v>0</v>
      </c>
      <c r="Z659" s="81">
        <f>'II_Inkunabeln+'!BJ659</f>
        <v>0</v>
      </c>
    </row>
    <row r="660" spans="1:27" x14ac:dyDescent="0.25">
      <c r="A660" s="63">
        <f>'II_Inkunabeln+'!A660</f>
        <v>635</v>
      </c>
      <c r="B660" s="63" t="str">
        <f>'II_Inkunabeln+'!B660</f>
        <v>L-1497-315502037</v>
      </c>
      <c r="C660" s="63" t="str">
        <f>'II_Inkunabeln+'!C660</f>
        <v>106697165X</v>
      </c>
      <c r="D660" s="84" t="str">
        <f>'II_Inkunabeln+'!D660</f>
        <v>https://portal.dnb.de/opac.htm?method=simpleSearch&amp;cqlMode=true&amp;query=idn%3D106697165X</v>
      </c>
      <c r="E660" s="65" t="str">
        <f>'II_Inkunabeln+'!E660</f>
        <v>II 82,24a</v>
      </c>
      <c r="F660" s="65">
        <f>'II_Inkunabeln+'!H660</f>
        <v>0</v>
      </c>
      <c r="G660" s="93">
        <f>'II_Inkunabeln+'!X660</f>
        <v>0</v>
      </c>
      <c r="H660" s="93">
        <f>'II_Inkunabeln+'!AA660</f>
        <v>0</v>
      </c>
      <c r="I660" s="93">
        <f>'II_Inkunabeln+'!AC660</f>
        <v>0</v>
      </c>
      <c r="J660" s="94"/>
      <c r="K660" s="93">
        <f>'II_Inkunabeln+'!AD660</f>
        <v>0</v>
      </c>
      <c r="L660" s="94"/>
      <c r="M660" s="94"/>
      <c r="N660" s="94"/>
      <c r="O660" s="94"/>
      <c r="P660" s="94"/>
      <c r="Q660" s="94"/>
      <c r="R660" s="94"/>
      <c r="S660" s="94"/>
      <c r="T660" s="94"/>
      <c r="U660" s="94"/>
      <c r="V660" s="94"/>
      <c r="W660" s="94">
        <f>'II_Inkunabeln+'!BA660</f>
        <v>0</v>
      </c>
      <c r="X660" s="108"/>
      <c r="Y660" s="93">
        <f>'II_Inkunabeln+'!BI660</f>
        <v>0</v>
      </c>
      <c r="Z660" s="81">
        <f>'II_Inkunabeln+'!BJ660</f>
        <v>0</v>
      </c>
    </row>
    <row r="661" spans="1:27" x14ac:dyDescent="0.25">
      <c r="A661" s="63">
        <f>'II_Inkunabeln+'!A661</f>
        <v>636</v>
      </c>
      <c r="B661" s="63" t="str">
        <f>'II_Inkunabeln+'!B661</f>
        <v>L-1492-315499907</v>
      </c>
      <c r="C661" s="63">
        <f>'II_Inkunabeln+'!C661</f>
        <v>1066969582</v>
      </c>
      <c r="D661" s="84" t="str">
        <f>'II_Inkunabeln+'!D661</f>
        <v>https://portal.dnb.de/opac.htm?method=simpleSearch&amp;cqlMode=true&amp;query=idn%3D1066969582</v>
      </c>
      <c r="E661" s="65" t="str">
        <f>'II_Inkunabeln+'!E661</f>
        <v>II 82,24b</v>
      </c>
      <c r="F661" s="65" t="str">
        <f>'II_Inkunabeln+'!H661</f>
        <v>bis 35 cm</v>
      </c>
      <c r="G661" s="93" t="str">
        <f>'II_Inkunabeln+'!X661</f>
        <v>HPg</v>
      </c>
      <c r="H661" s="93" t="str">
        <f>'II_Inkunabeln+'!AA661</f>
        <v>h</v>
      </c>
      <c r="I661" s="93">
        <f>'II_Inkunabeln+'!AC661</f>
        <v>0</v>
      </c>
      <c r="J661" s="94"/>
      <c r="K661" s="93">
        <f>'II_Inkunabeln+'!AD661</f>
        <v>0</v>
      </c>
      <c r="L661" s="94"/>
      <c r="M661" s="94"/>
      <c r="N661" s="94"/>
      <c r="O661" s="94"/>
      <c r="P661" s="94"/>
      <c r="Q661" s="94"/>
      <c r="R661" s="94"/>
      <c r="S661" s="94"/>
      <c r="T661" s="94"/>
      <c r="U661" s="94"/>
      <c r="V661" s="94"/>
      <c r="W661" s="94" t="str">
        <f>'II_Inkunabeln+'!BA661</f>
        <v>n</v>
      </c>
      <c r="X661" s="108"/>
      <c r="Y661" s="93">
        <f>'II_Inkunabeln+'!BI661</f>
        <v>0</v>
      </c>
      <c r="Z661" s="81">
        <f>'II_Inkunabeln+'!BJ661</f>
        <v>0</v>
      </c>
    </row>
    <row r="662" spans="1:27" ht="46" x14ac:dyDescent="0.25">
      <c r="A662" s="63">
        <f>'II_Inkunabeln+'!A662</f>
        <v>637</v>
      </c>
      <c r="B662" s="63" t="str">
        <f>'II_Inkunabeln+'!B662</f>
        <v>L-1483-315499818</v>
      </c>
      <c r="C662" s="63">
        <f>'II_Inkunabeln+'!C662</f>
        <v>1066969485</v>
      </c>
      <c r="D662" s="84" t="str">
        <f>'II_Inkunabeln+'!D662</f>
        <v>https://portal.dnb.de/opac.htm?method=simpleSearch&amp;cqlMode=true&amp;query=idn%3D1066969485</v>
      </c>
      <c r="E662" s="65" t="str">
        <f>'II_Inkunabeln+'!E662</f>
        <v>II 82,25a</v>
      </c>
      <c r="F662" s="65" t="str">
        <f>'II_Inkunabeln+'!H662</f>
        <v>bis 35 cm</v>
      </c>
      <c r="G662" s="93" t="str">
        <f>'II_Inkunabeln+'!X662</f>
        <v>HL</v>
      </c>
      <c r="H662" s="93" t="str">
        <f>'II_Inkunabeln+'!AA662</f>
        <v>h/E</v>
      </c>
      <c r="I662" s="93">
        <f>'II_Inkunabeln+'!AC662</f>
        <v>0</v>
      </c>
      <c r="J662" s="94" t="s">
        <v>1633</v>
      </c>
      <c r="K662" s="93">
        <f>'II_Inkunabeln+'!AD662</f>
        <v>0</v>
      </c>
      <c r="L662" s="94"/>
      <c r="M662" s="94"/>
      <c r="N662" s="94" t="s">
        <v>1767</v>
      </c>
      <c r="O662" s="94"/>
      <c r="P662" s="94" t="s">
        <v>1633</v>
      </c>
      <c r="Q662" s="94"/>
      <c r="R662" s="94"/>
      <c r="S662" s="94"/>
      <c r="T662" s="94"/>
      <c r="U662" s="94"/>
      <c r="V662" s="94"/>
      <c r="W662" s="94" t="str">
        <f>'II_Inkunabeln+'!BA662</f>
        <v>ja vor</v>
      </c>
      <c r="X662" s="108">
        <v>3</v>
      </c>
      <c r="Y662" s="93">
        <f>'II_Inkunabeln+'!BI662</f>
        <v>0</v>
      </c>
      <c r="Z662" s="81">
        <f>'II_Inkunabeln+'!BJ662</f>
        <v>0</v>
      </c>
      <c r="AA662" s="81" t="s">
        <v>1970</v>
      </c>
    </row>
    <row r="663" spans="1:27" x14ac:dyDescent="0.25">
      <c r="A663" s="63">
        <f>'II_Inkunabeln+'!A663</f>
        <v>638</v>
      </c>
      <c r="B663" s="63" t="str">
        <f>'II_Inkunabeln+'!B663</f>
        <v>L-1495-315496274</v>
      </c>
      <c r="C663" s="63">
        <f>'II_Inkunabeln+'!C663</f>
        <v>1066965978</v>
      </c>
      <c r="D663" s="84" t="str">
        <f>'II_Inkunabeln+'!D663</f>
        <v>https://portal.dnb.de/opac.htm?method=simpleSearch&amp;cqlMode=true&amp;query=idn%3D1066965978</v>
      </c>
      <c r="E663" s="65" t="str">
        <f>'II_Inkunabeln+'!E663</f>
        <v>II 82,26a</v>
      </c>
      <c r="F663" s="65" t="str">
        <f>'II_Inkunabeln+'!H663</f>
        <v>bis 25 cm</v>
      </c>
      <c r="G663" s="93" t="str">
        <f>'II_Inkunabeln+'!X663</f>
        <v>G</v>
      </c>
      <c r="H663" s="93" t="str">
        <f>'II_Inkunabeln+'!AA663</f>
        <v>h/E</v>
      </c>
      <c r="I663" s="93">
        <f>'II_Inkunabeln+'!AC663</f>
        <v>0</v>
      </c>
      <c r="J663" s="94"/>
      <c r="K663" s="93">
        <f>'II_Inkunabeln+'!AD663</f>
        <v>0</v>
      </c>
      <c r="L663" s="94"/>
      <c r="M663" s="94"/>
      <c r="N663" s="94"/>
      <c r="O663" s="94"/>
      <c r="P663" s="94"/>
      <c r="Q663" s="94"/>
      <c r="R663" s="94"/>
      <c r="S663" s="94"/>
      <c r="T663" s="94"/>
      <c r="U663" s="94"/>
      <c r="V663" s="94"/>
      <c r="W663" s="94" t="str">
        <f>'II_Inkunabeln+'!BA663</f>
        <v>n</v>
      </c>
      <c r="X663" s="108"/>
      <c r="Y663" s="93">
        <f>'II_Inkunabeln+'!BI663</f>
        <v>0</v>
      </c>
      <c r="Z663" s="81">
        <f>'II_Inkunabeln+'!BJ663</f>
        <v>0</v>
      </c>
    </row>
    <row r="664" spans="1:27" x14ac:dyDescent="0.25">
      <c r="A664" s="63">
        <f>'II_Inkunabeln+'!A664</f>
        <v>639</v>
      </c>
      <c r="B664" s="63" t="str">
        <f>'II_Inkunabeln+'!B664</f>
        <v>L-1489-315495960</v>
      </c>
      <c r="C664" s="63">
        <f>'II_Inkunabeln+'!C664</f>
        <v>1066965730</v>
      </c>
      <c r="D664" s="84" t="str">
        <f>'II_Inkunabeln+'!D664</f>
        <v>https://portal.dnb.de/opac.htm?method=simpleSearch&amp;cqlMode=true&amp;query=idn%3D1066965730</v>
      </c>
      <c r="E664" s="65" t="str">
        <f>'II_Inkunabeln+'!E664</f>
        <v>II 82,27a</v>
      </c>
      <c r="F664" s="65" t="str">
        <f>'II_Inkunabeln+'!H664</f>
        <v>bis 35 cm</v>
      </c>
      <c r="G664" s="93" t="str">
        <f>'II_Inkunabeln+'!X664</f>
        <v>HL</v>
      </c>
      <c r="H664" s="93" t="str">
        <f>'II_Inkunabeln+'!AA664</f>
        <v>h/E</v>
      </c>
      <c r="I664" s="93">
        <f>'II_Inkunabeln+'!AC664</f>
        <v>0</v>
      </c>
      <c r="J664" s="94"/>
      <c r="K664" s="93">
        <f>'II_Inkunabeln+'!AD664</f>
        <v>0</v>
      </c>
      <c r="L664" s="94"/>
      <c r="M664" s="94"/>
      <c r="N664" s="94"/>
      <c r="O664" s="94"/>
      <c r="P664" s="94"/>
      <c r="Q664" s="94"/>
      <c r="R664" s="94"/>
      <c r="S664" s="94"/>
      <c r="T664" s="94"/>
      <c r="U664" s="94"/>
      <c r="V664" s="94"/>
      <c r="W664" s="94" t="str">
        <f>'II_Inkunabeln+'!BA664</f>
        <v>n</v>
      </c>
      <c r="X664" s="108"/>
      <c r="Y664" s="93">
        <f>'II_Inkunabeln+'!BI664</f>
        <v>0</v>
      </c>
      <c r="Z664" s="81">
        <f>'II_Inkunabeln+'!BJ664</f>
        <v>0</v>
      </c>
    </row>
    <row r="665" spans="1:27" x14ac:dyDescent="0.25">
      <c r="A665" s="63">
        <f>'II_Inkunabeln+'!A665</f>
        <v>640</v>
      </c>
      <c r="B665" s="63" t="str">
        <f>'II_Inkunabeln+'!B665</f>
        <v>L-1489-315496878</v>
      </c>
      <c r="C665" s="63">
        <f>'II_Inkunabeln+'!C665</f>
        <v>1066966575</v>
      </c>
      <c r="D665" s="84" t="str">
        <f>'II_Inkunabeln+'!D665</f>
        <v>https://portal.dnb.de/opac.htm?method=simpleSearch&amp;cqlMode=true&amp;query=idn%3D1066966575</v>
      </c>
      <c r="E665" s="65" t="str">
        <f>'II_Inkunabeln+'!E665</f>
        <v>II 82,27b</v>
      </c>
      <c r="F665" s="65">
        <f>'II_Inkunabeln+'!H665</f>
        <v>0</v>
      </c>
      <c r="G665" s="93">
        <f>'II_Inkunabeln+'!X665</f>
        <v>0</v>
      </c>
      <c r="H665" s="93">
        <f>'II_Inkunabeln+'!AA665</f>
        <v>0</v>
      </c>
      <c r="I665" s="93">
        <f>'II_Inkunabeln+'!AC665</f>
        <v>0</v>
      </c>
      <c r="J665" s="94"/>
      <c r="K665" s="93">
        <f>'II_Inkunabeln+'!AD665</f>
        <v>0</v>
      </c>
      <c r="L665" s="94"/>
      <c r="M665" s="94"/>
      <c r="N665" s="94"/>
      <c r="O665" s="94"/>
      <c r="P665" s="94"/>
      <c r="Q665" s="94"/>
      <c r="R665" s="94"/>
      <c r="S665" s="94"/>
      <c r="T665" s="94"/>
      <c r="U665" s="94"/>
      <c r="V665" s="94"/>
      <c r="W665" s="94">
        <f>'II_Inkunabeln+'!BA665</f>
        <v>0</v>
      </c>
      <c r="X665" s="108"/>
      <c r="Y665" s="93">
        <f>'II_Inkunabeln+'!BI665</f>
        <v>0</v>
      </c>
      <c r="Z665" s="81">
        <f>'II_Inkunabeln+'!BJ665</f>
        <v>0</v>
      </c>
    </row>
    <row r="666" spans="1:27" ht="34.5" x14ac:dyDescent="0.25">
      <c r="A666" s="63">
        <f>'II_Inkunabeln+'!A666</f>
        <v>641</v>
      </c>
      <c r="B666" s="63" t="str">
        <f>'II_Inkunabeln+'!B666</f>
        <v>L-1493-315503351</v>
      </c>
      <c r="C666" s="63">
        <f>'II_Inkunabeln+'!C666</f>
        <v>1066972974</v>
      </c>
      <c r="D666" s="84" t="str">
        <f>'II_Inkunabeln+'!D666</f>
        <v>https://portal.dnb.de/opac.htm?method=simpleSearch&amp;cqlMode=true&amp;query=idn%3D1066972974</v>
      </c>
      <c r="E666" s="65" t="str">
        <f>'II_Inkunabeln+'!E666</f>
        <v>II 82,27c</v>
      </c>
      <c r="F666" s="65" t="str">
        <f>'II_Inkunabeln+'!H666</f>
        <v>bis 35 cm</v>
      </c>
      <c r="G666" s="93" t="str">
        <f>'II_Inkunabeln+'!X666</f>
        <v>HL</v>
      </c>
      <c r="H666" s="93" t="str">
        <f>'II_Inkunabeln+'!AA666</f>
        <v>f/V</v>
      </c>
      <c r="I666" s="93">
        <f>'II_Inkunabeln+'!AC666</f>
        <v>0</v>
      </c>
      <c r="J666" s="94" t="s">
        <v>1633</v>
      </c>
      <c r="K666" s="93">
        <f>'II_Inkunabeln+'!AD666</f>
        <v>0</v>
      </c>
      <c r="L666" s="94" t="s">
        <v>1633</v>
      </c>
      <c r="M666" s="94"/>
      <c r="N666" s="94" t="s">
        <v>1744</v>
      </c>
      <c r="O666" s="94"/>
      <c r="P666" s="94"/>
      <c r="Q666" s="94"/>
      <c r="R666" s="94"/>
      <c r="S666" s="94"/>
      <c r="T666" s="94"/>
      <c r="U666" s="94"/>
      <c r="V666" s="94"/>
      <c r="W666" s="94" t="str">
        <f>'II_Inkunabeln+'!BA666</f>
        <v>ja vor</v>
      </c>
      <c r="X666" s="108">
        <v>1</v>
      </c>
      <c r="Y666" s="93">
        <f>'II_Inkunabeln+'!BI666</f>
        <v>0</v>
      </c>
      <c r="Z666" s="81">
        <f>'II_Inkunabeln+'!BJ666</f>
        <v>0</v>
      </c>
      <c r="AA666" s="81" t="s">
        <v>1972</v>
      </c>
    </row>
    <row r="667" spans="1:27" x14ac:dyDescent="0.25">
      <c r="A667" s="63">
        <f>'II_Inkunabeln+'!A667</f>
        <v>642</v>
      </c>
      <c r="B667" s="63" t="str">
        <f>'II_Inkunabeln+'!B667</f>
        <v>L-1490-315501073</v>
      </c>
      <c r="C667" s="63">
        <f>'II_Inkunabeln+'!C667</f>
        <v>1066970726</v>
      </c>
      <c r="D667" s="84" t="str">
        <f>'II_Inkunabeln+'!D667</f>
        <v>https://portal.dnb.de/opac.htm?method=simpleSearch&amp;cqlMode=true&amp;query=idn%3D1066970726</v>
      </c>
      <c r="E667" s="65" t="str">
        <f>'II_Inkunabeln+'!E667</f>
        <v>II 82,28a</v>
      </c>
      <c r="F667" s="65" t="str">
        <f>'II_Inkunabeln+'!H667</f>
        <v>bis 35 cm</v>
      </c>
      <c r="G667" s="93" t="str">
        <f>'II_Inkunabeln+'!X667</f>
        <v>HL</v>
      </c>
      <c r="H667" s="93" t="str">
        <f>'II_Inkunabeln+'!AA667</f>
        <v>h/E</v>
      </c>
      <c r="I667" s="93">
        <f>'II_Inkunabeln+'!AC667</f>
        <v>0</v>
      </c>
      <c r="J667" s="94"/>
      <c r="K667" s="93">
        <f>'II_Inkunabeln+'!AD667</f>
        <v>0</v>
      </c>
      <c r="L667" s="94"/>
      <c r="M667" s="94"/>
      <c r="N667" s="94"/>
      <c r="O667" s="94"/>
      <c r="P667" s="94"/>
      <c r="Q667" s="94"/>
      <c r="R667" s="94"/>
      <c r="S667" s="94"/>
      <c r="T667" s="94"/>
      <c r="U667" s="94"/>
      <c r="V667" s="94"/>
      <c r="W667" s="94" t="str">
        <f>'II_Inkunabeln+'!BA667</f>
        <v>n</v>
      </c>
      <c r="X667" s="108"/>
      <c r="Y667" s="93">
        <f>'II_Inkunabeln+'!BI667</f>
        <v>0</v>
      </c>
      <c r="Z667" s="81">
        <f>'II_Inkunabeln+'!BJ667</f>
        <v>0</v>
      </c>
    </row>
    <row r="668" spans="1:27" x14ac:dyDescent="0.25">
      <c r="A668" s="63">
        <f>'II_Inkunabeln+'!A668</f>
        <v>643</v>
      </c>
      <c r="B668" s="63" t="str">
        <f>'II_Inkunabeln+'!B668</f>
        <v>L-1477-315497920</v>
      </c>
      <c r="C668" s="63">
        <f>'II_Inkunabeln+'!C668</f>
        <v>1066967660</v>
      </c>
      <c r="D668" s="84" t="str">
        <f>'II_Inkunabeln+'!D668</f>
        <v>https://portal.dnb.de/opac.htm?method=simpleSearch&amp;cqlMode=true&amp;query=idn%3D1066967660</v>
      </c>
      <c r="E668" s="65" t="str">
        <f>'II_Inkunabeln+'!E668</f>
        <v>II 82,28b</v>
      </c>
      <c r="F668" s="65">
        <f>'II_Inkunabeln+'!H668</f>
        <v>0</v>
      </c>
      <c r="G668" s="93">
        <f>'II_Inkunabeln+'!X668</f>
        <v>0</v>
      </c>
      <c r="H668" s="93">
        <f>'II_Inkunabeln+'!AA668</f>
        <v>0</v>
      </c>
      <c r="I668" s="93">
        <f>'II_Inkunabeln+'!AC668</f>
        <v>0</v>
      </c>
      <c r="J668" s="94"/>
      <c r="K668" s="93">
        <f>'II_Inkunabeln+'!AD668</f>
        <v>0</v>
      </c>
      <c r="L668" s="94"/>
      <c r="M668" s="94"/>
      <c r="N668" s="94"/>
      <c r="O668" s="94"/>
      <c r="P668" s="94"/>
      <c r="Q668" s="94"/>
      <c r="R668" s="94"/>
      <c r="S668" s="94"/>
      <c r="T668" s="94"/>
      <c r="U668" s="94"/>
      <c r="V668" s="94"/>
      <c r="W668" s="94">
        <f>'II_Inkunabeln+'!BA668</f>
        <v>0</v>
      </c>
      <c r="X668" s="108"/>
      <c r="Y668" s="93">
        <f>'II_Inkunabeln+'!BI668</f>
        <v>0</v>
      </c>
      <c r="Z668" s="81">
        <f>'II_Inkunabeln+'!BJ668</f>
        <v>0</v>
      </c>
    </row>
    <row r="669" spans="1:27" x14ac:dyDescent="0.25">
      <c r="A669" s="63">
        <f>'II_Inkunabeln+'!A669</f>
        <v>644</v>
      </c>
      <c r="B669" s="63" t="str">
        <f>'II_Inkunabeln+'!B669</f>
        <v>L-1487-31549770X</v>
      </c>
      <c r="C669" s="63" t="str">
        <f>'II_Inkunabeln+'!C669</f>
        <v>106696744X</v>
      </c>
      <c r="D669" s="84" t="str">
        <f>'II_Inkunabeln+'!D669</f>
        <v>https://portal.dnb.de/opac.htm?method=simpleSearch&amp;cqlMode=true&amp;query=idn%3D106696744X</v>
      </c>
      <c r="E669" s="65" t="str">
        <f>'II_Inkunabeln+'!E669</f>
        <v>II 82,29a</v>
      </c>
      <c r="F669" s="65" t="str">
        <f>'II_Inkunabeln+'!H669</f>
        <v>bis 35 cm</v>
      </c>
      <c r="G669" s="93" t="str">
        <f>'II_Inkunabeln+'!X669</f>
        <v>Pg</v>
      </c>
      <c r="H669" s="93" t="str">
        <f>'II_Inkunabeln+'!AA669</f>
        <v>h/E</v>
      </c>
      <c r="I669" s="93">
        <f>'II_Inkunabeln+'!AC669</f>
        <v>0</v>
      </c>
      <c r="J669" s="94"/>
      <c r="K669" s="93">
        <f>'II_Inkunabeln+'!AD669</f>
        <v>0</v>
      </c>
      <c r="L669" s="94"/>
      <c r="M669" s="94"/>
      <c r="N669" s="94"/>
      <c r="O669" s="94"/>
      <c r="P669" s="94"/>
      <c r="Q669" s="94"/>
      <c r="R669" s="94"/>
      <c r="S669" s="94"/>
      <c r="T669" s="94"/>
      <c r="U669" s="94"/>
      <c r="V669" s="94"/>
      <c r="W669" s="94" t="str">
        <f>'II_Inkunabeln+'!BA669</f>
        <v>n</v>
      </c>
      <c r="X669" s="108"/>
      <c r="Y669" s="93">
        <f>'II_Inkunabeln+'!BI669</f>
        <v>0</v>
      </c>
      <c r="Z669" s="81">
        <f>'II_Inkunabeln+'!BJ669</f>
        <v>0</v>
      </c>
    </row>
    <row r="670" spans="1:27" x14ac:dyDescent="0.25">
      <c r="A670" s="63">
        <f>'II_Inkunabeln+'!A670</f>
        <v>645</v>
      </c>
      <c r="B670" s="63" t="str">
        <f>'II_Inkunabeln+'!B670</f>
        <v>L-1487-315497726</v>
      </c>
      <c r="C670" s="63">
        <f>'II_Inkunabeln+'!C670</f>
        <v>1066967466</v>
      </c>
      <c r="D670" s="84" t="str">
        <f>'II_Inkunabeln+'!D670</f>
        <v>https://portal.dnb.de/opac.htm?method=simpleSearch&amp;cqlMode=true&amp;query=idn%3D1066967466</v>
      </c>
      <c r="E670" s="65" t="str">
        <f>'II_Inkunabeln+'!E670</f>
        <v>II 82,29b</v>
      </c>
      <c r="F670" s="65" t="str">
        <f>'II_Inkunabeln+'!H670</f>
        <v>bis 35 cm</v>
      </c>
      <c r="G670" s="93" t="str">
        <f>'II_Inkunabeln+'!X670</f>
        <v>Pg</v>
      </c>
      <c r="H670" s="93" t="str">
        <f>'II_Inkunabeln+'!AA670</f>
        <v>h/E</v>
      </c>
      <c r="I670" s="93">
        <f>'II_Inkunabeln+'!AC670</f>
        <v>0</v>
      </c>
      <c r="J670" s="94"/>
      <c r="K670" s="93">
        <f>'II_Inkunabeln+'!AD670</f>
        <v>0</v>
      </c>
      <c r="L670" s="94" t="s">
        <v>1633</v>
      </c>
      <c r="M670" s="94"/>
      <c r="N670" s="94"/>
      <c r="O670" s="94"/>
      <c r="P670" s="94"/>
      <c r="Q670" s="94"/>
      <c r="R670" s="94"/>
      <c r="S670" s="94"/>
      <c r="T670" s="94"/>
      <c r="U670" s="94"/>
      <c r="V670" s="94"/>
      <c r="W670" s="94" t="str">
        <f>'II_Inkunabeln+'!BA670</f>
        <v>ja vor</v>
      </c>
      <c r="X670" s="108">
        <v>0.5</v>
      </c>
      <c r="Y670" s="93">
        <f>'II_Inkunabeln+'!BI670</f>
        <v>0</v>
      </c>
      <c r="Z670" s="81">
        <f>'II_Inkunabeln+'!BJ670</f>
        <v>0</v>
      </c>
    </row>
    <row r="671" spans="1:27" x14ac:dyDescent="0.25">
      <c r="A671" s="63">
        <f>'II_Inkunabeln+'!A671</f>
        <v>646</v>
      </c>
      <c r="B671" s="63" t="str">
        <f>'II_Inkunabeln+'!B671</f>
        <v>L-1489-315499508</v>
      </c>
      <c r="C671" s="63">
        <f>'II_Inkunabeln+'!C671</f>
        <v>1066969191</v>
      </c>
      <c r="D671" s="84" t="str">
        <f>'II_Inkunabeln+'!D671</f>
        <v>https://portal.dnb.de/opac.htm?method=simpleSearch&amp;cqlMode=true&amp;query=idn%3D1066969191</v>
      </c>
      <c r="E671" s="65" t="str">
        <f>'II_Inkunabeln+'!E671</f>
        <v>II 82,30a</v>
      </c>
      <c r="F671" s="65" t="str">
        <f>'II_Inkunabeln+'!H671</f>
        <v>bis 25 cm</v>
      </c>
      <c r="G671" s="93" t="str">
        <f>'II_Inkunabeln+'!X671</f>
        <v>HL</v>
      </c>
      <c r="H671" s="93" t="str">
        <f>'II_Inkunabeln+'!AA671</f>
        <v>h/E</v>
      </c>
      <c r="I671" s="93">
        <f>'II_Inkunabeln+'!AC671</f>
        <v>0</v>
      </c>
      <c r="J671" s="94"/>
      <c r="K671" s="93">
        <f>'II_Inkunabeln+'!AD671</f>
        <v>0</v>
      </c>
      <c r="L671" s="94"/>
      <c r="M671" s="94"/>
      <c r="N671" s="94"/>
      <c r="O671" s="94"/>
      <c r="P671" s="94"/>
      <c r="Q671" s="94"/>
      <c r="R671" s="94"/>
      <c r="S671" s="94"/>
      <c r="T671" s="94"/>
      <c r="U671" s="94"/>
      <c r="V671" s="94"/>
      <c r="W671" s="94" t="str">
        <f>'II_Inkunabeln+'!BA671</f>
        <v>n</v>
      </c>
      <c r="X671" s="108"/>
      <c r="Y671" s="93">
        <f>'II_Inkunabeln+'!BI671</f>
        <v>0</v>
      </c>
      <c r="Z671" s="81">
        <f>'II_Inkunabeln+'!BJ671</f>
        <v>0</v>
      </c>
    </row>
    <row r="672" spans="1:27" x14ac:dyDescent="0.25">
      <c r="A672" s="63">
        <f>'II_Inkunabeln+'!A672</f>
        <v>647</v>
      </c>
      <c r="B672" s="63" t="str">
        <f>'II_Inkunabeln+'!B672</f>
        <v>L-1489-315496037</v>
      </c>
      <c r="C672" s="63">
        <f>'II_Inkunabeln+'!C672</f>
        <v>1066965781</v>
      </c>
      <c r="D672" s="84" t="str">
        <f>'II_Inkunabeln+'!D672</f>
        <v>https://portal.dnb.de/opac.htm?method=simpleSearch&amp;cqlMode=true&amp;query=idn%3D1066965781</v>
      </c>
      <c r="E672" s="65" t="str">
        <f>'II_Inkunabeln+'!E672</f>
        <v>II 82,30a (1. angeb. Werk)</v>
      </c>
      <c r="F672" s="65">
        <f>'II_Inkunabeln+'!H672</f>
        <v>0</v>
      </c>
      <c r="G672" s="93">
        <f>'II_Inkunabeln+'!X672</f>
        <v>0</v>
      </c>
      <c r="H672" s="93">
        <f>'II_Inkunabeln+'!AA672</f>
        <v>0</v>
      </c>
      <c r="I672" s="93">
        <f>'II_Inkunabeln+'!AC672</f>
        <v>0</v>
      </c>
      <c r="J672" s="94"/>
      <c r="K672" s="93">
        <f>'II_Inkunabeln+'!AD672</f>
        <v>0</v>
      </c>
      <c r="L672" s="94"/>
      <c r="M672" s="94"/>
      <c r="N672" s="94"/>
      <c r="O672" s="94"/>
      <c r="P672" s="94"/>
      <c r="Q672" s="94"/>
      <c r="R672" s="94"/>
      <c r="S672" s="94"/>
      <c r="T672" s="94"/>
      <c r="U672" s="94"/>
      <c r="V672" s="94"/>
      <c r="W672" s="94">
        <f>'II_Inkunabeln+'!BA672</f>
        <v>0</v>
      </c>
      <c r="X672" s="108"/>
      <c r="Y672" s="93">
        <f>'II_Inkunabeln+'!BI672</f>
        <v>0</v>
      </c>
      <c r="Z672" s="81">
        <f>'II_Inkunabeln+'!BJ672</f>
        <v>0</v>
      </c>
    </row>
    <row r="673" spans="1:27" x14ac:dyDescent="0.25">
      <c r="A673" s="63">
        <f>'II_Inkunabeln+'!A673</f>
        <v>648</v>
      </c>
      <c r="B673" s="63" t="str">
        <f>'II_Inkunabeln+'!B673</f>
        <v>L-1489-315497165</v>
      </c>
      <c r="C673" s="63">
        <f>'II_Inkunabeln+'!C673</f>
        <v>1066966869</v>
      </c>
      <c r="D673" s="84" t="str">
        <f>'II_Inkunabeln+'!D673</f>
        <v>https://portal.dnb.de/opac.htm?method=simpleSearch&amp;cqlMode=true&amp;query=idn%3D1066966869</v>
      </c>
      <c r="E673" s="65" t="str">
        <f>'II_Inkunabeln+'!E673</f>
        <v>II 82,30a (2. angeb. Werk)</v>
      </c>
      <c r="F673" s="65">
        <f>'II_Inkunabeln+'!H673</f>
        <v>0</v>
      </c>
      <c r="G673" s="93">
        <f>'II_Inkunabeln+'!X673</f>
        <v>0</v>
      </c>
      <c r="H673" s="93">
        <f>'II_Inkunabeln+'!AA673</f>
        <v>0</v>
      </c>
      <c r="I673" s="93">
        <f>'II_Inkunabeln+'!AC673</f>
        <v>0</v>
      </c>
      <c r="J673" s="94"/>
      <c r="K673" s="93">
        <f>'II_Inkunabeln+'!AD673</f>
        <v>0</v>
      </c>
      <c r="L673" s="94"/>
      <c r="M673" s="94"/>
      <c r="N673" s="94"/>
      <c r="O673" s="94"/>
      <c r="P673" s="94"/>
      <c r="Q673" s="94"/>
      <c r="R673" s="94"/>
      <c r="S673" s="94"/>
      <c r="T673" s="94"/>
      <c r="U673" s="94"/>
      <c r="V673" s="94"/>
      <c r="W673" s="94">
        <f>'II_Inkunabeln+'!BA673</f>
        <v>0</v>
      </c>
      <c r="X673" s="108"/>
      <c r="Y673" s="93">
        <f>'II_Inkunabeln+'!BI673</f>
        <v>0</v>
      </c>
      <c r="Z673" s="81">
        <f>'II_Inkunabeln+'!BJ673</f>
        <v>0</v>
      </c>
    </row>
    <row r="674" spans="1:27" x14ac:dyDescent="0.25">
      <c r="A674" s="63">
        <f>'II_Inkunabeln+'!A674</f>
        <v>649</v>
      </c>
      <c r="B674" s="63" t="str">
        <f>'II_Inkunabeln+'!B674</f>
        <v>L-1496-315502312</v>
      </c>
      <c r="C674" s="63">
        <f>'II_Inkunabeln+'!C674</f>
        <v>1066971919</v>
      </c>
      <c r="D674" s="84" t="str">
        <f>'II_Inkunabeln+'!D674</f>
        <v>https://portal.dnb.de/opac.htm?method=simpleSearch&amp;cqlMode=true&amp;query=idn%3D1066971919</v>
      </c>
      <c r="E674" s="65" t="str">
        <f>'II_Inkunabeln+'!E674</f>
        <v>II 82,31a</v>
      </c>
      <c r="F674" s="65">
        <f>'II_Inkunabeln+'!H674</f>
        <v>0</v>
      </c>
      <c r="G674" s="93">
        <f>'II_Inkunabeln+'!X674</f>
        <v>0</v>
      </c>
      <c r="H674" s="93">
        <f>'II_Inkunabeln+'!AA674</f>
        <v>0</v>
      </c>
      <c r="I674" s="93">
        <f>'II_Inkunabeln+'!AC674</f>
        <v>0</v>
      </c>
      <c r="J674" s="94"/>
      <c r="K674" s="93">
        <f>'II_Inkunabeln+'!AD674</f>
        <v>0</v>
      </c>
      <c r="L674" s="94"/>
      <c r="M674" s="94"/>
      <c r="N674" s="94"/>
      <c r="O674" s="94"/>
      <c r="P674" s="94"/>
      <c r="Q674" s="94"/>
      <c r="R674" s="94"/>
      <c r="S674" s="94"/>
      <c r="T674" s="94"/>
      <c r="U674" s="94"/>
      <c r="V674" s="94"/>
      <c r="W674" s="94">
        <f>'II_Inkunabeln+'!BA674</f>
        <v>0</v>
      </c>
      <c r="X674" s="108"/>
      <c r="Y674" s="93">
        <f>'II_Inkunabeln+'!BI674</f>
        <v>0</v>
      </c>
      <c r="Z674" s="81">
        <f>'II_Inkunabeln+'!BJ674</f>
        <v>0</v>
      </c>
    </row>
    <row r="675" spans="1:27" x14ac:dyDescent="0.25">
      <c r="A675" s="63">
        <f>'II_Inkunabeln+'!A675</f>
        <v>650</v>
      </c>
      <c r="B675" s="63" t="str">
        <f>'II_Inkunabeln+'!B675</f>
        <v>L-1496-343709120</v>
      </c>
      <c r="C675" s="63">
        <f>'II_Inkunabeln+'!C675</f>
        <v>1066971919</v>
      </c>
      <c r="D675" s="84" t="str">
        <f>'II_Inkunabeln+'!D675</f>
        <v>https://portal.dnb.de/opac.htm?method=simpleSearch&amp;cqlMode=true&amp;query=idn%3D1066971919</v>
      </c>
      <c r="E675" s="65" t="str">
        <f>'II_Inkunabeln+'!E675</f>
        <v>II 82,31a - Fragm.</v>
      </c>
      <c r="F675" s="65">
        <f>'II_Inkunabeln+'!H675</f>
        <v>0</v>
      </c>
      <c r="G675" s="93">
        <f>'II_Inkunabeln+'!X675</f>
        <v>0</v>
      </c>
      <c r="H675" s="93">
        <f>'II_Inkunabeln+'!AA675</f>
        <v>0</v>
      </c>
      <c r="I675" s="93">
        <f>'II_Inkunabeln+'!AC675</f>
        <v>0</v>
      </c>
      <c r="J675" s="94"/>
      <c r="K675" s="93">
        <f>'II_Inkunabeln+'!AD675</f>
        <v>0</v>
      </c>
      <c r="L675" s="94"/>
      <c r="M675" s="94"/>
      <c r="N675" s="94"/>
      <c r="O675" s="94"/>
      <c r="P675" s="94"/>
      <c r="Q675" s="94"/>
      <c r="R675" s="94"/>
      <c r="S675" s="94"/>
      <c r="T675" s="94"/>
      <c r="U675" s="94"/>
      <c r="V675" s="94"/>
      <c r="W675" s="94">
        <f>'II_Inkunabeln+'!BA675</f>
        <v>0</v>
      </c>
      <c r="X675" s="108"/>
      <c r="Y675" s="93">
        <f>'II_Inkunabeln+'!BI675</f>
        <v>0</v>
      </c>
      <c r="Z675" s="81">
        <f>'II_Inkunabeln+'!BJ675</f>
        <v>0</v>
      </c>
    </row>
    <row r="676" spans="1:27" x14ac:dyDescent="0.25">
      <c r="A676" s="63">
        <f>'II_Inkunabeln+'!A676</f>
        <v>651</v>
      </c>
      <c r="B676" s="63" t="str">
        <f>'II_Inkunabeln+'!B676</f>
        <v>L-1491-315502010</v>
      </c>
      <c r="C676" s="63">
        <f>'II_Inkunabeln+'!C676</f>
        <v>1066971633</v>
      </c>
      <c r="D676" s="84" t="str">
        <f>'II_Inkunabeln+'!D676</f>
        <v>https://portal.dnb.de/opac.htm?method=simpleSearch&amp;cqlMode=true&amp;query=idn%3D1066971633</v>
      </c>
      <c r="E676" s="65" t="str">
        <f>'II_Inkunabeln+'!E676</f>
        <v>II 82,32a</v>
      </c>
      <c r="F676" s="65" t="str">
        <f>'II_Inkunabeln+'!H676</f>
        <v>bis 35 cm</v>
      </c>
      <c r="G676" s="93" t="str">
        <f>'II_Inkunabeln+'!X676</f>
        <v>HL</v>
      </c>
      <c r="H676" s="93" t="str">
        <f>'II_Inkunabeln+'!AA676</f>
        <v>f/V</v>
      </c>
      <c r="I676" s="93">
        <f>'II_Inkunabeln+'!AC676</f>
        <v>0</v>
      </c>
      <c r="J676" s="94"/>
      <c r="K676" s="93">
        <f>'II_Inkunabeln+'!AD676</f>
        <v>0</v>
      </c>
      <c r="L676" s="94"/>
      <c r="M676" s="94"/>
      <c r="N676" s="94"/>
      <c r="O676" s="94"/>
      <c r="P676" s="94"/>
      <c r="Q676" s="94"/>
      <c r="R676" s="94"/>
      <c r="S676" s="94"/>
      <c r="T676" s="94"/>
      <c r="U676" s="94"/>
      <c r="V676" s="94"/>
      <c r="W676" s="94" t="str">
        <f>'II_Inkunabeln+'!BA676</f>
        <v>n</v>
      </c>
      <c r="X676" s="108"/>
      <c r="Y676" s="93">
        <f>'II_Inkunabeln+'!BI676</f>
        <v>0</v>
      </c>
      <c r="Z676" s="81">
        <f>'II_Inkunabeln+'!BJ676</f>
        <v>0</v>
      </c>
    </row>
    <row r="677" spans="1:27" x14ac:dyDescent="0.25">
      <c r="A677" s="63">
        <f>'II_Inkunabeln+'!A677</f>
        <v>652</v>
      </c>
      <c r="B677" s="63" t="str">
        <f>'II_Inkunabeln+'!B677</f>
        <v>L-1490-315500824</v>
      </c>
      <c r="C677" s="63">
        <f>'II_Inkunabeln+'!C677</f>
        <v>1066970467</v>
      </c>
      <c r="D677" s="84" t="str">
        <f>'II_Inkunabeln+'!D677</f>
        <v>https://portal.dnb.de/opac.htm?method=simpleSearch&amp;cqlMode=true&amp;query=idn%3D1066970467</v>
      </c>
      <c r="E677" s="65" t="str">
        <f>'II_Inkunabeln+'!E677</f>
        <v>II 82,33b</v>
      </c>
      <c r="F677" s="65" t="str">
        <f>'II_Inkunabeln+'!H677</f>
        <v>bis 35 cm</v>
      </c>
      <c r="G677" s="93" t="str">
        <f>'II_Inkunabeln+'!X677</f>
        <v>Pg</v>
      </c>
      <c r="H677" s="93" t="str">
        <f>'II_Inkunabeln+'!AA677</f>
        <v>h/E</v>
      </c>
      <c r="I677" s="93">
        <f>'II_Inkunabeln+'!AC677</f>
        <v>0</v>
      </c>
      <c r="J677" s="94"/>
      <c r="K677" s="93">
        <f>'II_Inkunabeln+'!AD677</f>
        <v>0</v>
      </c>
      <c r="L677" s="94"/>
      <c r="M677" s="94"/>
      <c r="N677" s="94"/>
      <c r="O677" s="94"/>
      <c r="P677" s="94"/>
      <c r="Q677" s="94"/>
      <c r="R677" s="94"/>
      <c r="S677" s="94"/>
      <c r="T677" s="94"/>
      <c r="U677" s="94"/>
      <c r="V677" s="94"/>
      <c r="W677" s="94" t="str">
        <f>'II_Inkunabeln+'!BA677</f>
        <v>n</v>
      </c>
      <c r="X677" s="108"/>
      <c r="Y677" s="93">
        <f>'II_Inkunabeln+'!BI677</f>
        <v>0</v>
      </c>
      <c r="Z677" s="81">
        <f>'II_Inkunabeln+'!BJ677</f>
        <v>0</v>
      </c>
    </row>
    <row r="678" spans="1:27" x14ac:dyDescent="0.25">
      <c r="A678" s="63">
        <f>'II_Inkunabeln+'!A678</f>
        <v>653</v>
      </c>
      <c r="B678" s="63" t="str">
        <f>'II_Inkunabeln+'!B678</f>
        <v>L-1495-343709317</v>
      </c>
      <c r="C678" s="63">
        <f>'II_Inkunabeln+'!C678</f>
        <v>1072379643</v>
      </c>
      <c r="D678" s="84" t="str">
        <f>'II_Inkunabeln+'!D678</f>
        <v>https://portal.dnb.de/opac.htm?method=simpleSearch&amp;cqlMode=true&amp;query=idn%3D1072379643</v>
      </c>
      <c r="E678" s="65" t="str">
        <f>'II_Inkunabeln+'!E678</f>
        <v>II 82,33b (angebunden)</v>
      </c>
      <c r="F678" s="65">
        <f>'II_Inkunabeln+'!H678</f>
        <v>0</v>
      </c>
      <c r="G678" s="93">
        <f>'II_Inkunabeln+'!X678</f>
        <v>0</v>
      </c>
      <c r="H678" s="93">
        <f>'II_Inkunabeln+'!AA678</f>
        <v>0</v>
      </c>
      <c r="I678" s="93">
        <f>'II_Inkunabeln+'!AC678</f>
        <v>0</v>
      </c>
      <c r="J678" s="94"/>
      <c r="K678" s="93">
        <f>'II_Inkunabeln+'!AD678</f>
        <v>0</v>
      </c>
      <c r="L678" s="94"/>
      <c r="M678" s="94"/>
      <c r="N678" s="94"/>
      <c r="O678" s="94"/>
      <c r="P678" s="94"/>
      <c r="Q678" s="94"/>
      <c r="R678" s="94"/>
      <c r="S678" s="94"/>
      <c r="T678" s="94"/>
      <c r="U678" s="94"/>
      <c r="V678" s="94"/>
      <c r="W678" s="94">
        <f>'II_Inkunabeln+'!BA678</f>
        <v>0</v>
      </c>
      <c r="X678" s="108"/>
      <c r="Y678" s="93">
        <f>'II_Inkunabeln+'!BI678</f>
        <v>0</v>
      </c>
      <c r="Z678" s="81">
        <f>'II_Inkunabeln+'!BJ678</f>
        <v>0</v>
      </c>
    </row>
    <row r="679" spans="1:27" x14ac:dyDescent="0.25">
      <c r="A679" s="63">
        <f>'II_Inkunabeln+'!A679</f>
        <v>654</v>
      </c>
      <c r="B679" s="63" t="str">
        <f>'II_Inkunabeln+'!B679</f>
        <v>L-1496-327017562</v>
      </c>
      <c r="C679" s="63">
        <f>'II_Inkunabeln+'!C679</f>
        <v>1072184923</v>
      </c>
      <c r="D679" s="84" t="str">
        <f>'II_Inkunabeln+'!D679</f>
        <v>https://portal.dnb.de/opac.htm?method=simpleSearch&amp;cqlMode=true&amp;query=idn%3D1072184923</v>
      </c>
      <c r="E679" s="65" t="str">
        <f>'II_Inkunabeln+'!E679</f>
        <v>II 82,34a</v>
      </c>
      <c r="F679" s="65" t="str">
        <f>'II_Inkunabeln+'!H679</f>
        <v>bis 35 cm</v>
      </c>
      <c r="G679" s="93" t="str">
        <f>'II_Inkunabeln+'!X679</f>
        <v>HL</v>
      </c>
      <c r="H679" s="93" t="str">
        <f>'II_Inkunabeln+'!AA679</f>
        <v>h/E</v>
      </c>
      <c r="I679" s="93">
        <f>'II_Inkunabeln+'!AC679</f>
        <v>0</v>
      </c>
      <c r="J679" s="94"/>
      <c r="K679" s="93">
        <f>'II_Inkunabeln+'!AD679</f>
        <v>0</v>
      </c>
      <c r="L679" s="94"/>
      <c r="M679" s="94"/>
      <c r="N679" s="94"/>
      <c r="O679" s="94"/>
      <c r="P679" s="94"/>
      <c r="Q679" s="94"/>
      <c r="R679" s="94"/>
      <c r="S679" s="94"/>
      <c r="T679" s="94"/>
      <c r="U679" s="94"/>
      <c r="V679" s="94"/>
      <c r="W679" s="94" t="str">
        <f>'II_Inkunabeln+'!BA679</f>
        <v>n</v>
      </c>
      <c r="X679" s="108"/>
      <c r="Y679" s="93">
        <f>'II_Inkunabeln+'!BI679</f>
        <v>0</v>
      </c>
      <c r="Z679" s="81">
        <f>'II_Inkunabeln+'!BJ679</f>
        <v>0</v>
      </c>
    </row>
    <row r="680" spans="1:27" x14ac:dyDescent="0.25">
      <c r="A680" s="63">
        <f>'II_Inkunabeln+'!A680</f>
        <v>655</v>
      </c>
      <c r="B680" s="63" t="str">
        <f>'II_Inkunabeln+'!B680</f>
        <v>L-1497-315498048</v>
      </c>
      <c r="C680" s="63">
        <f>'II_Inkunabeln+'!C680</f>
        <v>1066967776</v>
      </c>
      <c r="D680" s="84" t="str">
        <f>'II_Inkunabeln+'!D680</f>
        <v>https://portal.dnb.de/opac.htm?method=simpleSearch&amp;cqlMode=true&amp;query=idn%3D1066967776</v>
      </c>
      <c r="E680" s="65" t="str">
        <f>'II_Inkunabeln+'!E680</f>
        <v>II 82,34c</v>
      </c>
      <c r="F680" s="65" t="str">
        <f>'II_Inkunabeln+'!H680</f>
        <v>bis 35 cm</v>
      </c>
      <c r="G680" s="93" t="str">
        <f>'II_Inkunabeln+'!X680</f>
        <v>HL</v>
      </c>
      <c r="H680" s="93" t="str">
        <f>'II_Inkunabeln+'!AA680</f>
        <v>h/E</v>
      </c>
      <c r="I680" s="93">
        <f>'II_Inkunabeln+'!AC680</f>
        <v>0</v>
      </c>
      <c r="J680" s="94" t="s">
        <v>1633</v>
      </c>
      <c r="K680" s="93">
        <f>'II_Inkunabeln+'!AD680</f>
        <v>0</v>
      </c>
      <c r="L680" s="94"/>
      <c r="M680" s="94"/>
      <c r="N680" s="94" t="s">
        <v>1767</v>
      </c>
      <c r="O680" s="94"/>
      <c r="P680" s="94" t="s">
        <v>1633</v>
      </c>
      <c r="Q680" s="94"/>
      <c r="R680" s="94"/>
      <c r="S680" s="94"/>
      <c r="T680" s="94"/>
      <c r="U680" s="94"/>
      <c r="V680" s="94"/>
      <c r="W680" s="94" t="str">
        <f>'II_Inkunabeln+'!BA680</f>
        <v>ja vor</v>
      </c>
      <c r="X680" s="108">
        <v>0.5</v>
      </c>
      <c r="Y680" s="93">
        <f>'II_Inkunabeln+'!BI680</f>
        <v>0</v>
      </c>
      <c r="Z680" s="81">
        <f>'II_Inkunabeln+'!BJ680</f>
        <v>0</v>
      </c>
      <c r="AA680" s="81" t="s">
        <v>1973</v>
      </c>
    </row>
    <row r="681" spans="1:27" x14ac:dyDescent="0.25">
      <c r="A681" s="63">
        <f>'II_Inkunabeln+'!A681</f>
        <v>656</v>
      </c>
      <c r="B681" s="63" t="str">
        <f>'II_Inkunabeln+'!B681</f>
        <v>L-1491-315501189</v>
      </c>
      <c r="C681" s="63">
        <f>'II_Inkunabeln+'!C681</f>
        <v>1066970823</v>
      </c>
      <c r="D681" s="84" t="str">
        <f>'II_Inkunabeln+'!D681</f>
        <v>https://portal.dnb.de/opac.htm?method=simpleSearch&amp;cqlMode=true&amp;query=idn%3D1066970823</v>
      </c>
      <c r="E681" s="65" t="str">
        <f>'II_Inkunabeln+'!E681</f>
        <v>II 82,34d</v>
      </c>
      <c r="F681" s="65" t="str">
        <f>'II_Inkunabeln+'!H681</f>
        <v>bis 35 cm</v>
      </c>
      <c r="G681" s="93" t="str">
        <f>'II_Inkunabeln+'!X681</f>
        <v>L</v>
      </c>
      <c r="H681" s="93" t="str">
        <f>'II_Inkunabeln+'!AA681</f>
        <v>f/V</v>
      </c>
      <c r="I681" s="93">
        <f>'II_Inkunabeln+'!AC681</f>
        <v>0</v>
      </c>
      <c r="J681" s="94"/>
      <c r="K681" s="93">
        <f>'II_Inkunabeln+'!AD681</f>
        <v>0</v>
      </c>
      <c r="L681" s="94"/>
      <c r="M681" s="94"/>
      <c r="N681" s="94"/>
      <c r="O681" s="94"/>
      <c r="P681" s="94"/>
      <c r="Q681" s="94"/>
      <c r="R681" s="94"/>
      <c r="S681" s="94"/>
      <c r="T681" s="94"/>
      <c r="U681" s="94"/>
      <c r="V681" s="94"/>
      <c r="W681" s="94" t="str">
        <f>'II_Inkunabeln+'!BA681</f>
        <v>n</v>
      </c>
      <c r="X681" s="108"/>
      <c r="Y681" s="93">
        <f>'II_Inkunabeln+'!BI681</f>
        <v>0</v>
      </c>
      <c r="Z681" s="81">
        <f>'II_Inkunabeln+'!BJ681</f>
        <v>0</v>
      </c>
    </row>
    <row r="682" spans="1:27" x14ac:dyDescent="0.25">
      <c r="A682" s="63">
        <f>'II_Inkunabeln+'!A682</f>
        <v>657</v>
      </c>
      <c r="B682" s="63" t="str">
        <f>'II_Inkunabeln+'!B682</f>
        <v>L-1499-315500336</v>
      </c>
      <c r="C682" s="63" t="str">
        <f>'II_Inkunabeln+'!C682</f>
        <v>106696999X</v>
      </c>
      <c r="D682" s="84" t="str">
        <f>'II_Inkunabeln+'!D682</f>
        <v>https://portal.dnb.de/opac.htm?method=simpleSearch&amp;cqlMode=true&amp;query=idn%3D106696999X</v>
      </c>
      <c r="E682" s="65" t="str">
        <f>'II_Inkunabeln+'!E682</f>
        <v>II 82,35a</v>
      </c>
      <c r="F682" s="65">
        <f>'II_Inkunabeln+'!H682</f>
        <v>0</v>
      </c>
      <c r="G682" s="93">
        <f>'II_Inkunabeln+'!X682</f>
        <v>0</v>
      </c>
      <c r="H682" s="93">
        <f>'II_Inkunabeln+'!AA682</f>
        <v>0</v>
      </c>
      <c r="I682" s="93">
        <f>'II_Inkunabeln+'!AC682</f>
        <v>0</v>
      </c>
      <c r="J682" s="94"/>
      <c r="K682" s="93">
        <f>'II_Inkunabeln+'!AD682</f>
        <v>0</v>
      </c>
      <c r="L682" s="94"/>
      <c r="M682" s="94"/>
      <c r="N682" s="94"/>
      <c r="O682" s="94"/>
      <c r="P682" s="94"/>
      <c r="Q682" s="94"/>
      <c r="R682" s="94"/>
      <c r="S682" s="94"/>
      <c r="T682" s="94"/>
      <c r="U682" s="94"/>
      <c r="V682" s="94"/>
      <c r="W682" s="94">
        <f>'II_Inkunabeln+'!BA682</f>
        <v>0</v>
      </c>
      <c r="X682" s="108"/>
      <c r="Y682" s="93">
        <f>'II_Inkunabeln+'!BI682</f>
        <v>0</v>
      </c>
      <c r="Z682" s="81">
        <f>'II_Inkunabeln+'!BJ682</f>
        <v>0</v>
      </c>
    </row>
    <row r="683" spans="1:27" x14ac:dyDescent="0.25">
      <c r="A683" s="63">
        <f>'II_Inkunabeln+'!A683</f>
        <v>658</v>
      </c>
      <c r="B683" s="63" t="str">
        <f>'II_Inkunabeln+'!B683</f>
        <v>L-1495-327679948</v>
      </c>
      <c r="C683" s="63">
        <f>'II_Inkunabeln+'!C683</f>
        <v>1072379988</v>
      </c>
      <c r="D683" s="84" t="str">
        <f>'II_Inkunabeln+'!D683</f>
        <v>https://portal.dnb.de/opac.htm?method=simpleSearch&amp;cqlMode=true&amp;query=idn%3D1072379988</v>
      </c>
      <c r="E683" s="65" t="str">
        <f>[1]Tabelle1!A6</f>
        <v>II 82,36a</v>
      </c>
      <c r="F683" s="65" t="str">
        <f>'II_Inkunabeln+'!H683</f>
        <v>bis 35 cm</v>
      </c>
      <c r="G683" s="93" t="str">
        <f>'II_Inkunabeln+'!X683</f>
        <v>HD</v>
      </c>
      <c r="H683" s="93" t="str">
        <f>'II_Inkunabeln+'!AA683</f>
        <v>f</v>
      </c>
      <c r="I683" s="93">
        <f>'II_Inkunabeln+'!AC683</f>
        <v>0</v>
      </c>
      <c r="J683" s="94"/>
      <c r="K683" s="93">
        <f>'II_Inkunabeln+'!AD683</f>
        <v>0</v>
      </c>
      <c r="L683" s="94"/>
      <c r="M683" s="94"/>
      <c r="N683" s="94"/>
      <c r="O683" s="94"/>
      <c r="P683" s="94"/>
      <c r="Q683" s="94"/>
      <c r="R683" s="94"/>
      <c r="S683" s="94"/>
      <c r="T683" s="94"/>
      <c r="U683" s="94"/>
      <c r="V683" s="94"/>
      <c r="W683" s="94" t="str">
        <f>'II_Inkunabeln+'!BA683</f>
        <v>n</v>
      </c>
      <c r="X683" s="108"/>
      <c r="Y683" s="93">
        <f>'II_Inkunabeln+'!BI683</f>
        <v>0</v>
      </c>
      <c r="Z683" s="81" t="str">
        <f>'II_Inkunabeln+'!BJ683</f>
        <v>Erfurter Einband, leider überarbeitet</v>
      </c>
    </row>
    <row r="684" spans="1:27" x14ac:dyDescent="0.25">
      <c r="A684" s="63">
        <f>'II_Inkunabeln+'!A684</f>
        <v>659</v>
      </c>
      <c r="B684" s="63" t="str">
        <f>'II_Inkunabeln+'!B684</f>
        <v>L-1496-315501375</v>
      </c>
      <c r="C684" s="63">
        <f>'II_Inkunabeln+'!C684</f>
        <v>1066971013</v>
      </c>
      <c r="D684" s="84" t="str">
        <f>'II_Inkunabeln+'!D684</f>
        <v>https://portal.dnb.de/opac.htm?method=simpleSearch&amp;cqlMode=true&amp;query=idn%3D1066971013</v>
      </c>
      <c r="E684" s="65" t="str">
        <f>'II_Inkunabeln+'!E684</f>
        <v>II 82,36a [angebunden]</v>
      </c>
      <c r="F684" s="65">
        <f>'II_Inkunabeln+'!H684</f>
        <v>0</v>
      </c>
      <c r="G684" s="93">
        <f>'II_Inkunabeln+'!X684</f>
        <v>0</v>
      </c>
      <c r="H684" s="93">
        <f>'II_Inkunabeln+'!AA684</f>
        <v>0</v>
      </c>
      <c r="I684" s="93">
        <f>'II_Inkunabeln+'!AC684</f>
        <v>0</v>
      </c>
      <c r="J684" s="94"/>
      <c r="K684" s="93">
        <f>'II_Inkunabeln+'!AD684</f>
        <v>0</v>
      </c>
      <c r="L684" s="94"/>
      <c r="M684" s="94"/>
      <c r="N684" s="94"/>
      <c r="O684" s="94"/>
      <c r="P684" s="94"/>
      <c r="Q684" s="94"/>
      <c r="R684" s="94"/>
      <c r="S684" s="94"/>
      <c r="T684" s="94"/>
      <c r="U684" s="94"/>
      <c r="V684" s="94"/>
      <c r="W684" s="94">
        <f>'II_Inkunabeln+'!BA684</f>
        <v>0</v>
      </c>
      <c r="X684" s="108"/>
      <c r="Y684" s="93">
        <f>'II_Inkunabeln+'!BI684</f>
        <v>0</v>
      </c>
      <c r="Z684" s="81">
        <f>'II_Inkunabeln+'!BJ684</f>
        <v>0</v>
      </c>
    </row>
    <row r="685" spans="1:27" x14ac:dyDescent="0.25">
      <c r="A685" s="63">
        <f>'II_Inkunabeln+'!A685</f>
        <v>660</v>
      </c>
      <c r="B685" s="63" t="str">
        <f>'II_Inkunabeln+'!B685</f>
        <v>L-1496-315497521</v>
      </c>
      <c r="C685" s="63">
        <f>'II_Inkunabeln+'!C685</f>
        <v>1066967261</v>
      </c>
      <c r="D685" s="84" t="str">
        <f>'II_Inkunabeln+'!D685</f>
        <v>https://portal.dnb.de/opac.htm?method=simpleSearch&amp;cqlMode=true&amp;query=idn%3D1066967261</v>
      </c>
      <c r="E685" s="65" t="str">
        <f>'II_Inkunabeln+'!E685</f>
        <v>II 82,36b</v>
      </c>
      <c r="F685" s="65" t="str">
        <f>'II_Inkunabeln+'!H685</f>
        <v>bis 25 cm</v>
      </c>
      <c r="G685" s="93" t="str">
        <f>'II_Inkunabeln+'!X685</f>
        <v>HD</v>
      </c>
      <c r="H685" s="93" t="str">
        <f>'II_Inkunabeln+'!AA685</f>
        <v>f</v>
      </c>
      <c r="I685" s="93">
        <f>'II_Inkunabeln+'!AC685</f>
        <v>0</v>
      </c>
      <c r="J685" s="94"/>
      <c r="K685" s="93">
        <f>'II_Inkunabeln+'!AD685</f>
        <v>0</v>
      </c>
      <c r="L685" s="94"/>
      <c r="M685" s="94"/>
      <c r="N685" s="94"/>
      <c r="O685" s="94"/>
      <c r="P685" s="94"/>
      <c r="Q685" s="94"/>
      <c r="R685" s="94"/>
      <c r="S685" s="94"/>
      <c r="T685" s="94"/>
      <c r="U685" s="94"/>
      <c r="V685" s="94"/>
      <c r="W685" s="94" t="str">
        <f>'II_Inkunabeln+'!BA685</f>
        <v>n</v>
      </c>
      <c r="X685" s="108"/>
      <c r="Y685" s="93">
        <f>'II_Inkunabeln+'!BI685</f>
        <v>0</v>
      </c>
      <c r="Z685" s="81" t="str">
        <f>'II_Inkunabeln+'!BJ685</f>
        <v>beiliegende Makulatur/Einbandreste besser versorgen, Gefahr des Verlorengehens</v>
      </c>
    </row>
    <row r="686" spans="1:27" x14ac:dyDescent="0.25">
      <c r="A686" s="63">
        <f>'II_Inkunabeln+'!A686</f>
        <v>661</v>
      </c>
      <c r="B686" s="63" t="str">
        <f>'II_Inkunabeln+'!B686</f>
        <v>L-1499-327680911</v>
      </c>
      <c r="C686" s="63">
        <f>'II_Inkunabeln+'!C686</f>
        <v>1072381877</v>
      </c>
      <c r="D686" s="84" t="str">
        <f>'II_Inkunabeln+'!D686</f>
        <v>https://portal.dnb.de/opac.htm?method=simpleSearch&amp;cqlMode=true&amp;query=idn%3D1072381877</v>
      </c>
      <c r="E686" s="65" t="str">
        <f>'II_Inkunabeln+'!E686</f>
        <v>II 82,36c</v>
      </c>
      <c r="F686" s="65" t="str">
        <f>'II_Inkunabeln+'!H686</f>
        <v>bis 35 cm</v>
      </c>
      <c r="G686" s="93" t="str">
        <f>'II_Inkunabeln+'!X686</f>
        <v>HL</v>
      </c>
      <c r="H686" s="93" t="str">
        <f>'II_Inkunabeln+'!AA686</f>
        <v>h/E</v>
      </c>
      <c r="I686" s="93">
        <f>'II_Inkunabeln+'!AC686</f>
        <v>0</v>
      </c>
      <c r="J686" s="94"/>
      <c r="K686" s="93">
        <f>'II_Inkunabeln+'!AD686</f>
        <v>0</v>
      </c>
      <c r="L686" s="94"/>
      <c r="M686" s="94"/>
      <c r="N686" s="94"/>
      <c r="O686" s="94"/>
      <c r="P686" s="94"/>
      <c r="Q686" s="94"/>
      <c r="R686" s="94"/>
      <c r="S686" s="94"/>
      <c r="T686" s="94"/>
      <c r="U686" s="94"/>
      <c r="V686" s="94"/>
      <c r="W686" s="94" t="str">
        <f>'II_Inkunabeln+'!BA686</f>
        <v>n</v>
      </c>
      <c r="X686" s="108"/>
      <c r="Y686" s="93">
        <f>'II_Inkunabeln+'!BI686</f>
        <v>0</v>
      </c>
      <c r="Z686" s="81">
        <f>'II_Inkunabeln+'!BJ686</f>
        <v>0</v>
      </c>
    </row>
    <row r="687" spans="1:27" x14ac:dyDescent="0.25">
      <c r="A687" s="63">
        <f>'II_Inkunabeln+'!A687</f>
        <v>662</v>
      </c>
      <c r="B687" s="63" t="str">
        <f>'II_Inkunabeln+'!B687</f>
        <v>L-1497-31549798X</v>
      </c>
      <c r="C687" s="63">
        <f>'II_Inkunabeln+'!C687</f>
        <v>1066967725</v>
      </c>
      <c r="D687" s="84" t="str">
        <f>'II_Inkunabeln+'!D687</f>
        <v>https://portal.dnb.de/opac.htm?method=simpleSearch&amp;cqlMode=true&amp;query=idn%3D1066967725</v>
      </c>
      <c r="E687" s="65" t="str">
        <f>'II_Inkunabeln+'!E687</f>
        <v>II 82,37b</v>
      </c>
      <c r="F687" s="65" t="str">
        <f>'II_Inkunabeln+'!H687</f>
        <v>bis 35 cm</v>
      </c>
      <c r="G687" s="93" t="str">
        <f>'II_Inkunabeln+'!X687</f>
        <v>HL</v>
      </c>
      <c r="H687" s="93" t="str">
        <f>'II_Inkunabeln+'!AA687</f>
        <v>h/E</v>
      </c>
      <c r="I687" s="93">
        <f>'II_Inkunabeln+'!AC687</f>
        <v>0</v>
      </c>
      <c r="J687" s="94"/>
      <c r="K687" s="93">
        <f>'II_Inkunabeln+'!AD687</f>
        <v>0</v>
      </c>
      <c r="L687" s="94"/>
      <c r="M687" s="94"/>
      <c r="N687" s="94"/>
      <c r="O687" s="94"/>
      <c r="P687" s="94"/>
      <c r="Q687" s="94"/>
      <c r="R687" s="94"/>
      <c r="S687" s="94"/>
      <c r="T687" s="94"/>
      <c r="U687" s="94"/>
      <c r="V687" s="94"/>
      <c r="W687" s="94" t="str">
        <f>'II_Inkunabeln+'!BA687</f>
        <v>n</v>
      </c>
      <c r="X687" s="108"/>
      <c r="Y687" s="93">
        <f>'II_Inkunabeln+'!BI687</f>
        <v>0</v>
      </c>
      <c r="Z687" s="81" t="str">
        <f>'II_Inkunabeln+'!BJ687</f>
        <v>Schaden ist stabil genug</v>
      </c>
    </row>
    <row r="688" spans="1:27" x14ac:dyDescent="0.25">
      <c r="A688" s="63">
        <f>'II_Inkunabeln+'!A688</f>
        <v>663</v>
      </c>
      <c r="B688" s="63" t="str">
        <f>'II_Inkunabeln+'!B688</f>
        <v>L-1498-315502495</v>
      </c>
      <c r="C688" s="63">
        <f>'II_Inkunabeln+'!C688</f>
        <v>1066972079</v>
      </c>
      <c r="D688" s="84" t="str">
        <f>'II_Inkunabeln+'!D688</f>
        <v>https://portal.dnb.de/opac.htm?method=simpleSearch&amp;cqlMode=true&amp;query=idn%3D1066972079</v>
      </c>
      <c r="E688" s="65" t="str">
        <f>'II_Inkunabeln+'!E688</f>
        <v>II 82,38a</v>
      </c>
      <c r="F688" s="65">
        <f>'II_Inkunabeln+'!H688</f>
        <v>0</v>
      </c>
      <c r="G688" s="93">
        <f>'II_Inkunabeln+'!X688</f>
        <v>0</v>
      </c>
      <c r="H688" s="93">
        <f>'II_Inkunabeln+'!AA688</f>
        <v>0</v>
      </c>
      <c r="I688" s="93">
        <f>'II_Inkunabeln+'!AC688</f>
        <v>0</v>
      </c>
      <c r="J688" s="94"/>
      <c r="K688" s="93">
        <f>'II_Inkunabeln+'!AD688</f>
        <v>0</v>
      </c>
      <c r="L688" s="94"/>
      <c r="M688" s="94"/>
      <c r="N688" s="94"/>
      <c r="O688" s="94"/>
      <c r="P688" s="94"/>
      <c r="Q688" s="94"/>
      <c r="R688" s="94"/>
      <c r="S688" s="94"/>
      <c r="T688" s="94"/>
      <c r="U688" s="94"/>
      <c r="V688" s="94"/>
      <c r="W688" s="94">
        <f>'II_Inkunabeln+'!BA688</f>
        <v>0</v>
      </c>
      <c r="X688" s="108"/>
      <c r="Y688" s="93">
        <f>'II_Inkunabeln+'!BI688</f>
        <v>0</v>
      </c>
      <c r="Z688" s="81">
        <f>'II_Inkunabeln+'!BJ688</f>
        <v>0</v>
      </c>
    </row>
    <row r="689" spans="1:27" x14ac:dyDescent="0.25">
      <c r="A689" s="63">
        <f>'II_Inkunabeln+'!A689</f>
        <v>664</v>
      </c>
      <c r="B689" s="63" t="str">
        <f>'II_Inkunabeln+'!B689</f>
        <v>L-1497-315499680</v>
      </c>
      <c r="C689" s="63">
        <f>'II_Inkunabeln+'!C689</f>
        <v>1066969345</v>
      </c>
      <c r="D689" s="84" t="str">
        <f>'II_Inkunabeln+'!D689</f>
        <v>https://portal.dnb.de/opac.htm?method=simpleSearch&amp;cqlMode=true&amp;query=idn%3D1066969345</v>
      </c>
      <c r="E689" s="65" t="str">
        <f>'II_Inkunabeln+'!E689</f>
        <v>II 82,38b</v>
      </c>
      <c r="F689" s="65" t="str">
        <f>'II_Inkunabeln+'!H689</f>
        <v>bis 35 cm</v>
      </c>
      <c r="G689" s="93" t="str">
        <f>'II_Inkunabeln+'!X689</f>
        <v>HD</v>
      </c>
      <c r="H689" s="93" t="str">
        <f>'II_Inkunabeln+'!AA689</f>
        <v>f/V</v>
      </c>
      <c r="I689" s="93">
        <f>'II_Inkunabeln+'!AC689</f>
        <v>0</v>
      </c>
      <c r="J689" s="94"/>
      <c r="K689" s="93">
        <f>'II_Inkunabeln+'!AD689</f>
        <v>0</v>
      </c>
      <c r="L689" s="94"/>
      <c r="M689" s="94"/>
      <c r="N689" s="94"/>
      <c r="O689" s="94"/>
      <c r="P689" s="94"/>
      <c r="Q689" s="94"/>
      <c r="R689" s="94"/>
      <c r="S689" s="94"/>
      <c r="T689" s="94"/>
      <c r="U689" s="94"/>
      <c r="V689" s="94"/>
      <c r="W689" s="94" t="str">
        <f>'II_Inkunabeln+'!BA689</f>
        <v>n</v>
      </c>
      <c r="X689" s="108"/>
      <c r="Y689" s="93">
        <f>'II_Inkunabeln+'!BI689</f>
        <v>0</v>
      </c>
      <c r="Z689" s="81">
        <f>'II_Inkunabeln+'!BJ689</f>
        <v>0</v>
      </c>
    </row>
    <row r="690" spans="1:27" x14ac:dyDescent="0.25">
      <c r="A690" s="63">
        <f>'II_Inkunabeln+'!A690</f>
        <v>665</v>
      </c>
      <c r="B690" s="63" t="str">
        <f>'II_Inkunabeln+'!B690</f>
        <v>L-1497-315765119</v>
      </c>
      <c r="C690" s="63" t="str">
        <f>'II_Inkunabeln+'!C690</f>
        <v>106707564X</v>
      </c>
      <c r="D690" s="84" t="str">
        <f>'II_Inkunabeln+'!D690</f>
        <v>https://portal.dnb.de/opac.htm?method=simpleSearch&amp;cqlMode=true&amp;query=idn%3D106707564X</v>
      </c>
      <c r="E690" s="65" t="str">
        <f>'II_Inkunabeln+'!E690</f>
        <v>II 82,39a</v>
      </c>
      <c r="F690" s="65" t="str">
        <f>'II_Inkunabeln+'!H690</f>
        <v>bis 35 cm</v>
      </c>
      <c r="G690" s="93" t="str">
        <f>'II_Inkunabeln+'!X690</f>
        <v>L</v>
      </c>
      <c r="H690" s="93" t="str">
        <f>'II_Inkunabeln+'!AA690</f>
        <v>f/V</v>
      </c>
      <c r="I690" s="93">
        <f>'II_Inkunabeln+'!AC690</f>
        <v>0</v>
      </c>
      <c r="J690" s="94"/>
      <c r="K690" s="93">
        <f>'II_Inkunabeln+'!AD690</f>
        <v>0</v>
      </c>
      <c r="L690" s="94"/>
      <c r="M690" s="94"/>
      <c r="N690" s="94"/>
      <c r="O690" s="94"/>
      <c r="P690" s="94"/>
      <c r="Q690" s="94"/>
      <c r="R690" s="94"/>
      <c r="S690" s="94"/>
      <c r="T690" s="94"/>
      <c r="U690" s="94"/>
      <c r="V690" s="94"/>
      <c r="W690" s="94" t="str">
        <f>'II_Inkunabeln+'!BA690</f>
        <v>n</v>
      </c>
      <c r="X690" s="108"/>
      <c r="Y690" s="93">
        <f>'II_Inkunabeln+'!BI690</f>
        <v>0</v>
      </c>
      <c r="Z690" s="81">
        <f>'II_Inkunabeln+'!BJ690</f>
        <v>0</v>
      </c>
    </row>
    <row r="691" spans="1:27" x14ac:dyDescent="0.25">
      <c r="A691" s="63">
        <f>'II_Inkunabeln+'!A691</f>
        <v>666</v>
      </c>
      <c r="B691" s="63" t="str">
        <f>'II_Inkunabeln+'!B691</f>
        <v>L-1500-327681209</v>
      </c>
      <c r="C691" s="63">
        <f>'II_Inkunabeln+'!C691</f>
        <v>1072382318</v>
      </c>
      <c r="D691" s="84" t="str">
        <f>'II_Inkunabeln+'!D691</f>
        <v>https://portal.dnb.de/opac.htm?method=simpleSearch&amp;cqlMode=true&amp;query=idn%3D1072382318</v>
      </c>
      <c r="E691" s="65" t="str">
        <f>'II_Inkunabeln+'!E691</f>
        <v>II 82,39b</v>
      </c>
      <c r="F691" s="65">
        <f>'II_Inkunabeln+'!H691</f>
        <v>0</v>
      </c>
      <c r="G691" s="93">
        <f>'II_Inkunabeln+'!X691</f>
        <v>0</v>
      </c>
      <c r="H691" s="93">
        <f>'II_Inkunabeln+'!AA691</f>
        <v>0</v>
      </c>
      <c r="I691" s="93">
        <f>'II_Inkunabeln+'!AC691</f>
        <v>0</v>
      </c>
      <c r="J691" s="94"/>
      <c r="K691" s="93">
        <f>'II_Inkunabeln+'!AD691</f>
        <v>0</v>
      </c>
      <c r="L691" s="94"/>
      <c r="M691" s="94"/>
      <c r="N691" s="94"/>
      <c r="O691" s="94"/>
      <c r="P691" s="94"/>
      <c r="Q691" s="94"/>
      <c r="R691" s="94"/>
      <c r="S691" s="94"/>
      <c r="T691" s="94"/>
      <c r="U691" s="94"/>
      <c r="V691" s="94"/>
      <c r="W691" s="94">
        <f>'II_Inkunabeln+'!BA691</f>
        <v>0</v>
      </c>
      <c r="X691" s="108"/>
      <c r="Y691" s="93">
        <f>'II_Inkunabeln+'!BI691</f>
        <v>0</v>
      </c>
      <c r="Z691" s="81">
        <f>'II_Inkunabeln+'!BJ691</f>
        <v>0</v>
      </c>
    </row>
    <row r="692" spans="1:27" x14ac:dyDescent="0.25">
      <c r="A692" s="63">
        <f>'II_Inkunabeln+'!A692</f>
        <v>667</v>
      </c>
      <c r="B692" s="63" t="str">
        <f>'II_Inkunabeln+'!B692</f>
        <v>L-1499-315496290</v>
      </c>
      <c r="C692" s="63">
        <f>'II_Inkunabeln+'!C692</f>
        <v>1066965994</v>
      </c>
      <c r="D692" s="84" t="str">
        <f>'II_Inkunabeln+'!D692</f>
        <v>https://portal.dnb.de/opac.htm?method=simpleSearch&amp;cqlMode=true&amp;query=idn%3D1066965994</v>
      </c>
      <c r="E692" s="65" t="str">
        <f>'II_Inkunabeln+'!E692</f>
        <v>II 82,40a</v>
      </c>
      <c r="F692" s="65" t="str">
        <f>'II_Inkunabeln+'!H692</f>
        <v>bis 25 cm</v>
      </c>
      <c r="G692" s="93" t="str">
        <f>'II_Inkunabeln+'!X692</f>
        <v>G</v>
      </c>
      <c r="H692" s="93" t="str">
        <f>'II_Inkunabeln+'!AA692</f>
        <v>h/E</v>
      </c>
      <c r="I692" s="93">
        <f>'II_Inkunabeln+'!AC692</f>
        <v>0</v>
      </c>
      <c r="J692" s="94"/>
      <c r="K692" s="93">
        <f>'II_Inkunabeln+'!AD692</f>
        <v>0</v>
      </c>
      <c r="L692" s="94"/>
      <c r="M692" s="94"/>
      <c r="N692" s="94"/>
      <c r="O692" s="94"/>
      <c r="P692" s="94"/>
      <c r="Q692" s="94"/>
      <c r="R692" s="94"/>
      <c r="S692" s="94"/>
      <c r="T692" s="94"/>
      <c r="U692" s="94"/>
      <c r="V692" s="94"/>
      <c r="W692" s="94" t="str">
        <f>'II_Inkunabeln+'!BA692</f>
        <v>n</v>
      </c>
      <c r="X692" s="108"/>
      <c r="Y692" s="93">
        <f>'II_Inkunabeln+'!BI692</f>
        <v>0</v>
      </c>
      <c r="Z692" s="81">
        <f>'II_Inkunabeln+'!BJ692</f>
        <v>0</v>
      </c>
    </row>
    <row r="693" spans="1:27" x14ac:dyDescent="0.25">
      <c r="A693" s="63">
        <f>'II_Inkunabeln+'!A693</f>
        <v>668</v>
      </c>
      <c r="B693" s="63" t="str">
        <f>'II_Inkunabeln+'!B693</f>
        <v>L-1500-315498412</v>
      </c>
      <c r="C693" s="63">
        <f>'II_Inkunabeln+'!C693</f>
        <v>1066968144</v>
      </c>
      <c r="D693" s="84" t="str">
        <f>'II_Inkunabeln+'!D693</f>
        <v>https://portal.dnb.de/opac.htm?method=simpleSearch&amp;cqlMode=true&amp;query=idn%3D1066968144</v>
      </c>
      <c r="E693" s="65" t="str">
        <f>'II_Inkunabeln+'!E693</f>
        <v>II 82,41a</v>
      </c>
      <c r="F693" s="65" t="str">
        <f>'II_Inkunabeln+'!H693</f>
        <v>bis 25 cm</v>
      </c>
      <c r="G693" s="93" t="str">
        <f>'II_Inkunabeln+'!X693</f>
        <v>G</v>
      </c>
      <c r="H693" s="93" t="str">
        <f>'II_Inkunabeln+'!AA693</f>
        <v>h/E</v>
      </c>
      <c r="I693" s="93">
        <f>'II_Inkunabeln+'!AC693</f>
        <v>0</v>
      </c>
      <c r="J693" s="94"/>
      <c r="K693" s="93">
        <f>'II_Inkunabeln+'!AD693</f>
        <v>0</v>
      </c>
      <c r="L693" s="94"/>
      <c r="M693" s="94"/>
      <c r="N693" s="94"/>
      <c r="O693" s="94"/>
      <c r="P693" s="94"/>
      <c r="Q693" s="94"/>
      <c r="R693" s="94"/>
      <c r="S693" s="94"/>
      <c r="T693" s="94"/>
      <c r="U693" s="94"/>
      <c r="V693" s="94"/>
      <c r="W693" s="94" t="str">
        <f>'II_Inkunabeln+'!BA693</f>
        <v>n</v>
      </c>
      <c r="X693" s="108"/>
      <c r="Y693" s="93">
        <f>'II_Inkunabeln+'!BI693</f>
        <v>0</v>
      </c>
      <c r="Z693" s="81">
        <f>'II_Inkunabeln+'!BJ693</f>
        <v>0</v>
      </c>
    </row>
    <row r="694" spans="1:27" x14ac:dyDescent="0.25">
      <c r="A694" s="63">
        <f>'II_Inkunabeln+'!A694</f>
        <v>669</v>
      </c>
      <c r="B694" s="63" t="str">
        <f>'II_Inkunabeln+'!B694</f>
        <v>L-1491-327019425</v>
      </c>
      <c r="C694" s="63">
        <f>'II_Inkunabeln+'!C694</f>
        <v>1072187108</v>
      </c>
      <c r="D694" s="84" t="str">
        <f>'II_Inkunabeln+'!D694</f>
        <v>https://portal.dnb.de/opac.htm?method=simpleSearch&amp;cqlMode=true&amp;query=idn%3D1072187108</v>
      </c>
      <c r="E694" s="65" t="str">
        <f>'II_Inkunabeln+'!E694</f>
        <v>II 82,42a</v>
      </c>
      <c r="F694" s="65" t="str">
        <f>'II_Inkunabeln+'!H694</f>
        <v>bis 35 cm</v>
      </c>
      <c r="G694" s="93" t="str">
        <f>'II_Inkunabeln+'!X694</f>
        <v>HD</v>
      </c>
      <c r="H694" s="93" t="str">
        <f>'II_Inkunabeln+'!AA694</f>
        <v>f</v>
      </c>
      <c r="I694" s="93">
        <f>'II_Inkunabeln+'!AC694</f>
        <v>0</v>
      </c>
      <c r="J694" s="94"/>
      <c r="K694" s="93">
        <f>'II_Inkunabeln+'!AD694</f>
        <v>0</v>
      </c>
      <c r="L694" s="94"/>
      <c r="M694" s="94"/>
      <c r="N694" s="94"/>
      <c r="O694" s="94"/>
      <c r="P694" s="94"/>
      <c r="Q694" s="94"/>
      <c r="R694" s="94"/>
      <c r="S694" s="94"/>
      <c r="T694" s="94"/>
      <c r="U694" s="94"/>
      <c r="V694" s="94"/>
      <c r="W694" s="94" t="str">
        <f>'II_Inkunabeln+'!BA694</f>
        <v>n</v>
      </c>
      <c r="X694" s="108"/>
      <c r="Y694" s="93">
        <f>'II_Inkunabeln+'!BI694</f>
        <v>0</v>
      </c>
      <c r="Z694" s="81" t="str">
        <f>'II_Inkunabeln+'!BJ694</f>
        <v>Einbandfragment in Wellpappbox daneben</v>
      </c>
    </row>
    <row r="695" spans="1:27" x14ac:dyDescent="0.25">
      <c r="A695" s="63">
        <f>'II_Inkunabeln+'!A695</f>
        <v>670</v>
      </c>
      <c r="B695" s="63" t="str">
        <f>'II_Inkunabeln+'!B695</f>
        <v>L-1493-32702013X</v>
      </c>
      <c r="C695" s="63">
        <f>'II_Inkunabeln+'!C695</f>
        <v>1072187906</v>
      </c>
      <c r="D695" s="84" t="str">
        <f>'II_Inkunabeln+'!D695</f>
        <v>https://portal.dnb.de/opac.htm?method=simpleSearch&amp;cqlMode=true&amp;query=idn%3D1072187906</v>
      </c>
      <c r="E695" s="65" t="str">
        <f>'II_Inkunabeln+'!E695</f>
        <v>II 82,42a [angebunden]</v>
      </c>
      <c r="F695" s="65">
        <f>'II_Inkunabeln+'!H695</f>
        <v>0</v>
      </c>
      <c r="G695" s="93">
        <f>'II_Inkunabeln+'!X695</f>
        <v>0</v>
      </c>
      <c r="H695" s="93">
        <f>'II_Inkunabeln+'!AA695</f>
        <v>0</v>
      </c>
      <c r="I695" s="93">
        <f>'II_Inkunabeln+'!AC695</f>
        <v>0</v>
      </c>
      <c r="J695" s="94"/>
      <c r="K695" s="93">
        <f>'II_Inkunabeln+'!AD695</f>
        <v>0</v>
      </c>
      <c r="L695" s="94"/>
      <c r="M695" s="94"/>
      <c r="N695" s="94"/>
      <c r="O695" s="94"/>
      <c r="P695" s="94"/>
      <c r="Q695" s="94"/>
      <c r="R695" s="94"/>
      <c r="S695" s="94"/>
      <c r="T695" s="94"/>
      <c r="U695" s="94"/>
      <c r="V695" s="94"/>
      <c r="W695" s="94">
        <f>'II_Inkunabeln+'!BA695</f>
        <v>0</v>
      </c>
      <c r="X695" s="108"/>
      <c r="Y695" s="93">
        <f>'II_Inkunabeln+'!BI695</f>
        <v>0</v>
      </c>
      <c r="Z695" s="81">
        <f>'II_Inkunabeln+'!BJ695</f>
        <v>0</v>
      </c>
    </row>
    <row r="696" spans="1:27" ht="34.5" x14ac:dyDescent="0.25">
      <c r="A696" s="63">
        <f>'II_Inkunabeln+'!A696</f>
        <v>671</v>
      </c>
      <c r="B696" s="63" t="str">
        <f>'II_Inkunabeln+'!B696</f>
        <v>L-1485-31550093X</v>
      </c>
      <c r="C696" s="63">
        <f>'II_Inkunabeln+'!C696</f>
        <v>1066970572</v>
      </c>
      <c r="D696" s="84" t="str">
        <f>'II_Inkunabeln+'!D696</f>
        <v>https://portal.dnb.de/opac.htm?method=simpleSearch&amp;cqlMode=true&amp;query=idn%3D1066970572</v>
      </c>
      <c r="E696" s="65" t="str">
        <f>'II_Inkunabeln+'!E696</f>
        <v>II 82,43a</v>
      </c>
      <c r="F696" s="65" t="str">
        <f>'II_Inkunabeln+'!H696</f>
        <v>bis 35 cm</v>
      </c>
      <c r="G696" s="93" t="str">
        <f>'II_Inkunabeln+'!X696</f>
        <v>HD</v>
      </c>
      <c r="H696" s="93" t="str">
        <f>'II_Inkunabeln+'!AA696</f>
        <v>f/V</v>
      </c>
      <c r="I696" s="93">
        <f>'II_Inkunabeln+'!AC696</f>
        <v>0</v>
      </c>
      <c r="J696" s="94" t="s">
        <v>1633</v>
      </c>
      <c r="K696" s="93">
        <f>'II_Inkunabeln+'!AD696</f>
        <v>0</v>
      </c>
      <c r="L696" s="94" t="s">
        <v>1633</v>
      </c>
      <c r="M696" s="94"/>
      <c r="N696" s="94" t="s">
        <v>1737</v>
      </c>
      <c r="O696" s="94"/>
      <c r="P696" s="94" t="s">
        <v>1633</v>
      </c>
      <c r="Q696" s="94"/>
      <c r="R696" s="94"/>
      <c r="S696" s="94"/>
      <c r="T696" s="94"/>
      <c r="U696" s="94"/>
      <c r="V696" s="94"/>
      <c r="W696" s="94" t="str">
        <f>'II_Inkunabeln+'!BA696</f>
        <v>ja vor</v>
      </c>
      <c r="X696" s="108">
        <v>5</v>
      </c>
      <c r="Y696" s="93">
        <f>'II_Inkunabeln+'!BI696</f>
        <v>0</v>
      </c>
      <c r="Z696" s="81">
        <f>'II_Inkunabeln+'!BJ696</f>
        <v>0</v>
      </c>
      <c r="AA696" s="81" t="s">
        <v>1978</v>
      </c>
    </row>
    <row r="697" spans="1:27" x14ac:dyDescent="0.25">
      <c r="A697" s="63">
        <f>'II_Inkunabeln+'!A697</f>
        <v>672</v>
      </c>
      <c r="B697" s="63" t="str">
        <f>'II_Inkunabeln+'!B697</f>
        <v>L-1480-315501421</v>
      </c>
      <c r="C697" s="63">
        <f>'II_Inkunabeln+'!C697</f>
        <v>1066971064</v>
      </c>
      <c r="D697" s="84" t="str">
        <f>'II_Inkunabeln+'!D697</f>
        <v>https://portal.dnb.de/opac.htm?method=simpleSearch&amp;cqlMode=true&amp;query=idn%3D1066971064</v>
      </c>
      <c r="E697" s="65" t="str">
        <f>'II_Inkunabeln+'!E697</f>
        <v>II 82,44</v>
      </c>
      <c r="F697" s="65">
        <f>'II_Inkunabeln+'!H697</f>
        <v>0</v>
      </c>
      <c r="G697" s="93">
        <f>'II_Inkunabeln+'!X697</f>
        <v>0</v>
      </c>
      <c r="H697" s="93">
        <f>'II_Inkunabeln+'!AA697</f>
        <v>0</v>
      </c>
      <c r="I697" s="93">
        <f>'II_Inkunabeln+'!AC697</f>
        <v>0</v>
      </c>
      <c r="J697" s="94"/>
      <c r="K697" s="93">
        <f>'II_Inkunabeln+'!AD697</f>
        <v>0</v>
      </c>
      <c r="L697" s="94"/>
      <c r="M697" s="94"/>
      <c r="N697" s="94"/>
      <c r="O697" s="94"/>
      <c r="P697" s="94"/>
      <c r="Q697" s="94"/>
      <c r="R697" s="94"/>
      <c r="S697" s="94"/>
      <c r="T697" s="94"/>
      <c r="U697" s="94"/>
      <c r="V697" s="94"/>
      <c r="W697" s="94">
        <f>'II_Inkunabeln+'!BA697</f>
        <v>0</v>
      </c>
      <c r="X697" s="108"/>
      <c r="Y697" s="93">
        <f>'II_Inkunabeln+'!BI697</f>
        <v>0</v>
      </c>
      <c r="Z697" s="81">
        <f>'II_Inkunabeln+'!BJ697</f>
        <v>0</v>
      </c>
    </row>
    <row r="698" spans="1:27" x14ac:dyDescent="0.25">
      <c r="A698" s="63">
        <f>'II_Inkunabeln+'!A698</f>
        <v>673</v>
      </c>
      <c r="B698" s="63" t="str">
        <f>'II_Inkunabeln+'!B698</f>
        <v>L-1480-315500697</v>
      </c>
      <c r="C698" s="63">
        <f>'II_Inkunabeln+'!C698</f>
        <v>1066970343</v>
      </c>
      <c r="D698" s="84" t="str">
        <f>'II_Inkunabeln+'!D698</f>
        <v>https://portal.dnb.de/opac.htm?method=simpleSearch&amp;cqlMode=true&amp;query=idn%3D1066970343</v>
      </c>
      <c r="E698" s="65" t="str">
        <f>'II_Inkunabeln+'!E698</f>
        <v>II 83,1a</v>
      </c>
      <c r="F698" s="65" t="str">
        <f>'II_Inkunabeln+'!H698</f>
        <v>bis 35 cm</v>
      </c>
      <c r="G698" s="93" t="str">
        <f>'II_Inkunabeln+'!X698</f>
        <v>HD</v>
      </c>
      <c r="H698" s="93" t="str">
        <f>'II_Inkunabeln+'!AA698</f>
        <v>f</v>
      </c>
      <c r="I698" s="93">
        <f>'II_Inkunabeln+'!AC698</f>
        <v>0</v>
      </c>
      <c r="J698" s="94"/>
      <c r="K698" s="93">
        <f>'II_Inkunabeln+'!AD698</f>
        <v>0</v>
      </c>
      <c r="L698" s="94"/>
      <c r="M698" s="94"/>
      <c r="N698" s="94"/>
      <c r="O698" s="94"/>
      <c r="P698" s="94"/>
      <c r="Q698" s="94"/>
      <c r="R698" s="94"/>
      <c r="S698" s="94"/>
      <c r="T698" s="94"/>
      <c r="U698" s="94"/>
      <c r="V698" s="94"/>
      <c r="W698" s="94" t="str">
        <f>'II_Inkunabeln+'!BA698</f>
        <v>n</v>
      </c>
      <c r="X698" s="108"/>
      <c r="Y698" s="93">
        <f>'II_Inkunabeln+'!BI698</f>
        <v>0</v>
      </c>
      <c r="Z698" s="81">
        <f>'II_Inkunabeln+'!BJ698</f>
        <v>0</v>
      </c>
    </row>
    <row r="699" spans="1:27" x14ac:dyDescent="0.25">
      <c r="A699" s="63">
        <f>'II_Inkunabeln+'!A699</f>
        <v>674</v>
      </c>
      <c r="B699" s="63" t="str">
        <f>'II_Inkunabeln+'!B699</f>
        <v>L-1480-315500689</v>
      </c>
      <c r="C699" s="63">
        <f>'II_Inkunabeln+'!C699</f>
        <v>1066970343</v>
      </c>
      <c r="D699" s="84" t="str">
        <f>'II_Inkunabeln+'!D699</f>
        <v>https://portal.dnb.de/opac.htm?method=simpleSearch&amp;cqlMode=true&amp;query=idn%3D1066970343</v>
      </c>
      <c r="E699" s="65" t="str">
        <f>'II_Inkunabeln+'!E699</f>
        <v>II 83,1b</v>
      </c>
      <c r="F699" s="65" t="str">
        <f>'II_Inkunabeln+'!H699</f>
        <v>bis 35 cm</v>
      </c>
      <c r="G699" s="93" t="str">
        <f>'II_Inkunabeln+'!X699</f>
        <v>L</v>
      </c>
      <c r="H699" s="93" t="str">
        <f>'II_Inkunabeln+'!AA699</f>
        <v>f</v>
      </c>
      <c r="I699" s="93">
        <f>'II_Inkunabeln+'!AC699</f>
        <v>0</v>
      </c>
      <c r="J699" s="94"/>
      <c r="K699" s="93">
        <f>'II_Inkunabeln+'!AD699</f>
        <v>0</v>
      </c>
      <c r="L699" s="94"/>
      <c r="M699" s="94"/>
      <c r="N699" s="94"/>
      <c r="O699" s="94"/>
      <c r="P699" s="94"/>
      <c r="Q699" s="94"/>
      <c r="R699" s="94"/>
      <c r="S699" s="94"/>
      <c r="T699" s="94"/>
      <c r="U699" s="94"/>
      <c r="V699" s="94"/>
      <c r="W699" s="94" t="str">
        <f>'II_Inkunabeln+'!BA699</f>
        <v>n</v>
      </c>
      <c r="X699" s="108"/>
      <c r="Y699" s="93">
        <f>'II_Inkunabeln+'!BI699</f>
        <v>0</v>
      </c>
      <c r="Z699" s="81">
        <f>'II_Inkunabeln+'!BJ699</f>
        <v>0</v>
      </c>
    </row>
    <row r="700" spans="1:27" x14ac:dyDescent="0.25">
      <c r="A700" s="63">
        <f>'II_Inkunabeln+'!A700</f>
        <v>675</v>
      </c>
      <c r="B700" s="63" t="str">
        <f>'II_Inkunabeln+'!B700</f>
        <v>L-1481-315497092</v>
      </c>
      <c r="C700" s="63">
        <f>'II_Inkunabeln+'!C700</f>
        <v>1066966796</v>
      </c>
      <c r="D700" s="84" t="str">
        <f>'II_Inkunabeln+'!D700</f>
        <v>https://portal.dnb.de/opac.htm?method=simpleSearch&amp;cqlMode=true&amp;query=idn%3D1066966796</v>
      </c>
      <c r="E700" s="65" t="s">
        <v>1981</v>
      </c>
      <c r="F700" s="65" t="str">
        <f>'II_Inkunabeln+'!H700</f>
        <v>bis 35 cm</v>
      </c>
      <c r="G700" s="93" t="str">
        <f>'II_Inkunabeln+'!X700</f>
        <v>HL</v>
      </c>
      <c r="H700" s="93" t="str">
        <f>'II_Inkunabeln+'!AA700</f>
        <v>f</v>
      </c>
      <c r="I700" s="93">
        <f>'II_Inkunabeln+'!AC700</f>
        <v>0</v>
      </c>
      <c r="J700" s="94"/>
      <c r="K700" s="93">
        <f>'II_Inkunabeln+'!AD700</f>
        <v>0</v>
      </c>
      <c r="L700" s="94"/>
      <c r="M700" s="94"/>
      <c r="N700" s="94"/>
      <c r="O700" s="94"/>
      <c r="P700" s="94"/>
      <c r="Q700" s="94"/>
      <c r="R700" s="94"/>
      <c r="S700" s="94"/>
      <c r="T700" s="94"/>
      <c r="U700" s="94"/>
      <c r="V700" s="94"/>
      <c r="W700" s="94" t="str">
        <f>'II_Inkunabeln+'!BA700</f>
        <v>n</v>
      </c>
      <c r="X700" s="108"/>
      <c r="Y700" s="93">
        <f>'II_Inkunabeln+'!BI700</f>
        <v>0</v>
      </c>
      <c r="Z700" s="81" t="str">
        <f>'II_Inkunabeln+'!BJ700</f>
        <v>Schuber defekt</v>
      </c>
    </row>
    <row r="701" spans="1:27" x14ac:dyDescent="0.25">
      <c r="A701" s="63">
        <f>'II_Inkunabeln+'!A701</f>
        <v>0</v>
      </c>
      <c r="B701" s="63">
        <f>'II_Inkunabeln+'!B701</f>
        <v>0</v>
      </c>
      <c r="C701" s="63">
        <f>'II_Inkunabeln+'!C701</f>
        <v>0</v>
      </c>
      <c r="D701" s="84">
        <f>'II_Inkunabeln+'!D701</f>
        <v>0</v>
      </c>
      <c r="E701" s="65" t="s">
        <v>1982</v>
      </c>
      <c r="F701" s="65" t="str">
        <f>'II_Inkunabeln+'!H701</f>
        <v>bis 35 cm</v>
      </c>
      <c r="G701" s="93" t="str">
        <f>'II_Inkunabeln+'!X701</f>
        <v>Pg</v>
      </c>
      <c r="H701" s="93" t="str">
        <f>'II_Inkunabeln+'!AA701</f>
        <v>f</v>
      </c>
      <c r="I701" s="93">
        <f>'II_Inkunabeln+'!AC701</f>
        <v>0</v>
      </c>
      <c r="J701" s="94"/>
      <c r="K701" s="93">
        <f>'II_Inkunabeln+'!AD701</f>
        <v>0</v>
      </c>
      <c r="L701" s="94"/>
      <c r="M701" s="94"/>
      <c r="N701" s="94"/>
      <c r="O701" s="94"/>
      <c r="P701" s="94"/>
      <c r="Q701" s="94"/>
      <c r="R701" s="94"/>
      <c r="S701" s="94"/>
      <c r="T701" s="94"/>
      <c r="U701" s="94"/>
      <c r="V701" s="94"/>
      <c r="W701" s="94" t="str">
        <f>'II_Inkunabeln+'!BA701</f>
        <v>n</v>
      </c>
      <c r="X701" s="108"/>
      <c r="Y701" s="93">
        <f>'II_Inkunabeln+'!BI701</f>
        <v>0</v>
      </c>
      <c r="Z701" s="81">
        <f>'II_Inkunabeln+'!BJ701</f>
        <v>0</v>
      </c>
    </row>
    <row r="702" spans="1:27" x14ac:dyDescent="0.25">
      <c r="A702" s="63">
        <f>'II_Inkunabeln+'!A702</f>
        <v>676</v>
      </c>
      <c r="B702" s="63" t="str">
        <f>'II_Inkunabeln+'!B702</f>
        <v>L-1477-315495677</v>
      </c>
      <c r="C702" s="63">
        <f>'II_Inkunabeln+'!C702</f>
        <v>1066965439</v>
      </c>
      <c r="D702" s="84" t="str">
        <f>'II_Inkunabeln+'!D702</f>
        <v>https://portal.dnb.de/opac.htm?method=simpleSearch&amp;cqlMode=true&amp;query=idn%3D1066965439</v>
      </c>
      <c r="E702" s="65" t="str">
        <f>'II_Inkunabeln+'!E702</f>
        <v>II 84,1a</v>
      </c>
      <c r="F702" s="65" t="str">
        <f>'II_Inkunabeln+'!H702</f>
        <v>bis 35 cm</v>
      </c>
      <c r="G702" s="93" t="str">
        <f>'II_Inkunabeln+'!X702</f>
        <v>HL</v>
      </c>
      <c r="H702" s="93" t="str">
        <f>'II_Inkunabeln+'!AA702</f>
        <v>h/E</v>
      </c>
      <c r="I702" s="93">
        <f>'II_Inkunabeln+'!AC702</f>
        <v>0</v>
      </c>
      <c r="J702" s="94"/>
      <c r="K702" s="93">
        <f>'II_Inkunabeln+'!AD702</f>
        <v>0</v>
      </c>
      <c r="L702" s="94"/>
      <c r="M702" s="94"/>
      <c r="N702" s="94"/>
      <c r="O702" s="94"/>
      <c r="P702" s="94"/>
      <c r="Q702" s="94"/>
      <c r="R702" s="94"/>
      <c r="S702" s="94"/>
      <c r="T702" s="94"/>
      <c r="U702" s="94"/>
      <c r="V702" s="94"/>
      <c r="W702" s="94" t="str">
        <f>'II_Inkunabeln+'!BA702</f>
        <v>n</v>
      </c>
      <c r="X702" s="108"/>
      <c r="Y702" s="93">
        <f>'II_Inkunabeln+'!BI702</f>
        <v>0</v>
      </c>
      <c r="Z702" s="81">
        <f>'II_Inkunabeln+'!BJ702</f>
        <v>0</v>
      </c>
    </row>
    <row r="703" spans="1:27" x14ac:dyDescent="0.25">
      <c r="A703" s="63">
        <f>'II_Inkunabeln+'!A703</f>
        <v>677</v>
      </c>
      <c r="B703" s="63" t="str">
        <f>'II_Inkunabeln+'!B703</f>
        <v>L-1479-327681535</v>
      </c>
      <c r="C703" s="63">
        <f>'II_Inkunabeln+'!C703</f>
        <v>1072382814</v>
      </c>
      <c r="D703" s="84" t="str">
        <f>'II_Inkunabeln+'!D703</f>
        <v>https://portal.dnb.de/opac.htm?method=simpleSearch&amp;cqlMode=true&amp;query=idn%3D1072382814</v>
      </c>
      <c r="E703" s="65" t="str">
        <f>'II_Inkunabeln+'!E703</f>
        <v>II 84,1b</v>
      </c>
      <c r="F703" s="65" t="str">
        <f>'II_Inkunabeln+'!H703</f>
        <v>bis 35 cm</v>
      </c>
      <c r="G703" s="93" t="str">
        <f>'II_Inkunabeln+'!X703</f>
        <v>HL</v>
      </c>
      <c r="H703" s="93" t="str">
        <f>'II_Inkunabeln+'!AA703</f>
        <v>h/E</v>
      </c>
      <c r="I703" s="93">
        <f>'II_Inkunabeln+'!AC703</f>
        <v>0</v>
      </c>
      <c r="J703" s="94"/>
      <c r="K703" s="93">
        <f>'II_Inkunabeln+'!AD703</f>
        <v>0</v>
      </c>
      <c r="L703" s="94"/>
      <c r="M703" s="94"/>
      <c r="N703" s="94"/>
      <c r="O703" s="94"/>
      <c r="P703" s="94"/>
      <c r="Q703" s="94"/>
      <c r="R703" s="94"/>
      <c r="S703" s="94"/>
      <c r="T703" s="94"/>
      <c r="U703" s="94"/>
      <c r="V703" s="94"/>
      <c r="W703" s="94" t="str">
        <f>'II_Inkunabeln+'!BA703</f>
        <v>n</v>
      </c>
      <c r="X703" s="108"/>
      <c r="Y703" s="93">
        <f>'II_Inkunabeln+'!BI703</f>
        <v>0</v>
      </c>
      <c r="Z703" s="81">
        <f>'II_Inkunabeln+'!BJ703</f>
        <v>0</v>
      </c>
    </row>
    <row r="704" spans="1:27" x14ac:dyDescent="0.25">
      <c r="A704" s="63">
        <f>'II_Inkunabeln+'!A704</f>
        <v>678</v>
      </c>
      <c r="B704" s="63" t="str">
        <f>'II_Inkunabeln+'!B704</f>
        <v>L-1476-327020814</v>
      </c>
      <c r="C704" s="63" t="str">
        <f>'II_Inkunabeln+'!C704</f>
        <v>107218866X</v>
      </c>
      <c r="D704" s="84" t="str">
        <f>'II_Inkunabeln+'!D704</f>
        <v>https://portal.dnb.de/opac.htm?method=simpleSearch&amp;cqlMode=true&amp;query=idn%3D107218866X</v>
      </c>
      <c r="E704" s="65" t="str">
        <f>'II_Inkunabeln+'!E704</f>
        <v>II 84,2a</v>
      </c>
      <c r="F704" s="65" t="str">
        <f>'II_Inkunabeln+'!H704</f>
        <v>bis 25 cm</v>
      </c>
      <c r="G704" s="93" t="str">
        <f>'II_Inkunabeln+'!X704</f>
        <v>Br</v>
      </c>
      <c r="H704" s="93" t="str">
        <f>'II_Inkunabeln+'!AA704</f>
        <v>f</v>
      </c>
      <c r="I704" s="93">
        <f>'II_Inkunabeln+'!AC704</f>
        <v>0</v>
      </c>
      <c r="J704" s="94"/>
      <c r="K704" s="93">
        <f>'II_Inkunabeln+'!AD704</f>
        <v>0</v>
      </c>
      <c r="L704" s="94"/>
      <c r="M704" s="94"/>
      <c r="N704" s="94"/>
      <c r="O704" s="94"/>
      <c r="P704" s="94"/>
      <c r="Q704" s="94"/>
      <c r="R704" s="94"/>
      <c r="S704" s="94"/>
      <c r="T704" s="94"/>
      <c r="U704" s="94"/>
      <c r="V704" s="94"/>
      <c r="W704" s="94" t="str">
        <f>'II_Inkunabeln+'!BA704</f>
        <v>n</v>
      </c>
      <c r="X704" s="108"/>
      <c r="Y704" s="93">
        <f>'II_Inkunabeln+'!BI704</f>
        <v>0</v>
      </c>
      <c r="Z704" s="81">
        <f>'II_Inkunabeln+'!BJ704</f>
        <v>0</v>
      </c>
    </row>
    <row r="705" spans="1:27" ht="23" x14ac:dyDescent="0.25">
      <c r="A705" s="63">
        <f>'II_Inkunabeln+'!A705</f>
        <v>679</v>
      </c>
      <c r="B705" s="63" t="str">
        <f>'II_Inkunabeln+'!B705</f>
        <v>L-1476-327155663</v>
      </c>
      <c r="C705" s="63">
        <f>'II_Inkunabeln+'!C705</f>
        <v>1072254964</v>
      </c>
      <c r="D705" s="84" t="str">
        <f>'II_Inkunabeln+'!D705</f>
        <v>https://portal.dnb.de/opac.htm?method=simpleSearch&amp;cqlMode=true&amp;query=idn%3D1072254964</v>
      </c>
      <c r="E705" s="65" t="str">
        <f>'II_Inkunabeln+'!E705</f>
        <v>II 84,2b</v>
      </c>
      <c r="F705" s="65" t="str">
        <f>'II_Inkunabeln+'!H705</f>
        <v>bis 35 cm</v>
      </c>
      <c r="G705" s="93" t="str">
        <f>'II_Inkunabeln+'!X705</f>
        <v>HL</v>
      </c>
      <c r="H705" s="93" t="str">
        <f>'II_Inkunabeln+'!AA705</f>
        <v>h/E</v>
      </c>
      <c r="I705" s="93">
        <f>'II_Inkunabeln+'!AC705</f>
        <v>0</v>
      </c>
      <c r="J705" s="94" t="s">
        <v>1633</v>
      </c>
      <c r="K705" s="93">
        <f>'II_Inkunabeln+'!AD705</f>
        <v>0</v>
      </c>
      <c r="L705" s="94" t="s">
        <v>1633</v>
      </c>
      <c r="M705" s="94"/>
      <c r="N705" s="94" t="s">
        <v>1744</v>
      </c>
      <c r="O705" s="94"/>
      <c r="P705" s="94"/>
      <c r="Q705" s="94"/>
      <c r="R705" s="94"/>
      <c r="S705" s="94"/>
      <c r="T705" s="94"/>
      <c r="U705" s="94"/>
      <c r="V705" s="94"/>
      <c r="W705" s="94" t="str">
        <f>'II_Inkunabeln+'!BA705</f>
        <v>ja vor</v>
      </c>
      <c r="X705" s="108">
        <v>0.5</v>
      </c>
      <c r="Y705" s="93">
        <f>'II_Inkunabeln+'!BI705</f>
        <v>0</v>
      </c>
      <c r="Z705" s="81">
        <f>'II_Inkunabeln+'!BJ705</f>
        <v>0</v>
      </c>
      <c r="AA705" s="81" t="s">
        <v>1983</v>
      </c>
    </row>
    <row r="706" spans="1:27" x14ac:dyDescent="0.25">
      <c r="A706" s="63">
        <f>'II_Inkunabeln+'!A706</f>
        <v>680</v>
      </c>
      <c r="B706" s="63" t="str">
        <f>'II_Inkunabeln+'!B706</f>
        <v>L-1475-327156120</v>
      </c>
      <c r="C706" s="63">
        <f>'II_Inkunabeln+'!C706</f>
        <v>1072255812</v>
      </c>
      <c r="D706" s="84" t="str">
        <f>'II_Inkunabeln+'!D706</f>
        <v>https://portal.dnb.de/opac.htm?method=simpleSearch&amp;cqlMode=true&amp;query=idn%3D1072255812</v>
      </c>
      <c r="E706" s="65" t="str">
        <f>'II_Inkunabeln+'!E706</f>
        <v>II 84,2c</v>
      </c>
      <c r="F706" s="65" t="str">
        <f>'II_Inkunabeln+'!H706</f>
        <v>bis 25 cm</v>
      </c>
      <c r="G706" s="93" t="str">
        <f>'II_Inkunabeln+'!X706</f>
        <v>Br</v>
      </c>
      <c r="H706" s="93" t="str">
        <f>'II_Inkunabeln+'!AA706</f>
        <v>f</v>
      </c>
      <c r="I706" s="93">
        <f>'II_Inkunabeln+'!AC706</f>
        <v>0</v>
      </c>
      <c r="J706" s="94"/>
      <c r="K706" s="93">
        <f>'II_Inkunabeln+'!AD706</f>
        <v>0</v>
      </c>
      <c r="L706" s="94"/>
      <c r="M706" s="94"/>
      <c r="N706" s="94"/>
      <c r="O706" s="94"/>
      <c r="P706" s="94"/>
      <c r="Q706" s="94"/>
      <c r="R706" s="94"/>
      <c r="S706" s="94"/>
      <c r="T706" s="94"/>
      <c r="U706" s="94"/>
      <c r="V706" s="94"/>
      <c r="W706" s="94" t="str">
        <f>'II_Inkunabeln+'!BA706</f>
        <v>n</v>
      </c>
      <c r="X706" s="108"/>
      <c r="Y706" s="93">
        <f>'II_Inkunabeln+'!BI706</f>
        <v>0</v>
      </c>
      <c r="Z706" s="81">
        <f>'II_Inkunabeln+'!BJ706</f>
        <v>0</v>
      </c>
    </row>
    <row r="707" spans="1:27" x14ac:dyDescent="0.25">
      <c r="A707" s="63">
        <f>'II_Inkunabeln+'!A707</f>
        <v>681</v>
      </c>
      <c r="B707" s="63" t="str">
        <f>'II_Inkunabeln+'!B707</f>
        <v>L-1479-327021136</v>
      </c>
      <c r="C707" s="63">
        <f>'II_Inkunabeln+'!C707</f>
        <v>1072189011</v>
      </c>
      <c r="D707" s="84" t="str">
        <f>'II_Inkunabeln+'!D707</f>
        <v>https://portal.dnb.de/opac.htm?method=simpleSearch&amp;cqlMode=true&amp;query=idn%3D1072189011</v>
      </c>
      <c r="E707" s="65" t="str">
        <f>'II_Inkunabeln+'!E707</f>
        <v>II 84,3a</v>
      </c>
      <c r="F707" s="65" t="str">
        <f>'II_Inkunabeln+'!H707</f>
        <v>bis 35 cm</v>
      </c>
      <c r="G707" s="93" t="str">
        <f>'II_Inkunabeln+'!X707</f>
        <v>HD</v>
      </c>
      <c r="H707" s="93" t="str">
        <f>'II_Inkunabeln+'!AA707</f>
        <v>f</v>
      </c>
      <c r="I707" s="93">
        <f>'II_Inkunabeln+'!AC707</f>
        <v>0</v>
      </c>
      <c r="J707" s="94"/>
      <c r="K707" s="93">
        <f>'II_Inkunabeln+'!AD707</f>
        <v>0</v>
      </c>
      <c r="L707" s="94"/>
      <c r="M707" s="94"/>
      <c r="N707" s="94"/>
      <c r="O707" s="94"/>
      <c r="P707" s="94"/>
      <c r="Q707" s="94"/>
      <c r="R707" s="94"/>
      <c r="S707" s="94"/>
      <c r="T707" s="94"/>
      <c r="U707" s="94"/>
      <c r="V707" s="94"/>
      <c r="W707" s="94" t="str">
        <f>'II_Inkunabeln+'!BA707</f>
        <v>n</v>
      </c>
      <c r="X707" s="108"/>
      <c r="Y707" s="93">
        <f>'II_Inkunabeln+'!BI707</f>
        <v>0</v>
      </c>
      <c r="Z707" s="81" t="str">
        <f>'II_Inkunabeln+'!BJ707</f>
        <v>Fragmente des Klemmeinbandes werden extra in Wellpappbox daneben aufbewahrt</v>
      </c>
    </row>
    <row r="708" spans="1:27" x14ac:dyDescent="0.25">
      <c r="A708" s="63">
        <f>'II_Inkunabeln+'!A708</f>
        <v>682</v>
      </c>
      <c r="B708" s="63" t="str">
        <f>'II_Inkunabeln+'!B708</f>
        <v>L-1488-315495707</v>
      </c>
      <c r="C708" s="63">
        <f>'II_Inkunabeln+'!C708</f>
        <v>1066965463</v>
      </c>
      <c r="D708" s="84" t="str">
        <f>'II_Inkunabeln+'!D708</f>
        <v>https://portal.dnb.de/opac.htm?method=simpleSearch&amp;cqlMode=true&amp;query=idn%3D1066965463</v>
      </c>
      <c r="E708" s="65" t="str">
        <f>'II_Inkunabeln+'!E708</f>
        <v>II 84,4a</v>
      </c>
      <c r="F708" s="65" t="str">
        <f>'II_Inkunabeln+'!H708</f>
        <v>bis 35 cm</v>
      </c>
      <c r="G708" s="93" t="str">
        <f>'II_Inkunabeln+'!X708</f>
        <v>HL</v>
      </c>
      <c r="H708" s="93" t="str">
        <f>'II_Inkunabeln+'!AA708</f>
        <v>h/E</v>
      </c>
      <c r="I708" s="93">
        <f>'II_Inkunabeln+'!AC708</f>
        <v>0</v>
      </c>
      <c r="J708" s="94"/>
      <c r="K708" s="93">
        <f>'II_Inkunabeln+'!AD708</f>
        <v>0</v>
      </c>
      <c r="L708" s="94"/>
      <c r="M708" s="94"/>
      <c r="N708" s="94"/>
      <c r="O708" s="94"/>
      <c r="P708" s="94"/>
      <c r="Q708" s="94"/>
      <c r="R708" s="94"/>
      <c r="S708" s="94"/>
      <c r="T708" s="94"/>
      <c r="U708" s="94"/>
      <c r="V708" s="94"/>
      <c r="W708" s="94" t="str">
        <f>'II_Inkunabeln+'!BA708</f>
        <v>n</v>
      </c>
      <c r="X708" s="108"/>
      <c r="Y708" s="93">
        <f>'II_Inkunabeln+'!BI708</f>
        <v>0</v>
      </c>
      <c r="Z708" s="81">
        <f>'II_Inkunabeln+'!BJ708</f>
        <v>0</v>
      </c>
    </row>
    <row r="709" spans="1:27" x14ac:dyDescent="0.25">
      <c r="A709" s="63">
        <f>'II_Inkunabeln+'!A709</f>
        <v>683</v>
      </c>
      <c r="B709" s="63" t="str">
        <f>'II_Inkunabeln+'!B709</f>
        <v>L-1478-327021756</v>
      </c>
      <c r="C709" s="63" t="str">
        <f>'II_Inkunabeln+'!C709</f>
        <v>107218981X</v>
      </c>
      <c r="D709" s="84" t="str">
        <f>'II_Inkunabeln+'!D709</f>
        <v>https://portal.dnb.de/opac.htm?method=simpleSearch&amp;cqlMode=true&amp;query=idn%3D107218981X</v>
      </c>
      <c r="E709" s="65" t="str">
        <f>'II_Inkunabeln+'!E709</f>
        <v>II 85,1a - Fragm.</v>
      </c>
      <c r="F709" s="65" t="str">
        <f>'II_Inkunabeln+'!H709</f>
        <v>bis 25 cm</v>
      </c>
      <c r="G709" s="93" t="str">
        <f>'II_Inkunabeln+'!X709</f>
        <v>Pg</v>
      </c>
      <c r="H709" s="93" t="str">
        <f>'II_Inkunabeln+'!AA709</f>
        <v>h/E</v>
      </c>
      <c r="I709" s="93">
        <f>'II_Inkunabeln+'!AC709</f>
        <v>0</v>
      </c>
      <c r="J709" s="94"/>
      <c r="K709" s="93">
        <f>'II_Inkunabeln+'!AD709</f>
        <v>0</v>
      </c>
      <c r="L709" s="94"/>
      <c r="M709" s="94"/>
      <c r="N709" s="94"/>
      <c r="O709" s="94"/>
      <c r="P709" s="94"/>
      <c r="Q709" s="94"/>
      <c r="R709" s="94"/>
      <c r="S709" s="94"/>
      <c r="T709" s="94"/>
      <c r="U709" s="94"/>
      <c r="V709" s="94"/>
      <c r="W709" s="94" t="str">
        <f>'II_Inkunabeln+'!BA709</f>
        <v>n</v>
      </c>
      <c r="X709" s="108"/>
      <c r="Y709" s="93">
        <f>'II_Inkunabeln+'!BI709</f>
        <v>0</v>
      </c>
      <c r="Z709" s="81">
        <f>'II_Inkunabeln+'!BJ709</f>
        <v>0</v>
      </c>
    </row>
    <row r="710" spans="1:27" x14ac:dyDescent="0.25">
      <c r="A710" s="63">
        <f>'II_Inkunabeln+'!A710</f>
        <v>684</v>
      </c>
      <c r="B710" s="63" t="str">
        <f>'II_Inkunabeln+'!B710</f>
        <v>L-1478-327679166</v>
      </c>
      <c r="C710" s="63">
        <f>'II_Inkunabeln+'!C710</f>
        <v>1072378264</v>
      </c>
      <c r="D710" s="84" t="str">
        <f>'II_Inkunabeln+'!D710</f>
        <v>https://portal.dnb.de/opac.htm?method=simpleSearch&amp;cqlMode=true&amp;query=idn%3D1072378264</v>
      </c>
      <c r="E710" s="65" t="str">
        <f>'II_Inkunabeln+'!E710</f>
        <v>II 85,1b [angebunden an II 63,1a]</v>
      </c>
      <c r="F710" s="65">
        <f>'II_Inkunabeln+'!H710</f>
        <v>0</v>
      </c>
      <c r="G710" s="93">
        <f>'II_Inkunabeln+'!X710</f>
        <v>0</v>
      </c>
      <c r="H710" s="93">
        <f>'II_Inkunabeln+'!AA710</f>
        <v>0</v>
      </c>
      <c r="I710" s="93">
        <f>'II_Inkunabeln+'!AC710</f>
        <v>0</v>
      </c>
      <c r="J710" s="94"/>
      <c r="K710" s="93">
        <f>'II_Inkunabeln+'!AD710</f>
        <v>0</v>
      </c>
      <c r="L710" s="94"/>
      <c r="M710" s="94"/>
      <c r="N710" s="94"/>
      <c r="O710" s="94"/>
      <c r="P710" s="94"/>
      <c r="Q710" s="94"/>
      <c r="R710" s="94"/>
      <c r="S710" s="94"/>
      <c r="T710" s="94"/>
      <c r="U710" s="94"/>
      <c r="V710" s="94"/>
      <c r="W710" s="94">
        <f>'II_Inkunabeln+'!BA710</f>
        <v>0</v>
      </c>
      <c r="X710" s="108"/>
      <c r="Y710" s="93">
        <f>'II_Inkunabeln+'!BI710</f>
        <v>0</v>
      </c>
      <c r="Z710" s="81">
        <f>'II_Inkunabeln+'!BJ710</f>
        <v>0</v>
      </c>
    </row>
    <row r="711" spans="1:27" x14ac:dyDescent="0.25">
      <c r="A711" s="63">
        <f>'II_Inkunabeln+'!A711</f>
        <v>685</v>
      </c>
      <c r="B711" s="63" t="str">
        <f>'II_Inkunabeln+'!B711</f>
        <v>L-1481-315500433</v>
      </c>
      <c r="C711" s="63">
        <f>'II_Inkunabeln+'!C711</f>
        <v>1066970084</v>
      </c>
      <c r="D711" s="84" t="str">
        <f>'II_Inkunabeln+'!D711</f>
        <v>https://portal.dnb.de/opac.htm?method=simpleSearch&amp;cqlMode=true&amp;query=idn%3D1066970084</v>
      </c>
      <c r="E711" s="65" t="str">
        <f>'II_Inkunabeln+'!E711</f>
        <v>II 86,1a</v>
      </c>
      <c r="F711" s="65" t="str">
        <f>'II_Inkunabeln+'!H711</f>
        <v>bis 35 cm</v>
      </c>
      <c r="G711" s="93" t="str">
        <f>'II_Inkunabeln+'!X711</f>
        <v>L</v>
      </c>
      <c r="H711" s="93" t="str">
        <f>'II_Inkunabeln+'!AA711</f>
        <v>f/V</v>
      </c>
      <c r="I711" s="93">
        <f>'II_Inkunabeln+'!AC711</f>
        <v>0</v>
      </c>
      <c r="J711" s="94"/>
      <c r="K711" s="93">
        <f>'II_Inkunabeln+'!AD711</f>
        <v>0</v>
      </c>
      <c r="L711" s="94"/>
      <c r="M711" s="94"/>
      <c r="N711" s="94"/>
      <c r="O711" s="94"/>
      <c r="P711" s="94"/>
      <c r="Q711" s="94"/>
      <c r="R711" s="94"/>
      <c r="S711" s="94"/>
      <c r="T711" s="94"/>
      <c r="U711" s="94"/>
      <c r="V711" s="94"/>
      <c r="W711" s="94" t="str">
        <f>'II_Inkunabeln+'!BA711</f>
        <v>n</v>
      </c>
      <c r="X711" s="108"/>
      <c r="Y711" s="93">
        <f>'II_Inkunabeln+'!BI711</f>
        <v>0</v>
      </c>
      <c r="Z711" s="81">
        <f>'II_Inkunabeln+'!BJ711</f>
        <v>0</v>
      </c>
    </row>
    <row r="712" spans="1:27" x14ac:dyDescent="0.25">
      <c r="A712" s="63">
        <f>'II_Inkunabeln+'!A712</f>
        <v>686</v>
      </c>
      <c r="B712" s="63" t="str">
        <f>'II_Inkunabeln+'!B712</f>
        <v>L-1481-315501685</v>
      </c>
      <c r="C712" s="63">
        <f>'II_Inkunabeln+'!C712</f>
        <v>1066971315</v>
      </c>
      <c r="D712" s="84" t="str">
        <f>'II_Inkunabeln+'!D712</f>
        <v>https://portal.dnb.de/opac.htm?method=simpleSearch&amp;cqlMode=true&amp;query=idn%3D1066971315</v>
      </c>
      <c r="E712" s="65" t="str">
        <f>'II_Inkunabeln+'!E712</f>
        <v>II 86,1b</v>
      </c>
      <c r="F712" s="65" t="str">
        <f>'II_Inkunabeln+'!H712</f>
        <v>bis 35 cm</v>
      </c>
      <c r="G712" s="93" t="str">
        <f>'II_Inkunabeln+'!X712</f>
        <v>HL</v>
      </c>
      <c r="H712" s="93" t="str">
        <f>'II_Inkunabeln+'!AA712</f>
        <v>h/E</v>
      </c>
      <c r="I712" s="93">
        <f>'II_Inkunabeln+'!AC712</f>
        <v>0</v>
      </c>
      <c r="J712" s="94"/>
      <c r="K712" s="93">
        <f>'II_Inkunabeln+'!AD712</f>
        <v>0</v>
      </c>
      <c r="L712" s="94"/>
      <c r="M712" s="94"/>
      <c r="N712" s="94"/>
      <c r="O712" s="94"/>
      <c r="P712" s="94"/>
      <c r="Q712" s="94"/>
      <c r="R712" s="94"/>
      <c r="S712" s="94"/>
      <c r="T712" s="94"/>
      <c r="U712" s="94"/>
      <c r="V712" s="94"/>
      <c r="W712" s="94" t="str">
        <f>'II_Inkunabeln+'!BA712</f>
        <v>n</v>
      </c>
      <c r="X712" s="108"/>
      <c r="Y712" s="93">
        <f>'II_Inkunabeln+'!BI712</f>
        <v>0</v>
      </c>
      <c r="Z712" s="81" t="str">
        <f>'II_Inkunabeln+'!BJ712</f>
        <v>Schaden in den Gelenken ist stabil genug</v>
      </c>
    </row>
    <row r="713" spans="1:27" ht="34.5" x14ac:dyDescent="0.25">
      <c r="A713" s="63">
        <f>'II_Inkunabeln+'!A713</f>
        <v>687</v>
      </c>
      <c r="B713" s="63" t="str">
        <f>'II_Inkunabeln+'!B713</f>
        <v>L-1479-315502630</v>
      </c>
      <c r="C713" s="63">
        <f>'II_Inkunabeln+'!C713</f>
        <v>1066972214</v>
      </c>
      <c r="D713" s="84" t="str">
        <f>'II_Inkunabeln+'!D713</f>
        <v>https://portal.dnb.de/opac.htm?method=simpleSearch&amp;cqlMode=true&amp;query=idn%3D1066972214</v>
      </c>
      <c r="E713" s="65" t="str">
        <f>'II_Inkunabeln+'!E713</f>
        <v>II 87,1a</v>
      </c>
      <c r="F713" s="65" t="str">
        <f>'II_Inkunabeln+'!H713</f>
        <v>bis 35 cm</v>
      </c>
      <c r="G713" s="93" t="str">
        <f>'II_Inkunabeln+'!X713</f>
        <v>HD</v>
      </c>
      <c r="H713" s="93" t="str">
        <f>'II_Inkunabeln+'!AA713</f>
        <v>f/V</v>
      </c>
      <c r="I713" s="93">
        <f>'II_Inkunabeln+'!AC713</f>
        <v>0</v>
      </c>
      <c r="J713" s="94" t="s">
        <v>1633</v>
      </c>
      <c r="K713" s="93">
        <f>'II_Inkunabeln+'!AD713</f>
        <v>0</v>
      </c>
      <c r="L713" s="94" t="s">
        <v>1633</v>
      </c>
      <c r="M713" s="94"/>
      <c r="N713" s="94" t="s">
        <v>1767</v>
      </c>
      <c r="O713" s="94"/>
      <c r="P713" s="94"/>
      <c r="Q713" s="94"/>
      <c r="R713" s="94"/>
      <c r="S713" s="94"/>
      <c r="T713" s="94"/>
      <c r="U713" s="94"/>
      <c r="V713" s="94"/>
      <c r="W713" s="94" t="str">
        <f>'II_Inkunabeln+'!BA713</f>
        <v>ja vor</v>
      </c>
      <c r="X713" s="108">
        <v>3.5</v>
      </c>
      <c r="Y713" s="93">
        <f>'II_Inkunabeln+'!BI713</f>
        <v>0</v>
      </c>
      <c r="Z713" s="81">
        <f>'II_Inkunabeln+'!BJ713</f>
        <v>0</v>
      </c>
      <c r="AA713" s="81" t="s">
        <v>1986</v>
      </c>
    </row>
    <row r="714" spans="1:27" x14ac:dyDescent="0.25">
      <c r="A714" s="63">
        <f>'II_Inkunabeln+'!A714</f>
        <v>688</v>
      </c>
      <c r="B714" s="63" t="str">
        <f>'II_Inkunabeln+'!B714</f>
        <v>L-1486-327682124</v>
      </c>
      <c r="C714" s="63">
        <f>'II_Inkunabeln+'!C714</f>
        <v>1072383721</v>
      </c>
      <c r="D714" s="84" t="str">
        <f>'II_Inkunabeln+'!D714</f>
        <v>https://portal.dnb.de/opac.htm?method=simpleSearch&amp;cqlMode=true&amp;query=idn%3D1072383721</v>
      </c>
      <c r="E714" s="65" t="str">
        <f>'II_Inkunabeln+'!E714</f>
        <v>II 87,1c</v>
      </c>
      <c r="F714" s="65" t="str">
        <f>'II_Inkunabeln+'!H714</f>
        <v>bis 25 cm</v>
      </c>
      <c r="G714" s="93" t="str">
        <f>'II_Inkunabeln+'!X714</f>
        <v>HL</v>
      </c>
      <c r="H714" s="93" t="str">
        <f>'II_Inkunabeln+'!AA714</f>
        <v>f/V</v>
      </c>
      <c r="I714" s="93">
        <f>'II_Inkunabeln+'!AC714</f>
        <v>0</v>
      </c>
      <c r="J714" s="94"/>
      <c r="K714" s="93">
        <f>'II_Inkunabeln+'!AD714</f>
        <v>0</v>
      </c>
      <c r="L714" s="94"/>
      <c r="M714" s="94"/>
      <c r="N714" s="94"/>
      <c r="O714" s="94"/>
      <c r="P714" s="94"/>
      <c r="Q714" s="94"/>
      <c r="R714" s="94"/>
      <c r="S714" s="94"/>
      <c r="T714" s="94"/>
      <c r="U714" s="94"/>
      <c r="V714" s="94"/>
      <c r="W714" s="94" t="str">
        <f>'II_Inkunabeln+'!BA714</f>
        <v>n</v>
      </c>
      <c r="X714" s="108"/>
      <c r="Y714" s="93">
        <f>'II_Inkunabeln+'!BI714</f>
        <v>0</v>
      </c>
      <c r="Z714" s="81">
        <f>'II_Inkunabeln+'!BJ714</f>
        <v>0</v>
      </c>
    </row>
    <row r="715" spans="1:27" x14ac:dyDescent="0.25">
      <c r="A715" s="63">
        <f>'II_Inkunabeln+'!A715</f>
        <v>689</v>
      </c>
      <c r="B715" s="63" t="str">
        <f>'II_Inkunabeln+'!B715</f>
        <v>L-1474-375087958</v>
      </c>
      <c r="C715" s="63">
        <f>'II_Inkunabeln+'!C715</f>
        <v>1109774656</v>
      </c>
      <c r="D715" s="84" t="str">
        <f>'II_Inkunabeln+'!D715</f>
        <v>https://portal.dnb.de/opac.htm?method=simpleSearch&amp;cqlMode=true&amp;query=idn%3D1109774656</v>
      </c>
      <c r="E715" s="65" t="str">
        <f>'II_Inkunabeln+'!E715</f>
        <v>II 90,1a - [1] Fragm.</v>
      </c>
      <c r="F715" s="65" t="str">
        <f>'II_Inkunabeln+'!H715</f>
        <v>&gt; 42 cm</v>
      </c>
      <c r="G715" s="93">
        <f>'II_Inkunabeln+'!X715</f>
        <v>0</v>
      </c>
      <c r="H715" s="93">
        <f>'II_Inkunabeln+'!AA715</f>
        <v>0</v>
      </c>
      <c r="I715" s="93">
        <f>'II_Inkunabeln+'!AC715</f>
        <v>0</v>
      </c>
      <c r="J715" s="94"/>
      <c r="K715" s="93">
        <f>'II_Inkunabeln+'!AD715</f>
        <v>0</v>
      </c>
      <c r="L715" s="94"/>
      <c r="M715" s="94"/>
      <c r="N715" s="94"/>
      <c r="O715" s="94"/>
      <c r="P715" s="94"/>
      <c r="Q715" s="94"/>
      <c r="R715" s="94"/>
      <c r="S715" s="94"/>
      <c r="T715" s="94"/>
      <c r="U715" s="94"/>
      <c r="V715" s="94"/>
      <c r="W715" s="94">
        <f>'II_Inkunabeln+'!BA715</f>
        <v>0</v>
      </c>
      <c r="X715" s="108"/>
      <c r="Y715" s="93">
        <f>'II_Inkunabeln+'!BI715</f>
        <v>0</v>
      </c>
      <c r="Z715" s="81">
        <f>'II_Inkunabeln+'!BJ715</f>
        <v>0</v>
      </c>
    </row>
    <row r="716" spans="1:27" x14ac:dyDescent="0.25">
      <c r="A716" s="63">
        <f>'II_Inkunabeln+'!A716</f>
        <v>690</v>
      </c>
      <c r="B716" s="63" t="str">
        <f>'II_Inkunabeln+'!B716</f>
        <v>L-1477-375088350</v>
      </c>
      <c r="C716" s="63" t="str">
        <f>'II_Inkunabeln+'!C716</f>
        <v>110977575X</v>
      </c>
      <c r="D716" s="84" t="str">
        <f>'II_Inkunabeln+'!D716</f>
        <v>https://portal.dnb.de/opac.htm?method=simpleSearch&amp;cqlMode=true&amp;query=idn%3D110977575X</v>
      </c>
      <c r="E716" s="65" t="str">
        <f>'II_Inkunabeln+'!E716</f>
        <v>II 90,1a - [2] Fragm.</v>
      </c>
      <c r="F716" s="65" t="str">
        <f>'II_Inkunabeln+'!H716</f>
        <v>&gt; 42 cm</v>
      </c>
      <c r="G716" s="93">
        <f>'II_Inkunabeln+'!X716</f>
        <v>0</v>
      </c>
      <c r="H716" s="93">
        <f>'II_Inkunabeln+'!AA716</f>
        <v>0</v>
      </c>
      <c r="I716" s="93">
        <f>'II_Inkunabeln+'!AC716</f>
        <v>0</v>
      </c>
      <c r="J716" s="94"/>
      <c r="K716" s="93">
        <f>'II_Inkunabeln+'!AD716</f>
        <v>0</v>
      </c>
      <c r="L716" s="94"/>
      <c r="M716" s="94"/>
      <c r="N716" s="94"/>
      <c r="O716" s="94"/>
      <c r="P716" s="94"/>
      <c r="Q716" s="94"/>
      <c r="R716" s="94"/>
      <c r="S716" s="94"/>
      <c r="T716" s="94"/>
      <c r="U716" s="94"/>
      <c r="V716" s="94"/>
      <c r="W716" s="94">
        <f>'II_Inkunabeln+'!BA716</f>
        <v>0</v>
      </c>
      <c r="X716" s="108"/>
      <c r="Y716" s="93">
        <f>'II_Inkunabeln+'!BI716</f>
        <v>0</v>
      </c>
      <c r="Z716" s="81">
        <f>'II_Inkunabeln+'!BJ716</f>
        <v>0</v>
      </c>
    </row>
    <row r="717" spans="1:27" x14ac:dyDescent="0.25">
      <c r="A717" s="63">
        <f>'II_Inkunabeln+'!A717</f>
        <v>691</v>
      </c>
      <c r="B717" s="63" t="str">
        <f>'II_Inkunabeln+'!B717</f>
        <v>L-1477-375088466</v>
      </c>
      <c r="C717" s="63" t="str">
        <f>'II_Inkunabeln+'!C717</f>
        <v>110977575X</v>
      </c>
      <c r="D717" s="84" t="str">
        <f>'II_Inkunabeln+'!D717</f>
        <v>https://portal.dnb.de/opac.htm?method=simpleSearch&amp;cqlMode=true&amp;query=idn%3D110977575X</v>
      </c>
      <c r="E717" s="65" t="str">
        <f>'II_Inkunabeln+'!E717</f>
        <v>II 90,1a - [3] Fragm.</v>
      </c>
      <c r="F717" s="65" t="str">
        <f>'II_Inkunabeln+'!H717</f>
        <v>&gt; 42 cm</v>
      </c>
      <c r="G717" s="93">
        <f>'II_Inkunabeln+'!X717</f>
        <v>0</v>
      </c>
      <c r="H717" s="93">
        <f>'II_Inkunabeln+'!AA717</f>
        <v>0</v>
      </c>
      <c r="I717" s="93">
        <f>'II_Inkunabeln+'!AC717</f>
        <v>0</v>
      </c>
      <c r="J717" s="94"/>
      <c r="K717" s="93">
        <f>'II_Inkunabeln+'!AD717</f>
        <v>0</v>
      </c>
      <c r="L717" s="94"/>
      <c r="M717" s="94"/>
      <c r="N717" s="94"/>
      <c r="O717" s="94"/>
      <c r="P717" s="94"/>
      <c r="Q717" s="94"/>
      <c r="R717" s="94"/>
      <c r="S717" s="94"/>
      <c r="T717" s="94"/>
      <c r="U717" s="94"/>
      <c r="V717" s="94"/>
      <c r="W717" s="94">
        <f>'II_Inkunabeln+'!BA717</f>
        <v>0</v>
      </c>
      <c r="X717" s="108"/>
      <c r="Y717" s="93">
        <f>'II_Inkunabeln+'!BI717</f>
        <v>0</v>
      </c>
      <c r="Z717" s="81">
        <f>'II_Inkunabeln+'!BJ717</f>
        <v>0</v>
      </c>
    </row>
    <row r="718" spans="1:27" x14ac:dyDescent="0.25">
      <c r="A718" s="63">
        <f>'II_Inkunabeln+'!A718</f>
        <v>692</v>
      </c>
      <c r="B718" s="63" t="str">
        <f>'II_Inkunabeln+'!B718</f>
        <v>L-1477-375088474</v>
      </c>
      <c r="C718" s="63" t="str">
        <f>'II_Inkunabeln+'!C718</f>
        <v>110977575X</v>
      </c>
      <c r="D718" s="84" t="str">
        <f>'II_Inkunabeln+'!D718</f>
        <v>https://portal.dnb.de/opac.htm?method=simpleSearch&amp;cqlMode=true&amp;query=idn%3D110977575X</v>
      </c>
      <c r="E718" s="65" t="str">
        <f>'II_Inkunabeln+'!E718</f>
        <v>II 90,1a - [4] Fragm.</v>
      </c>
      <c r="F718" s="65" t="str">
        <f>'II_Inkunabeln+'!H718</f>
        <v>&gt; 42 cm</v>
      </c>
      <c r="G718" s="93">
        <f>'II_Inkunabeln+'!X718</f>
        <v>0</v>
      </c>
      <c r="H718" s="93">
        <f>'II_Inkunabeln+'!AA718</f>
        <v>0</v>
      </c>
      <c r="I718" s="93">
        <f>'II_Inkunabeln+'!AC718</f>
        <v>0</v>
      </c>
      <c r="J718" s="94"/>
      <c r="K718" s="93">
        <f>'II_Inkunabeln+'!AD718</f>
        <v>0</v>
      </c>
      <c r="L718" s="94"/>
      <c r="M718" s="94"/>
      <c r="N718" s="94"/>
      <c r="O718" s="94"/>
      <c r="P718" s="94"/>
      <c r="Q718" s="94"/>
      <c r="R718" s="94"/>
      <c r="S718" s="94"/>
      <c r="T718" s="94"/>
      <c r="U718" s="94"/>
      <c r="V718" s="94"/>
      <c r="W718" s="94">
        <f>'II_Inkunabeln+'!BA718</f>
        <v>0</v>
      </c>
      <c r="X718" s="108"/>
      <c r="Y718" s="93">
        <f>'II_Inkunabeln+'!BI718</f>
        <v>0</v>
      </c>
      <c r="Z718" s="81">
        <f>'II_Inkunabeln+'!BJ718</f>
        <v>0</v>
      </c>
    </row>
    <row r="719" spans="1:27" x14ac:dyDescent="0.25">
      <c r="A719" s="63">
        <f>'II_Inkunabeln+'!A719</f>
        <v>693</v>
      </c>
      <c r="B719" s="63" t="str">
        <f>'II_Inkunabeln+'!B719</f>
        <v>L-1478-375324100</v>
      </c>
      <c r="C719" s="63">
        <f>'II_Inkunabeln+'!C719</f>
        <v>1066968020</v>
      </c>
      <c r="D719" s="84" t="str">
        <f>'II_Inkunabeln+'!D719</f>
        <v>https://portal.dnb.de/opac.htm?method=simpleSearch&amp;cqlMode=true&amp;query=idn%3D1066968020</v>
      </c>
      <c r="E719" s="65" t="str">
        <f>'II_Inkunabeln+'!E719</f>
        <v>II 90,1a - [5] Fragm.</v>
      </c>
      <c r="F719" s="65" t="str">
        <f>'II_Inkunabeln+'!H719</f>
        <v>&gt; 42 cm</v>
      </c>
      <c r="G719" s="93">
        <f>'II_Inkunabeln+'!X719</f>
        <v>0</v>
      </c>
      <c r="H719" s="93">
        <f>'II_Inkunabeln+'!AA719</f>
        <v>0</v>
      </c>
      <c r="I719" s="93">
        <f>'II_Inkunabeln+'!AC719</f>
        <v>0</v>
      </c>
      <c r="J719" s="94"/>
      <c r="K719" s="93">
        <f>'II_Inkunabeln+'!AD719</f>
        <v>0</v>
      </c>
      <c r="L719" s="94"/>
      <c r="M719" s="94"/>
      <c r="N719" s="94"/>
      <c r="O719" s="94"/>
      <c r="P719" s="94"/>
      <c r="Q719" s="94"/>
      <c r="R719" s="94"/>
      <c r="S719" s="94"/>
      <c r="T719" s="94"/>
      <c r="U719" s="94"/>
      <c r="V719" s="94"/>
      <c r="W719" s="94">
        <f>'II_Inkunabeln+'!BA719</f>
        <v>0</v>
      </c>
      <c r="X719" s="108"/>
      <c r="Y719" s="93">
        <f>'II_Inkunabeln+'!BI719</f>
        <v>0</v>
      </c>
      <c r="Z719" s="81">
        <f>'II_Inkunabeln+'!BJ719</f>
        <v>0</v>
      </c>
    </row>
    <row r="720" spans="1:27" x14ac:dyDescent="0.25">
      <c r="A720" s="63">
        <f>'II_Inkunabeln+'!A720</f>
        <v>694</v>
      </c>
      <c r="B720" s="63" t="str">
        <f>'II_Inkunabeln+'!B720</f>
        <v>L-1496-375327509</v>
      </c>
      <c r="C720" s="63">
        <f>'II_Inkunabeln+'!C720</f>
        <v>1109813201</v>
      </c>
      <c r="D720" s="84" t="str">
        <f>'II_Inkunabeln+'!D720</f>
        <v>https://portal.dnb.de/opac.htm?method=simpleSearch&amp;cqlMode=true&amp;query=idn%3D1109813201</v>
      </c>
      <c r="E720" s="65" t="str">
        <f>'II_Inkunabeln+'!E720</f>
        <v>II 90,1a - [6] Fragm.</v>
      </c>
      <c r="F720" s="65" t="str">
        <f>'II_Inkunabeln+'!H720</f>
        <v>&gt; 42 cm</v>
      </c>
      <c r="G720" s="93">
        <f>'II_Inkunabeln+'!X720</f>
        <v>0</v>
      </c>
      <c r="H720" s="93">
        <f>'II_Inkunabeln+'!AA720</f>
        <v>0</v>
      </c>
      <c r="I720" s="93">
        <f>'II_Inkunabeln+'!AC720</f>
        <v>0</v>
      </c>
      <c r="J720" s="94"/>
      <c r="K720" s="93">
        <f>'II_Inkunabeln+'!AD720</f>
        <v>0</v>
      </c>
      <c r="L720" s="94"/>
      <c r="M720" s="94"/>
      <c r="N720" s="94"/>
      <c r="O720" s="94"/>
      <c r="P720" s="94"/>
      <c r="Q720" s="94"/>
      <c r="R720" s="94"/>
      <c r="S720" s="94"/>
      <c r="T720" s="94"/>
      <c r="U720" s="94"/>
      <c r="V720" s="94"/>
      <c r="W720" s="94">
        <f>'II_Inkunabeln+'!BA720</f>
        <v>0</v>
      </c>
      <c r="X720" s="108"/>
      <c r="Y720" s="93">
        <f>'II_Inkunabeln+'!BI720</f>
        <v>0</v>
      </c>
      <c r="Z720" s="81">
        <f>'II_Inkunabeln+'!BJ720</f>
        <v>0</v>
      </c>
    </row>
    <row r="721" spans="1:26" x14ac:dyDescent="0.25">
      <c r="A721" s="63">
        <f>'II_Inkunabeln+'!A721</f>
        <v>695</v>
      </c>
      <c r="B721" s="63" t="str">
        <f>'II_Inkunabeln+'!B721</f>
        <v>L-1474-375328378</v>
      </c>
      <c r="C721" s="63">
        <f>'II_Inkunabeln+'!C721</f>
        <v>1109774656</v>
      </c>
      <c r="D721" s="84" t="str">
        <f>'II_Inkunabeln+'!D721</f>
        <v>https://portal.dnb.de/opac.htm?method=simpleSearch&amp;cqlMode=true&amp;query=idn%3D1109774656</v>
      </c>
      <c r="E721" s="65" t="str">
        <f>'II_Inkunabeln+'!E721</f>
        <v>II 90,1a - [7] Fragm.</v>
      </c>
      <c r="F721" s="65" t="str">
        <f>'II_Inkunabeln+'!H721</f>
        <v>&gt; 42 cm</v>
      </c>
      <c r="G721" s="93">
        <f>'II_Inkunabeln+'!X721</f>
        <v>0</v>
      </c>
      <c r="H721" s="93">
        <f>'II_Inkunabeln+'!AA721</f>
        <v>0</v>
      </c>
      <c r="I721" s="93">
        <f>'II_Inkunabeln+'!AC721</f>
        <v>0</v>
      </c>
      <c r="J721" s="94"/>
      <c r="K721" s="93">
        <f>'II_Inkunabeln+'!AD721</f>
        <v>0</v>
      </c>
      <c r="L721" s="94"/>
      <c r="M721" s="94"/>
      <c r="N721" s="94"/>
      <c r="O721" s="94"/>
      <c r="P721" s="94"/>
      <c r="Q721" s="94"/>
      <c r="R721" s="94"/>
      <c r="S721" s="94"/>
      <c r="T721" s="94"/>
      <c r="U721" s="94"/>
      <c r="V721" s="94"/>
      <c r="W721" s="94">
        <f>'II_Inkunabeln+'!BA721</f>
        <v>0</v>
      </c>
      <c r="X721" s="108"/>
      <c r="Y721" s="93">
        <f>'II_Inkunabeln+'!BI721</f>
        <v>0</v>
      </c>
      <c r="Z721" s="81">
        <f>'II_Inkunabeln+'!BJ721</f>
        <v>0</v>
      </c>
    </row>
    <row r="722" spans="1:26" x14ac:dyDescent="0.25">
      <c r="A722" s="63">
        <f>'II_Inkunabeln+'!A722</f>
        <v>696</v>
      </c>
      <c r="B722" s="63" t="str">
        <f>'II_Inkunabeln+'!B722</f>
        <v>L-1498-375329048</v>
      </c>
      <c r="C722" s="63">
        <f>'II_Inkunabeln+'!C722</f>
        <v>1109815573</v>
      </c>
      <c r="D722" s="84" t="str">
        <f>'II_Inkunabeln+'!D722</f>
        <v>https://portal.dnb.de/opac.htm?method=simpleSearch&amp;cqlMode=true&amp;query=idn%3D1109815573</v>
      </c>
      <c r="E722" s="65" t="str">
        <f>'II_Inkunabeln+'!E722</f>
        <v>II 90,1a - [8] Fragm.</v>
      </c>
      <c r="F722" s="65" t="str">
        <f>'II_Inkunabeln+'!H722</f>
        <v>&gt; 42 cm</v>
      </c>
      <c r="G722" s="93">
        <f>'II_Inkunabeln+'!X722</f>
        <v>0</v>
      </c>
      <c r="H722" s="93">
        <f>'II_Inkunabeln+'!AA722</f>
        <v>0</v>
      </c>
      <c r="I722" s="93">
        <f>'II_Inkunabeln+'!AC722</f>
        <v>0</v>
      </c>
      <c r="J722" s="94"/>
      <c r="K722" s="93">
        <f>'II_Inkunabeln+'!AD722</f>
        <v>0</v>
      </c>
      <c r="L722" s="94"/>
      <c r="M722" s="94"/>
      <c r="N722" s="94"/>
      <c r="O722" s="94"/>
      <c r="P722" s="94"/>
      <c r="Q722" s="94"/>
      <c r="R722" s="94"/>
      <c r="S722" s="94"/>
      <c r="T722" s="94"/>
      <c r="U722" s="94"/>
      <c r="V722" s="94"/>
      <c r="W722" s="94">
        <f>'II_Inkunabeln+'!BA722</f>
        <v>0</v>
      </c>
      <c r="X722" s="108"/>
      <c r="Y722" s="93">
        <f>'II_Inkunabeln+'!BI722</f>
        <v>0</v>
      </c>
      <c r="Z722" s="81">
        <f>'II_Inkunabeln+'!BJ722</f>
        <v>0</v>
      </c>
    </row>
    <row r="723" spans="1:26" x14ac:dyDescent="0.25">
      <c r="A723" s="63">
        <f>'II_Inkunabeln+'!A723</f>
        <v>697</v>
      </c>
      <c r="B723" s="63" t="str">
        <f>'II_Inkunabeln+'!B723</f>
        <v>L-1498-375329684</v>
      </c>
      <c r="C723" s="63">
        <f>'II_Inkunabeln+'!C723</f>
        <v>1109815573</v>
      </c>
      <c r="D723" s="84" t="str">
        <f>'II_Inkunabeln+'!D723</f>
        <v>https://portal.dnb.de/opac.htm?method=simpleSearch&amp;cqlMode=true&amp;query=idn%3D1109815573</v>
      </c>
      <c r="E723" s="65" t="str">
        <f>'II_Inkunabeln+'!E723</f>
        <v>II 90,1a - [9] Fragm.</v>
      </c>
      <c r="F723" s="65" t="str">
        <f>'II_Inkunabeln+'!H723</f>
        <v>&gt; 42 cm</v>
      </c>
      <c r="G723" s="93">
        <f>'II_Inkunabeln+'!X723</f>
        <v>0</v>
      </c>
      <c r="H723" s="93">
        <f>'II_Inkunabeln+'!AA723</f>
        <v>0</v>
      </c>
      <c r="I723" s="93">
        <f>'II_Inkunabeln+'!AC723</f>
        <v>0</v>
      </c>
      <c r="J723" s="94"/>
      <c r="K723" s="93">
        <f>'II_Inkunabeln+'!AD723</f>
        <v>0</v>
      </c>
      <c r="L723" s="94"/>
      <c r="M723" s="94"/>
      <c r="N723" s="94"/>
      <c r="O723" s="94"/>
      <c r="P723" s="94"/>
      <c r="Q723" s="94"/>
      <c r="R723" s="94"/>
      <c r="S723" s="94"/>
      <c r="T723" s="94"/>
      <c r="U723" s="94"/>
      <c r="V723" s="94"/>
      <c r="W723" s="94">
        <f>'II_Inkunabeln+'!BA723</f>
        <v>0</v>
      </c>
      <c r="X723" s="108"/>
      <c r="Y723" s="93">
        <f>'II_Inkunabeln+'!BI723</f>
        <v>0</v>
      </c>
      <c r="Z723" s="81">
        <f>'II_Inkunabeln+'!BJ723</f>
        <v>0</v>
      </c>
    </row>
    <row r="724" spans="1:26" x14ac:dyDescent="0.25">
      <c r="A724" s="63">
        <f>'II_Inkunabeln+'!A724</f>
        <v>698</v>
      </c>
      <c r="B724" s="63" t="str">
        <f>'II_Inkunabeln+'!B724</f>
        <v>L-1498-375330437</v>
      </c>
      <c r="C724" s="63">
        <f>'II_Inkunabeln+'!C724</f>
        <v>1109815573</v>
      </c>
      <c r="D724" s="84" t="str">
        <f>'II_Inkunabeln+'!D724</f>
        <v>https://portal.dnb.de/opac.htm?method=simpleSearch&amp;cqlMode=true&amp;query=idn%3D1109815573</v>
      </c>
      <c r="E724" s="65" t="str">
        <f>'II_Inkunabeln+'!E724</f>
        <v>II 90,1a - [10] Fragm.</v>
      </c>
      <c r="F724" s="65" t="str">
        <f>'II_Inkunabeln+'!H724</f>
        <v>&gt; 42 cm</v>
      </c>
      <c r="G724" s="93">
        <f>'II_Inkunabeln+'!X724</f>
        <v>0</v>
      </c>
      <c r="H724" s="93">
        <f>'II_Inkunabeln+'!AA724</f>
        <v>0</v>
      </c>
      <c r="I724" s="93">
        <f>'II_Inkunabeln+'!AC724</f>
        <v>0</v>
      </c>
      <c r="J724" s="94"/>
      <c r="K724" s="93">
        <f>'II_Inkunabeln+'!AD724</f>
        <v>0</v>
      </c>
      <c r="L724" s="94"/>
      <c r="M724" s="94"/>
      <c r="N724" s="94"/>
      <c r="O724" s="94"/>
      <c r="P724" s="94"/>
      <c r="Q724" s="94"/>
      <c r="R724" s="94"/>
      <c r="S724" s="94"/>
      <c r="T724" s="94"/>
      <c r="U724" s="94"/>
      <c r="V724" s="94"/>
      <c r="W724" s="94">
        <f>'II_Inkunabeln+'!BA724</f>
        <v>0</v>
      </c>
      <c r="X724" s="108"/>
      <c r="Y724" s="93">
        <f>'II_Inkunabeln+'!BI724</f>
        <v>0</v>
      </c>
      <c r="Z724" s="81">
        <f>'II_Inkunabeln+'!BJ724</f>
        <v>0</v>
      </c>
    </row>
    <row r="725" spans="1:26" x14ac:dyDescent="0.25">
      <c r="A725" s="63">
        <f>'II_Inkunabeln+'!A725</f>
        <v>699</v>
      </c>
      <c r="B725" s="63" t="str">
        <f>'II_Inkunabeln+'!B725</f>
        <v>L-1482-375330852</v>
      </c>
      <c r="C725" s="63">
        <f>'II_Inkunabeln+'!C725</f>
        <v>1066964505</v>
      </c>
      <c r="D725" s="84" t="str">
        <f>'II_Inkunabeln+'!D725</f>
        <v>https://portal.dnb.de/opac.htm?method=simpleSearch&amp;cqlMode=true&amp;query=idn%3D1066964505</v>
      </c>
      <c r="E725" s="65" t="str">
        <f>'II_Inkunabeln+'!E725</f>
        <v>II 90,1a - [11] Fragm.</v>
      </c>
      <c r="F725" s="65" t="str">
        <f>'II_Inkunabeln+'!H725</f>
        <v>&gt; 42 cm</v>
      </c>
      <c r="G725" s="93">
        <f>'II_Inkunabeln+'!X725</f>
        <v>0</v>
      </c>
      <c r="H725" s="93">
        <f>'II_Inkunabeln+'!AA725</f>
        <v>0</v>
      </c>
      <c r="I725" s="93">
        <f>'II_Inkunabeln+'!AC725</f>
        <v>0</v>
      </c>
      <c r="J725" s="94"/>
      <c r="K725" s="93">
        <f>'II_Inkunabeln+'!AD725</f>
        <v>0</v>
      </c>
      <c r="L725" s="94"/>
      <c r="M725" s="94"/>
      <c r="N725" s="94"/>
      <c r="O725" s="94"/>
      <c r="P725" s="94"/>
      <c r="Q725" s="94"/>
      <c r="R725" s="94"/>
      <c r="S725" s="94"/>
      <c r="T725" s="94"/>
      <c r="U725" s="94"/>
      <c r="V725" s="94"/>
      <c r="W725" s="94">
        <f>'II_Inkunabeln+'!BA725</f>
        <v>0</v>
      </c>
      <c r="X725" s="108"/>
      <c r="Y725" s="93">
        <f>'II_Inkunabeln+'!BI725</f>
        <v>0</v>
      </c>
      <c r="Z725" s="81">
        <f>'II_Inkunabeln+'!BJ725</f>
        <v>0</v>
      </c>
    </row>
    <row r="726" spans="1:26" x14ac:dyDescent="0.25">
      <c r="A726" s="63">
        <f>'II_Inkunabeln+'!A726</f>
        <v>700</v>
      </c>
      <c r="B726" s="63" t="str">
        <f>'II_Inkunabeln+'!B726</f>
        <v>L-1487-375331115</v>
      </c>
      <c r="C726" s="63">
        <f>'II_Inkunabeln+'!C726</f>
        <v>1066965390</v>
      </c>
      <c r="D726" s="84" t="str">
        <f>'II_Inkunabeln+'!D726</f>
        <v>https://portal.dnb.de/opac.htm?method=simpleSearch&amp;cqlMode=true&amp;query=idn%3D1066965390</v>
      </c>
      <c r="E726" s="65" t="str">
        <f>'II_Inkunabeln+'!E726</f>
        <v>II 90,1a - [12] Fragm.</v>
      </c>
      <c r="F726" s="65" t="str">
        <f>'II_Inkunabeln+'!H726</f>
        <v>&gt; 42 cm</v>
      </c>
      <c r="G726" s="93">
        <f>'II_Inkunabeln+'!X726</f>
        <v>0</v>
      </c>
      <c r="H726" s="93">
        <f>'II_Inkunabeln+'!AA726</f>
        <v>0</v>
      </c>
      <c r="I726" s="93">
        <f>'II_Inkunabeln+'!AC726</f>
        <v>0</v>
      </c>
      <c r="J726" s="94"/>
      <c r="K726" s="93">
        <f>'II_Inkunabeln+'!AD726</f>
        <v>0</v>
      </c>
      <c r="L726" s="94"/>
      <c r="M726" s="94"/>
      <c r="N726" s="94"/>
      <c r="O726" s="94"/>
      <c r="P726" s="94"/>
      <c r="Q726" s="94"/>
      <c r="R726" s="94"/>
      <c r="S726" s="94"/>
      <c r="T726" s="94"/>
      <c r="U726" s="94"/>
      <c r="V726" s="94"/>
      <c r="W726" s="94">
        <f>'II_Inkunabeln+'!BA726</f>
        <v>0</v>
      </c>
      <c r="X726" s="108"/>
      <c r="Y726" s="93">
        <f>'II_Inkunabeln+'!BI726</f>
        <v>0</v>
      </c>
      <c r="Z726" s="81">
        <f>'II_Inkunabeln+'!BJ726</f>
        <v>0</v>
      </c>
    </row>
    <row r="727" spans="1:26" x14ac:dyDescent="0.25">
      <c r="A727" s="63">
        <f>'II_Inkunabeln+'!A727</f>
        <v>701</v>
      </c>
      <c r="B727" s="63" t="str">
        <f>'II_Inkunabeln+'!B727</f>
        <v>L-1495-375331980</v>
      </c>
      <c r="C727" s="63" t="str">
        <f>'II_Inkunabeln+'!C727</f>
        <v>110982050X</v>
      </c>
      <c r="D727" s="84" t="str">
        <f>'II_Inkunabeln+'!D727</f>
        <v>https://portal.dnb.de/opac.htm?method=simpleSearch&amp;cqlMode=true&amp;query=idn%3D110982050X</v>
      </c>
      <c r="E727" s="65" t="str">
        <f>'II_Inkunabeln+'!E727</f>
        <v>II 90,1a - [13] Fragm.</v>
      </c>
      <c r="F727" s="65" t="str">
        <f>'II_Inkunabeln+'!H727</f>
        <v>&gt; 42 cm</v>
      </c>
      <c r="G727" s="93">
        <f>'II_Inkunabeln+'!X727</f>
        <v>0</v>
      </c>
      <c r="H727" s="93">
        <f>'II_Inkunabeln+'!AA727</f>
        <v>0</v>
      </c>
      <c r="I727" s="93">
        <f>'II_Inkunabeln+'!AC727</f>
        <v>0</v>
      </c>
      <c r="J727" s="94"/>
      <c r="K727" s="93">
        <f>'II_Inkunabeln+'!AD727</f>
        <v>0</v>
      </c>
      <c r="L727" s="94"/>
      <c r="M727" s="94"/>
      <c r="N727" s="94"/>
      <c r="O727" s="94"/>
      <c r="P727" s="94"/>
      <c r="Q727" s="94"/>
      <c r="R727" s="94"/>
      <c r="S727" s="94"/>
      <c r="T727" s="94"/>
      <c r="U727" s="94"/>
      <c r="V727" s="94"/>
      <c r="W727" s="94">
        <f>'II_Inkunabeln+'!BA727</f>
        <v>0</v>
      </c>
      <c r="X727" s="108"/>
      <c r="Y727" s="93">
        <f>'II_Inkunabeln+'!BI727</f>
        <v>0</v>
      </c>
      <c r="Z727" s="81">
        <f>'II_Inkunabeln+'!BJ727</f>
        <v>0</v>
      </c>
    </row>
    <row r="728" spans="1:26" x14ac:dyDescent="0.25">
      <c r="A728" s="63">
        <f>'II_Inkunabeln+'!A728</f>
        <v>702</v>
      </c>
      <c r="B728" s="63" t="str">
        <f>'II_Inkunabeln+'!B728</f>
        <v>L-1490-375417559</v>
      </c>
      <c r="C728" s="63">
        <f>'II_Inkunabeln+'!C728</f>
        <v>1109921993</v>
      </c>
      <c r="D728" s="84" t="str">
        <f>'II_Inkunabeln+'!D728</f>
        <v>https://portal.dnb.de/opac.htm?method=simpleSearch&amp;cqlMode=true&amp;query=idn%3D1109921993</v>
      </c>
      <c r="E728" s="65" t="str">
        <f>'II_Inkunabeln+'!E728</f>
        <v>II 90,1a - [14] Fragm.</v>
      </c>
      <c r="F728" s="65" t="str">
        <f>'II_Inkunabeln+'!H728</f>
        <v>&gt; 42 cm</v>
      </c>
      <c r="G728" s="93">
        <f>'II_Inkunabeln+'!X728</f>
        <v>0</v>
      </c>
      <c r="H728" s="93">
        <f>'II_Inkunabeln+'!AA728</f>
        <v>0</v>
      </c>
      <c r="I728" s="93">
        <f>'II_Inkunabeln+'!AC728</f>
        <v>0</v>
      </c>
      <c r="J728" s="94"/>
      <c r="K728" s="93">
        <f>'II_Inkunabeln+'!AD728</f>
        <v>0</v>
      </c>
      <c r="L728" s="94"/>
      <c r="M728" s="94"/>
      <c r="N728" s="94"/>
      <c r="O728" s="94"/>
      <c r="P728" s="94"/>
      <c r="Q728" s="94"/>
      <c r="R728" s="94"/>
      <c r="S728" s="94"/>
      <c r="T728" s="94"/>
      <c r="U728" s="94"/>
      <c r="V728" s="94"/>
      <c r="W728" s="94">
        <f>'II_Inkunabeln+'!BA728</f>
        <v>0</v>
      </c>
      <c r="X728" s="108"/>
      <c r="Y728" s="93">
        <f>'II_Inkunabeln+'!BI728</f>
        <v>0</v>
      </c>
      <c r="Z728" s="81">
        <f>'II_Inkunabeln+'!BJ728</f>
        <v>0</v>
      </c>
    </row>
    <row r="729" spans="1:26" x14ac:dyDescent="0.25">
      <c r="A729" s="63">
        <f>'II_Inkunabeln+'!A729</f>
        <v>703</v>
      </c>
      <c r="B729" s="63" t="str">
        <f>'II_Inkunabeln+'!B729</f>
        <v>L-1491-375563911</v>
      </c>
      <c r="C729" s="63">
        <f>'II_Inkunabeln+'!C729</f>
        <v>1110068220</v>
      </c>
      <c r="D729" s="84" t="str">
        <f>'II_Inkunabeln+'!D729</f>
        <v>https://portal.dnb.de/opac.htm?method=simpleSearch&amp;cqlMode=true&amp;query=idn%3D1110068220</v>
      </c>
      <c r="E729" s="65" t="str">
        <f>'II_Inkunabeln+'!E729</f>
        <v>II 90,1a - [15] Fragm.</v>
      </c>
      <c r="F729" s="65" t="str">
        <f>'II_Inkunabeln+'!H729</f>
        <v>&gt; 42 cm</v>
      </c>
      <c r="G729" s="93">
        <f>'II_Inkunabeln+'!X729</f>
        <v>0</v>
      </c>
      <c r="H729" s="93">
        <f>'II_Inkunabeln+'!AA729</f>
        <v>0</v>
      </c>
      <c r="I729" s="93">
        <f>'II_Inkunabeln+'!AC729</f>
        <v>0</v>
      </c>
      <c r="J729" s="94"/>
      <c r="K729" s="93">
        <f>'II_Inkunabeln+'!AD729</f>
        <v>0</v>
      </c>
      <c r="L729" s="94"/>
      <c r="M729" s="94"/>
      <c r="N729" s="94"/>
      <c r="O729" s="94"/>
      <c r="P729" s="94"/>
      <c r="Q729" s="94"/>
      <c r="R729" s="94"/>
      <c r="S729" s="94"/>
      <c r="T729" s="94"/>
      <c r="U729" s="94"/>
      <c r="V729" s="94"/>
      <c r="W729" s="94">
        <f>'II_Inkunabeln+'!BA729</f>
        <v>0</v>
      </c>
      <c r="X729" s="108"/>
      <c r="Y729" s="93">
        <f>'II_Inkunabeln+'!BI729</f>
        <v>0</v>
      </c>
      <c r="Z729" s="81">
        <f>'II_Inkunabeln+'!BJ729</f>
        <v>0</v>
      </c>
    </row>
    <row r="730" spans="1:26" x14ac:dyDescent="0.25">
      <c r="A730" s="63">
        <f>'II_Inkunabeln+'!A730</f>
        <v>704</v>
      </c>
      <c r="B730" s="63" t="str">
        <f>'II_Inkunabeln+'!B730</f>
        <v>L-1493-375566767</v>
      </c>
      <c r="C730" s="63">
        <f>'II_Inkunabeln+'!C730</f>
        <v>1066966613</v>
      </c>
      <c r="D730" s="84" t="str">
        <f>'II_Inkunabeln+'!D730</f>
        <v>https://portal.dnb.de/opac.htm?method=simpleSearch&amp;cqlMode=true&amp;query=idn%3D1066966613</v>
      </c>
      <c r="E730" s="65" t="str">
        <f>'II_Inkunabeln+'!E730</f>
        <v>II 90,1a - [16] Fragm.</v>
      </c>
      <c r="F730" s="65" t="str">
        <f>'II_Inkunabeln+'!H730</f>
        <v>&gt; 42 cm</v>
      </c>
      <c r="G730" s="93">
        <f>'II_Inkunabeln+'!X730</f>
        <v>0</v>
      </c>
      <c r="H730" s="93">
        <f>'II_Inkunabeln+'!AA730</f>
        <v>0</v>
      </c>
      <c r="I730" s="93">
        <f>'II_Inkunabeln+'!AC730</f>
        <v>0</v>
      </c>
      <c r="J730" s="94"/>
      <c r="K730" s="93">
        <f>'II_Inkunabeln+'!AD730</f>
        <v>0</v>
      </c>
      <c r="L730" s="94"/>
      <c r="M730" s="94"/>
      <c r="N730" s="94"/>
      <c r="O730" s="94"/>
      <c r="P730" s="94"/>
      <c r="Q730" s="94"/>
      <c r="R730" s="94"/>
      <c r="S730" s="94"/>
      <c r="T730" s="94"/>
      <c r="U730" s="94"/>
      <c r="V730" s="94"/>
      <c r="W730" s="94">
        <f>'II_Inkunabeln+'!BA730</f>
        <v>0</v>
      </c>
      <c r="X730" s="108"/>
      <c r="Y730" s="93">
        <f>'II_Inkunabeln+'!BI730</f>
        <v>0</v>
      </c>
      <c r="Z730" s="81">
        <f>'II_Inkunabeln+'!BJ730</f>
        <v>0</v>
      </c>
    </row>
    <row r="731" spans="1:26" x14ac:dyDescent="0.25">
      <c r="A731" s="63">
        <f>'II_Inkunabeln+'!A731</f>
        <v>705</v>
      </c>
      <c r="B731" s="63" t="str">
        <f>'II_Inkunabeln+'!B731</f>
        <v>L-1487-375331115</v>
      </c>
      <c r="C731" s="63">
        <f>'II_Inkunabeln+'!C731</f>
        <v>1066965390</v>
      </c>
      <c r="D731" s="84" t="str">
        <f>'II_Inkunabeln+'!D731</f>
        <v>https://portal.dnb.de/opac.htm?method=simpleSearch&amp;cqlMode=true&amp;query=idn%3D1066965390</v>
      </c>
      <c r="E731" s="65" t="str">
        <f>'II_Inkunabeln+'!E731</f>
        <v>II 90,1a - [17] Fragm.</v>
      </c>
      <c r="F731" s="65" t="str">
        <f>'II_Inkunabeln+'!H731</f>
        <v>&gt; 42 cm</v>
      </c>
      <c r="G731" s="93">
        <f>'II_Inkunabeln+'!X731</f>
        <v>0</v>
      </c>
      <c r="H731" s="93">
        <f>'II_Inkunabeln+'!AA731</f>
        <v>0</v>
      </c>
      <c r="I731" s="93">
        <f>'II_Inkunabeln+'!AC731</f>
        <v>0</v>
      </c>
      <c r="J731" s="94"/>
      <c r="K731" s="93">
        <f>'II_Inkunabeln+'!AD731</f>
        <v>0</v>
      </c>
      <c r="L731" s="94"/>
      <c r="M731" s="94"/>
      <c r="N731" s="94"/>
      <c r="O731" s="94"/>
      <c r="P731" s="94"/>
      <c r="Q731" s="94"/>
      <c r="R731" s="94"/>
      <c r="S731" s="94"/>
      <c r="T731" s="94"/>
      <c r="U731" s="94"/>
      <c r="V731" s="94"/>
      <c r="W731" s="94">
        <f>'II_Inkunabeln+'!BA731</f>
        <v>0</v>
      </c>
      <c r="X731" s="108"/>
      <c r="Y731" s="93">
        <f>'II_Inkunabeln+'!BI731</f>
        <v>0</v>
      </c>
      <c r="Z731" s="81">
        <f>'II_Inkunabeln+'!BJ731</f>
        <v>0</v>
      </c>
    </row>
    <row r="732" spans="1:26" x14ac:dyDescent="0.25">
      <c r="A732" s="63">
        <f>'II_Inkunabeln+'!A732</f>
        <v>706</v>
      </c>
      <c r="B732" s="63" t="str">
        <f>'II_Inkunabeln+'!B732</f>
        <v>L-1495-375567593</v>
      </c>
      <c r="C732" s="63" t="str">
        <f>'II_Inkunabeln+'!C732</f>
        <v>110982050X</v>
      </c>
      <c r="D732" s="84" t="str">
        <f>'II_Inkunabeln+'!D732</f>
        <v>https://portal.dnb.de/opac.htm?method=simpleSearch&amp;cqlMode=true&amp;query=idn%3D110982050X</v>
      </c>
      <c r="E732" s="65" t="str">
        <f>'II_Inkunabeln+'!E732</f>
        <v>II 90,1a - [20] Fragm.</v>
      </c>
      <c r="F732" s="65" t="str">
        <f>'II_Inkunabeln+'!H732</f>
        <v>&gt; 42 cm</v>
      </c>
      <c r="G732" s="93">
        <f>'II_Inkunabeln+'!X732</f>
        <v>0</v>
      </c>
      <c r="H732" s="93">
        <f>'II_Inkunabeln+'!AA732</f>
        <v>0</v>
      </c>
      <c r="I732" s="93">
        <f>'II_Inkunabeln+'!AC732</f>
        <v>0</v>
      </c>
      <c r="J732" s="94"/>
      <c r="K732" s="93">
        <f>'II_Inkunabeln+'!AD732</f>
        <v>0</v>
      </c>
      <c r="L732" s="94"/>
      <c r="M732" s="94"/>
      <c r="N732" s="94"/>
      <c r="O732" s="94"/>
      <c r="P732" s="94"/>
      <c r="Q732" s="94"/>
      <c r="R732" s="94"/>
      <c r="S732" s="94"/>
      <c r="T732" s="94"/>
      <c r="U732" s="94"/>
      <c r="V732" s="94"/>
      <c r="W732" s="94">
        <f>'II_Inkunabeln+'!BA732</f>
        <v>0</v>
      </c>
      <c r="X732" s="108"/>
      <c r="Y732" s="93">
        <f>'II_Inkunabeln+'!BI732</f>
        <v>0</v>
      </c>
      <c r="Z732" s="81">
        <f>'II_Inkunabeln+'!BJ732</f>
        <v>0</v>
      </c>
    </row>
    <row r="733" spans="1:26" x14ac:dyDescent="0.25">
      <c r="A733" s="63">
        <f>'II_Inkunabeln+'!A733</f>
        <v>707</v>
      </c>
      <c r="B733" s="63" t="str">
        <f>'II_Inkunabeln+'!B733</f>
        <v>L-1489-375567704</v>
      </c>
      <c r="C733" s="63" t="str">
        <f>'II_Inkunabeln+'!C733</f>
        <v>111007414X</v>
      </c>
      <c r="D733" s="84" t="str">
        <f>'II_Inkunabeln+'!D733</f>
        <v>https://portal.dnb.de/opac.htm?method=simpleSearch&amp;cqlMode=true&amp;query=idn%3D111007414X</v>
      </c>
      <c r="E733" s="65" t="str">
        <f>'II_Inkunabeln+'!E733</f>
        <v>II 90,1a - [21] Fragm.</v>
      </c>
      <c r="F733" s="65" t="str">
        <f>'II_Inkunabeln+'!H733</f>
        <v>&gt; 42 cm</v>
      </c>
      <c r="G733" s="93">
        <f>'II_Inkunabeln+'!X733</f>
        <v>0</v>
      </c>
      <c r="H733" s="93">
        <f>'II_Inkunabeln+'!AA733</f>
        <v>0</v>
      </c>
      <c r="I733" s="93">
        <f>'II_Inkunabeln+'!AC733</f>
        <v>0</v>
      </c>
      <c r="J733" s="94"/>
      <c r="K733" s="93">
        <f>'II_Inkunabeln+'!AD733</f>
        <v>0</v>
      </c>
      <c r="L733" s="94"/>
      <c r="M733" s="94"/>
      <c r="N733" s="94"/>
      <c r="O733" s="94"/>
      <c r="P733" s="94"/>
      <c r="Q733" s="94"/>
      <c r="R733" s="94"/>
      <c r="S733" s="94"/>
      <c r="T733" s="94"/>
      <c r="U733" s="94"/>
      <c r="V733" s="94"/>
      <c r="W733" s="94">
        <f>'II_Inkunabeln+'!BA733</f>
        <v>0</v>
      </c>
      <c r="X733" s="108"/>
      <c r="Y733" s="93">
        <f>'II_Inkunabeln+'!BI733</f>
        <v>0</v>
      </c>
      <c r="Z733" s="81">
        <f>'II_Inkunabeln+'!BJ733</f>
        <v>0</v>
      </c>
    </row>
    <row r="734" spans="1:26" x14ac:dyDescent="0.25">
      <c r="A734" s="63">
        <f>'II_Inkunabeln+'!A734</f>
        <v>708</v>
      </c>
      <c r="B734" s="63" t="str">
        <f>'II_Inkunabeln+'!B734</f>
        <v>L-1489-375567712</v>
      </c>
      <c r="C734" s="63" t="str">
        <f>'II_Inkunabeln+'!C734</f>
        <v>111007414X</v>
      </c>
      <c r="D734" s="84" t="str">
        <f>'II_Inkunabeln+'!D734</f>
        <v>https://portal.dnb.de/opac.htm?method=simpleSearch&amp;cqlMode=true&amp;query=idn%3D111007414X</v>
      </c>
      <c r="E734" s="65" t="str">
        <f>'II_Inkunabeln+'!E734</f>
        <v>II 90,1a - [22] Fragm.</v>
      </c>
      <c r="F734" s="65" t="str">
        <f>'II_Inkunabeln+'!H734</f>
        <v>&gt; 42 cm</v>
      </c>
      <c r="G734" s="93">
        <f>'II_Inkunabeln+'!X734</f>
        <v>0</v>
      </c>
      <c r="H734" s="93">
        <f>'II_Inkunabeln+'!AA734</f>
        <v>0</v>
      </c>
      <c r="I734" s="93">
        <f>'II_Inkunabeln+'!AC734</f>
        <v>0</v>
      </c>
      <c r="J734" s="94"/>
      <c r="K734" s="93">
        <f>'II_Inkunabeln+'!AD734</f>
        <v>0</v>
      </c>
      <c r="L734" s="94"/>
      <c r="M734" s="94"/>
      <c r="N734" s="94"/>
      <c r="O734" s="94"/>
      <c r="P734" s="94"/>
      <c r="Q734" s="94"/>
      <c r="R734" s="94"/>
      <c r="S734" s="94"/>
      <c r="T734" s="94"/>
      <c r="U734" s="94"/>
      <c r="V734" s="94"/>
      <c r="W734" s="94">
        <f>'II_Inkunabeln+'!BA734</f>
        <v>0</v>
      </c>
      <c r="X734" s="108"/>
      <c r="Y734" s="93">
        <f>'II_Inkunabeln+'!BI734</f>
        <v>0</v>
      </c>
      <c r="Z734" s="81">
        <f>'II_Inkunabeln+'!BJ734</f>
        <v>0</v>
      </c>
    </row>
    <row r="735" spans="1:26" x14ac:dyDescent="0.25">
      <c r="A735" s="63">
        <f>'II_Inkunabeln+'!A735</f>
        <v>709</v>
      </c>
      <c r="B735" s="63" t="str">
        <f>'II_Inkunabeln+'!B735</f>
        <v>L-1489-375567720</v>
      </c>
      <c r="C735" s="63" t="str">
        <f>'II_Inkunabeln+'!C735</f>
        <v>111007414X</v>
      </c>
      <c r="D735" s="84" t="str">
        <f>'II_Inkunabeln+'!D735</f>
        <v>https://portal.dnb.de/opac.htm?method=simpleSearch&amp;cqlMode=true&amp;query=idn%3D111007414X</v>
      </c>
      <c r="E735" s="65" t="str">
        <f>'II_Inkunabeln+'!E735</f>
        <v>II 90,1a - [23] Fragm.</v>
      </c>
      <c r="F735" s="65" t="str">
        <f>'II_Inkunabeln+'!H735</f>
        <v>&gt; 42 cm</v>
      </c>
      <c r="G735" s="93">
        <f>'II_Inkunabeln+'!X735</f>
        <v>0</v>
      </c>
      <c r="H735" s="93">
        <f>'II_Inkunabeln+'!AA735</f>
        <v>0</v>
      </c>
      <c r="I735" s="93">
        <f>'II_Inkunabeln+'!AC735</f>
        <v>0</v>
      </c>
      <c r="J735" s="94"/>
      <c r="K735" s="93">
        <f>'II_Inkunabeln+'!AD735</f>
        <v>0</v>
      </c>
      <c r="L735" s="94"/>
      <c r="M735" s="94"/>
      <c r="N735" s="94"/>
      <c r="O735" s="94"/>
      <c r="P735" s="94"/>
      <c r="Q735" s="94"/>
      <c r="R735" s="94"/>
      <c r="S735" s="94"/>
      <c r="T735" s="94"/>
      <c r="U735" s="94"/>
      <c r="V735" s="94"/>
      <c r="W735" s="94">
        <f>'II_Inkunabeln+'!BA735</f>
        <v>0</v>
      </c>
      <c r="X735" s="108"/>
      <c r="Y735" s="93">
        <f>'II_Inkunabeln+'!BI735</f>
        <v>0</v>
      </c>
      <c r="Z735" s="81">
        <f>'II_Inkunabeln+'!BJ735</f>
        <v>0</v>
      </c>
    </row>
    <row r="736" spans="1:26" x14ac:dyDescent="0.25">
      <c r="A736" s="63">
        <f>'II_Inkunabeln+'!A736</f>
        <v>710</v>
      </c>
      <c r="B736" s="63" t="str">
        <f>'II_Inkunabeln+'!B736</f>
        <v>L-1489-375567739</v>
      </c>
      <c r="C736" s="63" t="str">
        <f>'II_Inkunabeln+'!C736</f>
        <v>111007414X</v>
      </c>
      <c r="D736" s="84" t="str">
        <f>'II_Inkunabeln+'!D736</f>
        <v>https://portal.dnb.de/opac.htm?method=simpleSearch&amp;cqlMode=true&amp;query=idn%3D111007414X</v>
      </c>
      <c r="E736" s="65" t="str">
        <f>'II_Inkunabeln+'!E736</f>
        <v>II 90,1a - [24] Fragm.</v>
      </c>
      <c r="F736" s="65" t="str">
        <f>'II_Inkunabeln+'!H736</f>
        <v>&gt; 42 cm</v>
      </c>
      <c r="G736" s="93">
        <f>'II_Inkunabeln+'!X736</f>
        <v>0</v>
      </c>
      <c r="H736" s="93">
        <f>'II_Inkunabeln+'!AA736</f>
        <v>0</v>
      </c>
      <c r="I736" s="93">
        <f>'II_Inkunabeln+'!AC736</f>
        <v>0</v>
      </c>
      <c r="J736" s="94"/>
      <c r="K736" s="93">
        <f>'II_Inkunabeln+'!AD736</f>
        <v>0</v>
      </c>
      <c r="L736" s="94"/>
      <c r="M736" s="94"/>
      <c r="N736" s="94"/>
      <c r="O736" s="94"/>
      <c r="P736" s="94"/>
      <c r="Q736" s="94"/>
      <c r="R736" s="94"/>
      <c r="S736" s="94"/>
      <c r="T736" s="94"/>
      <c r="U736" s="94"/>
      <c r="V736" s="94"/>
      <c r="W736" s="94">
        <f>'II_Inkunabeln+'!BA736</f>
        <v>0</v>
      </c>
      <c r="X736" s="108"/>
      <c r="Y736" s="93">
        <f>'II_Inkunabeln+'!BI736</f>
        <v>0</v>
      </c>
      <c r="Z736" s="81">
        <f>'II_Inkunabeln+'!BJ736</f>
        <v>0</v>
      </c>
    </row>
    <row r="737" spans="1:26" x14ac:dyDescent="0.25">
      <c r="A737" s="63">
        <f>'II_Inkunabeln+'!A737</f>
        <v>0</v>
      </c>
      <c r="B737" s="63">
        <f>'II_Inkunabeln+'!B737</f>
        <v>0</v>
      </c>
      <c r="C737" s="63">
        <f>'II_Inkunabeln+'!C737</f>
        <v>0</v>
      </c>
      <c r="D737" s="109">
        <f>'II_Inkunabeln+'!D737</f>
        <v>0</v>
      </c>
      <c r="E737" s="65" t="str">
        <f>'II_Inkunabeln+'!E737</f>
        <v>II 1,1 a</v>
      </c>
      <c r="F737" s="65">
        <f>'II_Inkunabeln+'!H737</f>
        <v>0</v>
      </c>
      <c r="G737" s="93" t="str">
        <f>'II_Inkunabeln+'!X737</f>
        <v>x Silberschließen des Einbandes (4 Teilstücke)</v>
      </c>
      <c r="H737" s="93">
        <f>'II_Inkunabeln+'!AA737</f>
        <v>0</v>
      </c>
      <c r="I737" s="93">
        <f>'II_Inkunabeln+'!AC737</f>
        <v>0</v>
      </c>
      <c r="K737" s="93">
        <f>'II_Inkunabeln+'!AD737</f>
        <v>0</v>
      </c>
      <c r="W737" s="94">
        <f>'II_Inkunabeln+'!BA737</f>
        <v>0</v>
      </c>
      <c r="X737" s="108"/>
      <c r="Y737" s="93">
        <f>'II_Inkunabeln+'!BI737</f>
        <v>0</v>
      </c>
      <c r="Z737" s="81">
        <f>'II_Inkunabeln+'!BJ737</f>
        <v>0</v>
      </c>
    </row>
    <row r="738" spans="1:26" x14ac:dyDescent="0.25">
      <c r="D738" s="109"/>
    </row>
    <row r="739" spans="1:26" x14ac:dyDescent="0.25">
      <c r="D739" s="109"/>
    </row>
    <row r="740" spans="1:26" x14ac:dyDescent="0.25">
      <c r="D740" s="109"/>
    </row>
  </sheetData>
  <autoFilter ref="A1:Z737"/>
  <conditionalFormatting sqref="A2:AB737">
    <cfRule type="expression" dxfId="1" priority="1">
      <formula>MOD(SUBTOTAL(103,$E$2:$E2),2)=0</formula>
    </cfRule>
  </conditionalFormatting>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745"/>
  <sheetViews>
    <sheetView zoomScale="90" zoomScaleNormal="90" workbookViewId="0">
      <pane xSplit="5" ySplit="1" topLeftCell="AC121" activePane="bottomRight" state="frozen"/>
      <selection activeCell="H701" sqref="H701"/>
      <selection pane="topRight" activeCell="H701" sqref="H701"/>
      <selection pane="bottomLeft" activeCell="H701" sqref="H701"/>
      <selection pane="bottomRight" activeCell="AF122" sqref="AF122"/>
    </sheetView>
  </sheetViews>
  <sheetFormatPr baseColWidth="10" defaultColWidth="11" defaultRowHeight="11.5" x14ac:dyDescent="0.25"/>
  <cols>
    <col min="1" max="1" width="7" style="63" customWidth="1"/>
    <col min="2" max="2" width="17.36328125" style="63" customWidth="1"/>
    <col min="3" max="3" width="11.08984375" style="63" customWidth="1"/>
    <col min="4" max="4" width="29" style="63" customWidth="1"/>
    <col min="5" max="5" width="28.7265625" style="63" bestFit="1" customWidth="1"/>
    <col min="6" max="6" width="11.6328125" style="63" bestFit="1" customWidth="1"/>
    <col min="7" max="27" width="10.90625" style="93"/>
    <col min="28" max="28" width="11" style="94"/>
    <col min="29" max="29" width="10.90625" style="103"/>
    <col min="30" max="31" width="33.6328125" style="81" customWidth="1"/>
    <col min="32" max="32" width="11" style="93"/>
    <col min="33" max="16384" width="11" style="63"/>
  </cols>
  <sheetData>
    <row r="1" spans="1:32" s="93" customFormat="1" ht="108" x14ac:dyDescent="0.25">
      <c r="A1" s="80" t="s">
        <v>9</v>
      </c>
      <c r="B1" s="80" t="s">
        <v>87</v>
      </c>
      <c r="C1" s="80" t="s">
        <v>88</v>
      </c>
      <c r="D1" s="80" t="s">
        <v>100</v>
      </c>
      <c r="E1" s="80" t="s">
        <v>10</v>
      </c>
      <c r="F1" s="80" t="s">
        <v>39</v>
      </c>
      <c r="G1" s="78" t="s">
        <v>1836</v>
      </c>
      <c r="H1" s="78" t="s">
        <v>1842</v>
      </c>
      <c r="I1" s="78" t="s">
        <v>1843</v>
      </c>
      <c r="J1" s="78" t="s">
        <v>1874</v>
      </c>
      <c r="K1" s="78" t="s">
        <v>1875</v>
      </c>
      <c r="L1" s="78" t="s">
        <v>1850</v>
      </c>
      <c r="M1" s="78" t="s">
        <v>1876</v>
      </c>
      <c r="N1" s="78" t="s">
        <v>1877</v>
      </c>
      <c r="O1" s="78" t="s">
        <v>1878</v>
      </c>
      <c r="P1" s="78" t="s">
        <v>1771</v>
      </c>
      <c r="Q1" s="78" t="s">
        <v>1879</v>
      </c>
      <c r="R1" s="78" t="s">
        <v>1880</v>
      </c>
      <c r="S1" s="78" t="s">
        <v>1772</v>
      </c>
      <c r="T1" s="78" t="s">
        <v>1881</v>
      </c>
      <c r="U1" s="78" t="s">
        <v>1882</v>
      </c>
      <c r="V1" s="78" t="s">
        <v>1773</v>
      </c>
      <c r="W1" s="78" t="s">
        <v>1883</v>
      </c>
      <c r="X1" s="78" t="s">
        <v>1884</v>
      </c>
      <c r="Y1" s="78" t="s">
        <v>1774</v>
      </c>
      <c r="Z1" s="78" t="s">
        <v>1885</v>
      </c>
      <c r="AA1" s="78" t="s">
        <v>1851</v>
      </c>
      <c r="AB1" s="78" t="s">
        <v>1871</v>
      </c>
      <c r="AC1" s="78" t="s">
        <v>1872</v>
      </c>
      <c r="AD1" s="78" t="s">
        <v>1857</v>
      </c>
      <c r="AE1" s="79" t="s">
        <v>1873</v>
      </c>
      <c r="AF1" s="79" t="s">
        <v>1854</v>
      </c>
    </row>
    <row r="2" spans="1:32" x14ac:dyDescent="0.25">
      <c r="A2" s="63">
        <f>'II_Inkunabeln+'!A2</f>
        <v>1</v>
      </c>
      <c r="B2" s="63" t="str">
        <f>'II_Inkunabeln+'!B2</f>
        <v>L-1498-327681713</v>
      </c>
      <c r="C2" s="63" t="str">
        <f>'II_Inkunabeln+'!C2</f>
        <v>107238311X</v>
      </c>
      <c r="D2" s="84" t="str">
        <f>'II_Inkunabeln+'!D2</f>
        <v>https://portal.dnb.de/opac.htm?method=simpleSearch&amp;cqlMode=true&amp;query=idn%3D107238311X</v>
      </c>
      <c r="E2" s="63" t="str">
        <f>'II_Inkunabeln+'!E2</f>
        <v>II 86A,1a - Fragm.</v>
      </c>
      <c r="F2" s="63" t="str">
        <f>'II_Inkunabeln+'!H2</f>
        <v>bis 35 cm</v>
      </c>
      <c r="G2" s="93" t="str">
        <f>'II_Inkunabeln+'!AG2</f>
        <v>Pa</v>
      </c>
      <c r="H2" s="93">
        <f>'II_Inkunabeln+'!AP2</f>
        <v>0</v>
      </c>
      <c r="I2" s="93">
        <f>'II_Inkunabeln+'!AQ2</f>
        <v>0</v>
      </c>
      <c r="K2" s="93">
        <f>'II_Inkunabeln+'!AW2</f>
        <v>0</v>
      </c>
      <c r="L2" s="93">
        <f>'II_Inkunabeln+'!AX2</f>
        <v>0</v>
      </c>
      <c r="AA2" s="93">
        <f>'II_Inkunabeln+'!AY2</f>
        <v>0</v>
      </c>
      <c r="AB2" s="94" t="str">
        <f>'II_Inkunabeln+'!BA2</f>
        <v>n</v>
      </c>
      <c r="AC2" s="108"/>
      <c r="AD2" s="81">
        <f>'II_Inkunabeln+'!BJ2</f>
        <v>0</v>
      </c>
    </row>
    <row r="3" spans="1:32" x14ac:dyDescent="0.25">
      <c r="A3" s="63">
        <f>'II_Inkunabeln+'!A3</f>
        <v>2</v>
      </c>
      <c r="B3" s="63" t="str">
        <f>'II_Inkunabeln+'!B3</f>
        <v>L-1454-315496827</v>
      </c>
      <c r="C3" s="63">
        <f>'II_Inkunabeln+'!C3</f>
        <v>1066966540</v>
      </c>
      <c r="D3" s="84" t="str">
        <f>'II_Inkunabeln+'!D3</f>
        <v>https://portal.dnb.de/opac.htm?method=simpleSearch&amp;cqlMode=true&amp;query=idn%3D1066966540</v>
      </c>
      <c r="E3" s="63" t="str">
        <f>'II_Inkunabeln+'!E3</f>
        <v>II 1,1ab - Fragm.</v>
      </c>
      <c r="F3" s="63">
        <f>'II_Inkunabeln+'!H3</f>
        <v>0</v>
      </c>
      <c r="G3" s="93">
        <f>'II_Inkunabeln+'!AG3</f>
        <v>0</v>
      </c>
      <c r="H3" s="93">
        <f>'II_Inkunabeln+'!AP3</f>
        <v>0</v>
      </c>
      <c r="I3" s="93">
        <f>'II_Inkunabeln+'!AQ3</f>
        <v>0</v>
      </c>
      <c r="K3" s="93">
        <f>'II_Inkunabeln+'!AW3</f>
        <v>0</v>
      </c>
      <c r="L3" s="93">
        <f>'II_Inkunabeln+'!AX3</f>
        <v>0</v>
      </c>
      <c r="AA3" s="93">
        <f>'II_Inkunabeln+'!AY3</f>
        <v>0</v>
      </c>
      <c r="AB3" s="94">
        <f>'II_Inkunabeln+'!BA3</f>
        <v>0</v>
      </c>
      <c r="AC3" s="108"/>
      <c r="AD3" s="81">
        <f>'II_Inkunabeln+'!BJ3</f>
        <v>0</v>
      </c>
    </row>
    <row r="4" spans="1:32" x14ac:dyDescent="0.25">
      <c r="A4" s="63">
        <f>'II_Inkunabeln+'!A4</f>
        <v>3</v>
      </c>
      <c r="B4" s="63" t="str">
        <f>'II_Inkunabeln+'!B4</f>
        <v>L-1459-315498269</v>
      </c>
      <c r="C4" s="63">
        <f>'II_Inkunabeln+'!C4</f>
        <v>1066967997</v>
      </c>
      <c r="D4" s="84" t="str">
        <f>'II_Inkunabeln+'!D4</f>
        <v>https://portal.dnb.de/opac.htm?method=simpleSearch&amp;cqlMode=true&amp;query=idn%3D1066967997</v>
      </c>
      <c r="E4" s="63" t="str">
        <f>'II_Inkunabeln+'!E4</f>
        <v>II 1,2ba - Fragm.</v>
      </c>
      <c r="F4" s="63">
        <f>'II_Inkunabeln+'!H4</f>
        <v>0</v>
      </c>
      <c r="G4" s="93">
        <f>'II_Inkunabeln+'!AG4</f>
        <v>0</v>
      </c>
      <c r="H4" s="93">
        <f>'II_Inkunabeln+'!AP4</f>
        <v>0</v>
      </c>
      <c r="I4" s="93">
        <f>'II_Inkunabeln+'!AQ4</f>
        <v>0</v>
      </c>
      <c r="K4" s="93">
        <f>'II_Inkunabeln+'!AW4</f>
        <v>0</v>
      </c>
      <c r="L4" s="93">
        <f>'II_Inkunabeln+'!AX4</f>
        <v>0</v>
      </c>
      <c r="AA4" s="93">
        <f>'II_Inkunabeln+'!AY4</f>
        <v>0</v>
      </c>
      <c r="AB4" s="94">
        <f>'II_Inkunabeln+'!BA4</f>
        <v>0</v>
      </c>
      <c r="AC4" s="108"/>
      <c r="AD4" s="81">
        <f>'II_Inkunabeln+'!BJ4</f>
        <v>0</v>
      </c>
    </row>
    <row r="5" spans="1:32" x14ac:dyDescent="0.25">
      <c r="A5" s="63">
        <f>'II_Inkunabeln+'!A5</f>
        <v>4</v>
      </c>
      <c r="B5" s="63" t="str">
        <f>'II_Inkunabeln+'!B5</f>
        <v>L-1462-31549669X</v>
      </c>
      <c r="C5" s="63">
        <f>'II_Inkunabeln+'!C5</f>
        <v>1066966419</v>
      </c>
      <c r="D5" s="84" t="str">
        <f>'II_Inkunabeln+'!D5</f>
        <v>https://portal.dnb.de/opac.htm?method=simpleSearch&amp;cqlMode=true&amp;query=idn%3D1066966419</v>
      </c>
      <c r="E5" s="63" t="str">
        <f>'II_Inkunabeln+'!E5</f>
        <v>II 1,2ca - Fragm.</v>
      </c>
      <c r="F5" s="63">
        <f>'II_Inkunabeln+'!H5</f>
        <v>0</v>
      </c>
      <c r="G5" s="93">
        <f>'II_Inkunabeln+'!AG5</f>
        <v>0</v>
      </c>
      <c r="H5" s="93">
        <f>'II_Inkunabeln+'!AP5</f>
        <v>0</v>
      </c>
      <c r="I5" s="93">
        <f>'II_Inkunabeln+'!AQ5</f>
        <v>0</v>
      </c>
      <c r="K5" s="93">
        <f>'II_Inkunabeln+'!AW5</f>
        <v>0</v>
      </c>
      <c r="L5" s="93">
        <f>'II_Inkunabeln+'!AX5</f>
        <v>0</v>
      </c>
      <c r="AA5" s="93">
        <f>'II_Inkunabeln+'!AY5</f>
        <v>0</v>
      </c>
      <c r="AB5" s="94">
        <f>'II_Inkunabeln+'!BA5</f>
        <v>0</v>
      </c>
      <c r="AC5" s="108"/>
      <c r="AD5" s="81">
        <f>'II_Inkunabeln+'!BJ5</f>
        <v>0</v>
      </c>
    </row>
    <row r="6" spans="1:32" x14ac:dyDescent="0.25">
      <c r="A6" s="63">
        <f>'II_Inkunabeln+'!A6</f>
        <v>5</v>
      </c>
      <c r="B6" s="63" t="str">
        <f>'II_Inkunabeln+'!B6</f>
        <v>L-1467-315495871</v>
      </c>
      <c r="C6" s="63" t="str">
        <f>'II_Inkunabeln+'!C6</f>
        <v>106696565X</v>
      </c>
      <c r="D6" s="84" t="str">
        <f>'II_Inkunabeln+'!D6</f>
        <v>https://portal.dnb.de/opac.htm?method=simpleSearch&amp;cqlMode=true&amp;query=idn%3D106696565X</v>
      </c>
      <c r="E6" s="63" t="str">
        <f>'II_Inkunabeln+'!E6</f>
        <v>II 1,2e</v>
      </c>
      <c r="F6" s="63" t="str">
        <f>'II_Inkunabeln+'!H6</f>
        <v>bis 35 cm</v>
      </c>
      <c r="G6" s="93" t="str">
        <f>'II_Inkunabeln+'!AG6</f>
        <v>Pa</v>
      </c>
      <c r="H6" s="93">
        <f>'II_Inkunabeln+'!AP6</f>
        <v>0</v>
      </c>
      <c r="I6" s="93" t="str">
        <f>'II_Inkunabeln+'!AQ6</f>
        <v>B/I/R</v>
      </c>
      <c r="J6" s="94"/>
      <c r="K6" s="93">
        <f>'II_Inkunabeln+'!AW6</f>
        <v>0</v>
      </c>
      <c r="L6" s="93">
        <f>'II_Inkunabeln+'!AX6</f>
        <v>0</v>
      </c>
      <c r="AA6" s="93">
        <f>'II_Inkunabeln+'!AY6</f>
        <v>0</v>
      </c>
      <c r="AB6" s="94" t="str">
        <f>'II_Inkunabeln+'!BA6</f>
        <v>n</v>
      </c>
      <c r="AC6" s="108"/>
      <c r="AD6" s="81">
        <f>'II_Inkunabeln+'!BJ6</f>
        <v>0</v>
      </c>
    </row>
    <row r="7" spans="1:32" x14ac:dyDescent="0.25">
      <c r="A7" s="63">
        <f>'II_Inkunabeln+'!A7</f>
        <v>6</v>
      </c>
      <c r="B7" s="63" t="str">
        <f>'II_Inkunabeln+'!B7</f>
        <v>L-1468-315499850</v>
      </c>
      <c r="C7" s="63">
        <f>'II_Inkunabeln+'!C7</f>
        <v>1066969531</v>
      </c>
      <c r="D7" s="84" t="str">
        <f>'II_Inkunabeln+'!D7</f>
        <v>https://portal.dnb.de/opac.htm?method=simpleSearch&amp;cqlMode=true&amp;query=idn%3D1066969531</v>
      </c>
      <c r="E7" s="63" t="str">
        <f>'II_Inkunabeln+'!E7</f>
        <v>II 1,3b</v>
      </c>
      <c r="F7" s="63">
        <f>'II_Inkunabeln+'!H7</f>
        <v>0</v>
      </c>
      <c r="G7" s="93">
        <f>'II_Inkunabeln+'!AG7</f>
        <v>0</v>
      </c>
      <c r="H7" s="93">
        <f>'II_Inkunabeln+'!AP7</f>
        <v>0</v>
      </c>
      <c r="I7" s="93">
        <f>'II_Inkunabeln+'!AQ7</f>
        <v>0</v>
      </c>
      <c r="J7" s="94"/>
      <c r="K7" s="93">
        <f>'II_Inkunabeln+'!AW7</f>
        <v>0</v>
      </c>
      <c r="L7" s="93">
        <f>'II_Inkunabeln+'!AX7</f>
        <v>0</v>
      </c>
      <c r="AA7" s="93">
        <f>'II_Inkunabeln+'!AY7</f>
        <v>0</v>
      </c>
      <c r="AB7" s="94">
        <f>'II_Inkunabeln+'!BA7</f>
        <v>0</v>
      </c>
      <c r="AC7" s="108"/>
      <c r="AD7" s="81">
        <f>'II_Inkunabeln+'!BJ7</f>
        <v>0</v>
      </c>
    </row>
    <row r="8" spans="1:32" x14ac:dyDescent="0.25">
      <c r="A8" s="63">
        <f>'II_Inkunabeln+'!A8</f>
        <v>7</v>
      </c>
      <c r="B8" s="63" t="str">
        <f>'II_Inkunabeln+'!B8</f>
        <v>L-1492-315497408</v>
      </c>
      <c r="C8" s="63">
        <f>'II_Inkunabeln+'!C8</f>
        <v>1066967148</v>
      </c>
      <c r="D8" s="84" t="str">
        <f>'II_Inkunabeln+'!D8</f>
        <v>https://portal.dnb.de/opac.htm?method=simpleSearch&amp;cqlMode=true&amp;query=idn%3D1066967148</v>
      </c>
      <c r="E8" s="63" t="str">
        <f>'II_Inkunabeln+'!E8</f>
        <v>II 1,3ba kursiv - Fragm.</v>
      </c>
      <c r="F8" s="63">
        <f>'II_Inkunabeln+'!H8</f>
        <v>0</v>
      </c>
      <c r="G8" s="93">
        <f>'II_Inkunabeln+'!AG8</f>
        <v>0</v>
      </c>
      <c r="H8" s="93">
        <f>'II_Inkunabeln+'!AP8</f>
        <v>0</v>
      </c>
      <c r="I8" s="93">
        <f>'II_Inkunabeln+'!AQ8</f>
        <v>0</v>
      </c>
      <c r="J8" s="94"/>
      <c r="K8" s="93">
        <f>'II_Inkunabeln+'!AW8</f>
        <v>0</v>
      </c>
      <c r="L8" s="93">
        <f>'II_Inkunabeln+'!AX8</f>
        <v>0</v>
      </c>
      <c r="AA8" s="93">
        <f>'II_Inkunabeln+'!AY8</f>
        <v>0</v>
      </c>
      <c r="AB8" s="94">
        <f>'II_Inkunabeln+'!BA8</f>
        <v>0</v>
      </c>
      <c r="AC8" s="108"/>
      <c r="AD8" s="81">
        <f>'II_Inkunabeln+'!BJ8</f>
        <v>0</v>
      </c>
    </row>
    <row r="9" spans="1:32" x14ac:dyDescent="0.25">
      <c r="A9" s="63">
        <f>'II_Inkunabeln+'!A9</f>
        <v>8</v>
      </c>
      <c r="B9" s="63" t="str">
        <f>'II_Inkunabeln+'!B9</f>
        <v>L-1469-315503122</v>
      </c>
      <c r="C9" s="63">
        <f>'II_Inkunabeln+'!C9</f>
        <v>1066972710</v>
      </c>
      <c r="D9" s="84" t="str">
        <f>'II_Inkunabeln+'!D9</f>
        <v>https://portal.dnb.de/opac.htm?method=simpleSearch&amp;cqlMode=true&amp;query=idn%3D1066972710</v>
      </c>
      <c r="E9" s="63" t="str">
        <f>'II_Inkunabeln+'!E9</f>
        <v>II 1,3c</v>
      </c>
      <c r="F9" s="63" t="str">
        <f>'II_Inkunabeln+'!H9</f>
        <v>bis 42 cm</v>
      </c>
      <c r="G9" s="93" t="str">
        <f>'II_Inkunabeln+'!AG9</f>
        <v>Pa</v>
      </c>
      <c r="H9" s="93">
        <f>'II_Inkunabeln+'!AP9</f>
        <v>0</v>
      </c>
      <c r="I9" s="93" t="str">
        <f>'II_Inkunabeln+'!AQ9</f>
        <v>I/R</v>
      </c>
      <c r="J9" s="94"/>
      <c r="K9" s="93">
        <f>'II_Inkunabeln+'!AW9</f>
        <v>0</v>
      </c>
      <c r="L9" s="93">
        <f>'II_Inkunabeln+'!AX9</f>
        <v>0</v>
      </c>
      <c r="AA9" s="93">
        <f>'II_Inkunabeln+'!AY9</f>
        <v>0</v>
      </c>
      <c r="AB9" s="94" t="str">
        <f>'II_Inkunabeln+'!BA9</f>
        <v>n</v>
      </c>
      <c r="AC9" s="108"/>
      <c r="AD9" s="81">
        <f>'II_Inkunabeln+'!BJ9</f>
        <v>0</v>
      </c>
    </row>
    <row r="10" spans="1:32" x14ac:dyDescent="0.25">
      <c r="A10" s="63">
        <f>'II_Inkunabeln+'!A10</f>
        <v>9</v>
      </c>
      <c r="B10" s="63" t="str">
        <f>'II_Inkunabeln+'!B10</f>
        <v>L-1493-315501316</v>
      </c>
      <c r="C10" s="63">
        <f>'II_Inkunabeln+'!C10</f>
        <v>1066970955</v>
      </c>
      <c r="D10" s="84" t="str">
        <f>'II_Inkunabeln+'!D10</f>
        <v>https://portal.dnb.de/opac.htm?method=simpleSearch&amp;cqlMode=true&amp;query=idn%3D1066970955</v>
      </c>
      <c r="E10" s="63" t="str">
        <f>'II_Inkunabeln+'!E10</f>
        <v>II 1,3c kursiv</v>
      </c>
      <c r="F10" s="63" t="str">
        <f>'II_Inkunabeln+'!H10</f>
        <v>bis 42 cm</v>
      </c>
      <c r="G10" s="93" t="str">
        <f>'II_Inkunabeln+'!AG10</f>
        <v>Pg</v>
      </c>
      <c r="H10" s="93">
        <f>'II_Inkunabeln+'!AP10</f>
        <v>0</v>
      </c>
      <c r="I10" s="93" t="str">
        <f>'II_Inkunabeln+'!AQ10</f>
        <v>I/R</v>
      </c>
      <c r="J10" s="94"/>
      <c r="K10" s="93">
        <f>'II_Inkunabeln+'!AW10</f>
        <v>0</v>
      </c>
      <c r="L10" s="93">
        <f>'II_Inkunabeln+'!AX10</f>
        <v>0</v>
      </c>
      <c r="AA10" s="93">
        <f>'II_Inkunabeln+'!AY10</f>
        <v>0</v>
      </c>
      <c r="AB10" s="94">
        <f>'II_Inkunabeln+'!BA10</f>
        <v>0</v>
      </c>
      <c r="AC10" s="108"/>
      <c r="AD10" s="81">
        <f>'II_Inkunabeln+'!BJ10</f>
        <v>0</v>
      </c>
    </row>
    <row r="11" spans="1:32" x14ac:dyDescent="0.25">
      <c r="A11" s="63">
        <f>'II_Inkunabeln+'!A11</f>
        <v>10</v>
      </c>
      <c r="B11" s="63" t="str">
        <f>'II_Inkunabeln+'!B11</f>
        <v>L-1470-315499486</v>
      </c>
      <c r="C11" s="63">
        <f>'II_Inkunabeln+'!C11</f>
        <v>1066969183</v>
      </c>
      <c r="D11" s="84" t="str">
        <f>'II_Inkunabeln+'!D11</f>
        <v>https://portal.dnb.de/opac.htm?method=simpleSearch&amp;cqlMode=true&amp;query=idn%3D1066969183</v>
      </c>
      <c r="E11" s="63" t="str">
        <f>'II_Inkunabeln+'!E11</f>
        <v>II 1,3d</v>
      </c>
      <c r="F11" s="63" t="str">
        <f>'II_Inkunabeln+'!H11</f>
        <v>&gt; 42 cm</v>
      </c>
      <c r="G11" s="93">
        <f>'II_Inkunabeln+'!AG11</f>
        <v>0</v>
      </c>
      <c r="H11" s="93">
        <f>'II_Inkunabeln+'!AP11</f>
        <v>0</v>
      </c>
      <c r="I11" s="93">
        <f>'II_Inkunabeln+'!AQ11</f>
        <v>0</v>
      </c>
      <c r="J11" s="94"/>
      <c r="K11" s="93">
        <f>'II_Inkunabeln+'!AW11</f>
        <v>0</v>
      </c>
      <c r="L11" s="93">
        <f>'II_Inkunabeln+'!AX11</f>
        <v>0</v>
      </c>
      <c r="AA11" s="93">
        <f>'II_Inkunabeln+'!AY11</f>
        <v>0</v>
      </c>
      <c r="AB11" s="94">
        <f>'II_Inkunabeln+'!BA11</f>
        <v>0</v>
      </c>
      <c r="AC11" s="108"/>
      <c r="AD11" s="81">
        <f>'II_Inkunabeln+'!BJ11</f>
        <v>0</v>
      </c>
    </row>
    <row r="12" spans="1:32" x14ac:dyDescent="0.25">
      <c r="A12" s="63">
        <f>'II_Inkunabeln+'!A12</f>
        <v>11</v>
      </c>
      <c r="B12" s="63" t="str">
        <f>'II_Inkunabeln+'!B12</f>
        <v>L-1470-315497106</v>
      </c>
      <c r="C12" s="63" t="str">
        <f>'II_Inkunabeln+'!C12</f>
        <v>106696680X</v>
      </c>
      <c r="D12" s="84" t="str">
        <f>'II_Inkunabeln+'!D12</f>
        <v>https://portal.dnb.de/opac.htm?method=simpleSearch&amp;cqlMode=true&amp;query=idn%3D106696680X</v>
      </c>
      <c r="E12" s="63" t="str">
        <f>'II_Inkunabeln+'!E12</f>
        <v>II 1,3d kursiv</v>
      </c>
      <c r="F12" s="63" t="str">
        <f>'II_Inkunabeln+'!H12</f>
        <v>bis 25 cm</v>
      </c>
      <c r="G12" s="93" t="str">
        <f>'II_Inkunabeln+'!AG12</f>
        <v>Pa</v>
      </c>
      <c r="H12" s="93">
        <f>'II_Inkunabeln+'!AP12</f>
        <v>0</v>
      </c>
      <c r="I12" s="93" t="str">
        <f>'II_Inkunabeln+'!AQ12</f>
        <v>I/R</v>
      </c>
      <c r="J12" s="94"/>
      <c r="K12" s="93">
        <f>'II_Inkunabeln+'!AW12</f>
        <v>0</v>
      </c>
      <c r="L12" s="93">
        <f>'II_Inkunabeln+'!AX12</f>
        <v>0</v>
      </c>
      <c r="AA12" s="93">
        <f>'II_Inkunabeln+'!AY12</f>
        <v>0</v>
      </c>
      <c r="AB12" s="94" t="str">
        <f>'II_Inkunabeln+'!BA12</f>
        <v>n</v>
      </c>
      <c r="AC12" s="108"/>
      <c r="AD12" s="81">
        <f>'II_Inkunabeln+'!BJ12</f>
        <v>0</v>
      </c>
    </row>
    <row r="13" spans="1:32" x14ac:dyDescent="0.25">
      <c r="A13" s="63">
        <f>'II_Inkunabeln+'!A13</f>
        <v>12</v>
      </c>
      <c r="B13" s="63" t="str">
        <f>'II_Inkunabeln+'!B13</f>
        <v>L-1470-315499494</v>
      </c>
      <c r="C13" s="63">
        <f>'II_Inkunabeln+'!C13</f>
        <v>1066969183</v>
      </c>
      <c r="D13" s="84" t="str">
        <f>'II_Inkunabeln+'!D13</f>
        <v>https://portal.dnb.de/opac.htm?method=simpleSearch&amp;cqlMode=true&amp;query=idn%3D1066969183</v>
      </c>
      <c r="E13" s="63" t="str">
        <f>'II_Inkunabeln+'!E13</f>
        <v>II 1,3da - Fragm.</v>
      </c>
      <c r="F13" s="63">
        <f>'II_Inkunabeln+'!H13</f>
        <v>0</v>
      </c>
      <c r="G13" s="93">
        <f>'II_Inkunabeln+'!AG13</f>
        <v>0</v>
      </c>
      <c r="H13" s="93">
        <f>'II_Inkunabeln+'!AP13</f>
        <v>0</v>
      </c>
      <c r="I13" s="93">
        <f>'II_Inkunabeln+'!AQ13</f>
        <v>0</v>
      </c>
      <c r="J13" s="94"/>
      <c r="K13" s="93">
        <f>'II_Inkunabeln+'!AW13</f>
        <v>0</v>
      </c>
      <c r="L13" s="93">
        <f>'II_Inkunabeln+'!AX13</f>
        <v>0</v>
      </c>
      <c r="AA13" s="93">
        <f>'II_Inkunabeln+'!AY13</f>
        <v>0</v>
      </c>
      <c r="AB13" s="94">
        <f>'II_Inkunabeln+'!BA13</f>
        <v>0</v>
      </c>
      <c r="AC13" s="108"/>
      <c r="AD13" s="81">
        <f>'II_Inkunabeln+'!BJ13</f>
        <v>0</v>
      </c>
    </row>
    <row r="14" spans="1:32" x14ac:dyDescent="0.25">
      <c r="A14" s="63">
        <f>'II_Inkunabeln+'!A14</f>
        <v>13</v>
      </c>
      <c r="B14" s="63" t="str">
        <f>'II_Inkunabeln+'!B14</f>
        <v>L-1470-31550059X</v>
      </c>
      <c r="C14" s="63">
        <f>'II_Inkunabeln+'!C14</f>
        <v>1066970254</v>
      </c>
      <c r="D14" s="84" t="str">
        <f>'II_Inkunabeln+'!D14</f>
        <v>https://portal.dnb.de/opac.htm?method=simpleSearch&amp;cqlMode=true&amp;query=idn%3D1066970254</v>
      </c>
      <c r="E14" s="63" t="str">
        <f>'II_Inkunabeln+'!E14</f>
        <v>II 1,3e</v>
      </c>
      <c r="F14" s="63" t="str">
        <f>'II_Inkunabeln+'!H14</f>
        <v>bis 35 cm</v>
      </c>
      <c r="G14" s="93" t="str">
        <f>'II_Inkunabeln+'!AG14</f>
        <v>Pa</v>
      </c>
      <c r="H14" s="93">
        <f>'II_Inkunabeln+'!AP14</f>
        <v>0</v>
      </c>
      <c r="I14" s="93" t="str">
        <f>'II_Inkunabeln+'!AQ14</f>
        <v>B/I/R</v>
      </c>
      <c r="J14" s="94"/>
      <c r="K14" s="93">
        <f>'II_Inkunabeln+'!AW14</f>
        <v>0</v>
      </c>
      <c r="L14" s="93">
        <f>'II_Inkunabeln+'!AX14</f>
        <v>0</v>
      </c>
      <c r="AA14" s="93">
        <f>'II_Inkunabeln+'!AY14</f>
        <v>0</v>
      </c>
      <c r="AB14" s="94" t="str">
        <f>'II_Inkunabeln+'!BA14</f>
        <v>ja nach</v>
      </c>
      <c r="AC14" s="108"/>
      <c r="AD14" s="81">
        <f>'II_Inkunabeln+'!BJ14</f>
        <v>0</v>
      </c>
    </row>
    <row r="15" spans="1:32" x14ac:dyDescent="0.25">
      <c r="A15" s="63">
        <f>'II_Inkunabeln+'!A15</f>
        <v>14</v>
      </c>
      <c r="B15" s="63" t="str">
        <f>'II_Inkunabeln+'!B15</f>
        <v>L-1471-315495219</v>
      </c>
      <c r="C15" s="63">
        <f>'II_Inkunabeln+'!C15</f>
        <v>1066965072</v>
      </c>
      <c r="D15" s="84" t="str">
        <f>'II_Inkunabeln+'!D15</f>
        <v>https://portal.dnb.de/opac.htm?method=simpleSearch&amp;cqlMode=true&amp;query=idn%3D1066965072</v>
      </c>
      <c r="E15" s="63" t="str">
        <f>'II_Inkunabeln+'!E15</f>
        <v>II 1,3g</v>
      </c>
      <c r="F15" s="63" t="str">
        <f>'II_Inkunabeln+'!H15</f>
        <v>bis 42 cm</v>
      </c>
      <c r="G15" s="93" t="str">
        <f>'II_Inkunabeln+'!AG15</f>
        <v>Pa</v>
      </c>
      <c r="H15" s="93">
        <f>'II_Inkunabeln+'!AP15</f>
        <v>0</v>
      </c>
      <c r="I15" s="93" t="str">
        <f>'II_Inkunabeln+'!AQ15</f>
        <v>I/R</v>
      </c>
      <c r="J15" s="94"/>
      <c r="K15" s="93">
        <f>'II_Inkunabeln+'!AW15</f>
        <v>0</v>
      </c>
      <c r="L15" s="93">
        <f>'II_Inkunabeln+'!AX15</f>
        <v>0</v>
      </c>
      <c r="AA15" s="93">
        <f>'II_Inkunabeln+'!AY15</f>
        <v>0</v>
      </c>
      <c r="AB15" s="94" t="str">
        <f>'II_Inkunabeln+'!BA15</f>
        <v>n</v>
      </c>
      <c r="AC15" s="108"/>
      <c r="AD15" s="81">
        <f>'II_Inkunabeln+'!BJ15</f>
        <v>0</v>
      </c>
    </row>
    <row r="16" spans="1:32" x14ac:dyDescent="0.25">
      <c r="A16" s="63">
        <f>'II_Inkunabeln+'!A16</f>
        <v>15</v>
      </c>
      <c r="B16" s="63" t="str">
        <f>'II_Inkunabeln+'!B16</f>
        <v>L-1489-315496444</v>
      </c>
      <c r="C16" s="63">
        <f>'II_Inkunabeln+'!C16</f>
        <v>1066966141</v>
      </c>
      <c r="D16" s="84" t="str">
        <f>'II_Inkunabeln+'!D16</f>
        <v>https://portal.dnb.de/opac.htm?method=simpleSearch&amp;cqlMode=true&amp;query=idn%3D1066966141</v>
      </c>
      <c r="E16" s="63" t="str">
        <f>'II_Inkunabeln+'!E16</f>
        <v>II 1,3g kursiv</v>
      </c>
      <c r="F16" s="63" t="str">
        <f>'II_Inkunabeln+'!H16</f>
        <v>bis 25 cm</v>
      </c>
      <c r="G16" s="93" t="str">
        <f>'II_Inkunabeln+'!AG16</f>
        <v>Pa</v>
      </c>
      <c r="H16" s="93">
        <f>'II_Inkunabeln+'!AP16</f>
        <v>0</v>
      </c>
      <c r="I16" s="93" t="str">
        <f>'II_Inkunabeln+'!AQ16</f>
        <v>I/R</v>
      </c>
      <c r="J16" s="94"/>
      <c r="K16" s="93">
        <f>'II_Inkunabeln+'!AW16</f>
        <v>0</v>
      </c>
      <c r="L16" s="93">
        <f>'II_Inkunabeln+'!AX16</f>
        <v>0</v>
      </c>
      <c r="Q16" s="93" t="s">
        <v>1633</v>
      </c>
      <c r="AA16" s="93">
        <f>'II_Inkunabeln+'!AY16</f>
        <v>0</v>
      </c>
      <c r="AB16" s="94" t="str">
        <f>'II_Inkunabeln+'!BA16</f>
        <v>ja vor</v>
      </c>
      <c r="AC16" s="108">
        <v>1</v>
      </c>
      <c r="AD16" s="81">
        <f>'II_Inkunabeln+'!BJ16</f>
        <v>0</v>
      </c>
    </row>
    <row r="17" spans="1:30" x14ac:dyDescent="0.25">
      <c r="A17" s="63">
        <f>'II_Inkunabeln+'!A17</f>
        <v>16</v>
      </c>
      <c r="B17" s="63" t="str">
        <f>'II_Inkunabeln+'!B17</f>
        <v>L-1472-315496711</v>
      </c>
      <c r="C17" s="63">
        <f>'II_Inkunabeln+'!C17</f>
        <v>1066966435</v>
      </c>
      <c r="D17" s="84" t="str">
        <f>'II_Inkunabeln+'!D17</f>
        <v>https://portal.dnb.de/opac.htm?method=simpleSearch&amp;cqlMode=true&amp;query=idn%3D1066966435</v>
      </c>
      <c r="E17" s="63" t="str">
        <f>'II_Inkunabeln+'!E17</f>
        <v>II 1,3h</v>
      </c>
      <c r="F17" s="63" t="str">
        <f>'II_Inkunabeln+'!H17</f>
        <v>bis 42 cm</v>
      </c>
      <c r="G17" s="93" t="str">
        <f>'II_Inkunabeln+'!AG17</f>
        <v>Pa</v>
      </c>
      <c r="H17" s="93">
        <f>'II_Inkunabeln+'!AP17</f>
        <v>0</v>
      </c>
      <c r="I17" s="93" t="str">
        <f>'II_Inkunabeln+'!AQ17</f>
        <v>I/R</v>
      </c>
      <c r="J17" s="94"/>
      <c r="K17" s="93">
        <f>'II_Inkunabeln+'!AW17</f>
        <v>0</v>
      </c>
      <c r="L17" s="93">
        <f>'II_Inkunabeln+'!AX17</f>
        <v>0</v>
      </c>
      <c r="AA17" s="93">
        <f>'II_Inkunabeln+'!AY17</f>
        <v>0</v>
      </c>
      <c r="AB17" s="94" t="str">
        <f>'II_Inkunabeln+'!BA17</f>
        <v>n</v>
      </c>
      <c r="AC17" s="108"/>
      <c r="AD17" s="81">
        <f>'II_Inkunabeln+'!BJ17</f>
        <v>0</v>
      </c>
    </row>
    <row r="18" spans="1:30" x14ac:dyDescent="0.25">
      <c r="A18" s="63">
        <f>'II_Inkunabeln+'!A18</f>
        <v>17</v>
      </c>
      <c r="B18" s="63" t="str">
        <f>'II_Inkunabeln+'!B18</f>
        <v>L-1474-316396664</v>
      </c>
      <c r="C18" s="63">
        <f>'II_Inkunabeln+'!C18</f>
        <v>1067434755</v>
      </c>
      <c r="D18" s="84" t="str">
        <f>'II_Inkunabeln+'!D18</f>
        <v>https://portal.dnb.de/opac.htm?method=simpleSearch&amp;cqlMode=true&amp;query=idn%3D1067434755</v>
      </c>
      <c r="E18" s="63" t="str">
        <f>'II_Inkunabeln+'!E18</f>
        <v>II 1,3h kursiv</v>
      </c>
      <c r="F18" s="63">
        <f>'II_Inkunabeln+'!H18</f>
        <v>0</v>
      </c>
      <c r="G18" s="93">
        <f>'II_Inkunabeln+'!AG18</f>
        <v>0</v>
      </c>
      <c r="H18" s="93">
        <f>'II_Inkunabeln+'!AP18</f>
        <v>0</v>
      </c>
      <c r="I18" s="93">
        <f>'II_Inkunabeln+'!AQ18</f>
        <v>0</v>
      </c>
      <c r="J18" s="94"/>
      <c r="K18" s="93">
        <f>'II_Inkunabeln+'!AW18</f>
        <v>0</v>
      </c>
      <c r="L18" s="93">
        <f>'II_Inkunabeln+'!AX18</f>
        <v>0</v>
      </c>
      <c r="AA18" s="93">
        <f>'II_Inkunabeln+'!AY18</f>
        <v>0</v>
      </c>
      <c r="AB18" s="94">
        <f>'II_Inkunabeln+'!BA18</f>
        <v>0</v>
      </c>
      <c r="AC18" s="108"/>
      <c r="AD18" s="81">
        <f>'II_Inkunabeln+'!BJ18</f>
        <v>0</v>
      </c>
    </row>
    <row r="19" spans="1:30" x14ac:dyDescent="0.25">
      <c r="A19" s="63">
        <f>'II_Inkunabeln+'!A19</f>
        <v>18</v>
      </c>
      <c r="B19" s="63" t="str">
        <f>'II_Inkunabeln+'!B19</f>
        <v>L-1472-315498781</v>
      </c>
      <c r="C19" s="63">
        <f>'II_Inkunabeln+'!C19</f>
        <v>1066968527</v>
      </c>
      <c r="D19" s="84" t="str">
        <f>'II_Inkunabeln+'!D19</f>
        <v>https://portal.dnb.de/opac.htm?method=simpleSearch&amp;cqlMode=true&amp;query=idn%3D1066968527</v>
      </c>
      <c r="E19" s="63" t="str">
        <f>'II_Inkunabeln+'!E19</f>
        <v>II 1,3i</v>
      </c>
      <c r="F19" s="63" t="str">
        <f>'II_Inkunabeln+'!H19</f>
        <v>&gt; 42 cm</v>
      </c>
      <c r="G19" s="93">
        <f>'II_Inkunabeln+'!AG19</f>
        <v>0</v>
      </c>
      <c r="H19" s="93">
        <f>'II_Inkunabeln+'!AP19</f>
        <v>0</v>
      </c>
      <c r="I19" s="93">
        <f>'II_Inkunabeln+'!AQ19</f>
        <v>0</v>
      </c>
      <c r="J19" s="94"/>
      <c r="K19" s="93">
        <f>'II_Inkunabeln+'!AW19</f>
        <v>0</v>
      </c>
      <c r="L19" s="93">
        <f>'II_Inkunabeln+'!AX19</f>
        <v>0</v>
      </c>
      <c r="AA19" s="93">
        <f>'II_Inkunabeln+'!AY19</f>
        <v>0</v>
      </c>
      <c r="AB19" s="94">
        <f>'II_Inkunabeln+'!BA19</f>
        <v>0</v>
      </c>
      <c r="AC19" s="108"/>
      <c r="AD19" s="81">
        <f>'II_Inkunabeln+'!BJ19</f>
        <v>0</v>
      </c>
    </row>
    <row r="20" spans="1:30" x14ac:dyDescent="0.25">
      <c r="A20" s="63">
        <f>'II_Inkunabeln+'!A20</f>
        <v>19</v>
      </c>
      <c r="B20" s="63" t="str">
        <f>'II_Inkunabeln+'!B20</f>
        <v>L-1481-315498307</v>
      </c>
      <c r="C20" s="63">
        <f>'II_Inkunabeln+'!C20</f>
        <v>1066968039</v>
      </c>
      <c r="D20" s="84" t="str">
        <f>'II_Inkunabeln+'!D20</f>
        <v>https://portal.dnb.de/opac.htm?method=simpleSearch&amp;cqlMode=true&amp;query=idn%3D1066968039</v>
      </c>
      <c r="E20" s="63" t="str">
        <f>'II_Inkunabeln+'!E20</f>
        <v>II 1,3i kursiv</v>
      </c>
      <c r="F20" s="63" t="str">
        <f>'II_Inkunabeln+'!H20</f>
        <v>bis 25 cm</v>
      </c>
      <c r="G20" s="93" t="str">
        <f>'II_Inkunabeln+'!AG20</f>
        <v>Pa</v>
      </c>
      <c r="H20" s="93">
        <f>'II_Inkunabeln+'!AP20</f>
        <v>0</v>
      </c>
      <c r="I20" s="93" t="str">
        <f>'II_Inkunabeln+'!AQ20</f>
        <v>I/R</v>
      </c>
      <c r="J20" s="94"/>
      <c r="K20" s="93">
        <f>'II_Inkunabeln+'!AW20</f>
        <v>0</v>
      </c>
      <c r="L20" s="93">
        <f>'II_Inkunabeln+'!AX20</f>
        <v>0</v>
      </c>
      <c r="AA20" s="93">
        <f>'II_Inkunabeln+'!AY20</f>
        <v>0</v>
      </c>
      <c r="AB20" s="94" t="str">
        <f>'II_Inkunabeln+'!BA20</f>
        <v>n</v>
      </c>
      <c r="AC20" s="108"/>
      <c r="AD20" s="81" t="str">
        <f>'II_Inkunabeln+'!BJ20</f>
        <v>Holzdeckel mit Intarsienarbeit (s. Foto)</v>
      </c>
    </row>
    <row r="21" spans="1:30" x14ac:dyDescent="0.25">
      <c r="A21" s="63">
        <f>'II_Inkunabeln+'!A21</f>
        <v>20</v>
      </c>
      <c r="B21" s="63" t="str">
        <f>'II_Inkunabeln+'!B21</f>
        <v>L-1473-315497300</v>
      </c>
      <c r="C21" s="63">
        <f>'II_Inkunabeln+'!C21</f>
        <v>1066967008</v>
      </c>
      <c r="D21" s="84" t="str">
        <f>'II_Inkunabeln+'!D21</f>
        <v>https://portal.dnb.de/opac.htm?method=simpleSearch&amp;cqlMode=true&amp;query=idn%3D1066967008</v>
      </c>
      <c r="E21" s="63" t="str">
        <f>'II_Inkunabeln+'!E21</f>
        <v>II 1,3k</v>
      </c>
      <c r="F21" s="63" t="str">
        <f>'II_Inkunabeln+'!H21</f>
        <v>bis 42 cm</v>
      </c>
      <c r="G21" s="93" t="str">
        <f>'II_Inkunabeln+'!AG21</f>
        <v>Pg</v>
      </c>
      <c r="H21" s="93">
        <f>'II_Inkunabeln+'!AP21</f>
        <v>0</v>
      </c>
      <c r="I21" s="93" t="str">
        <f>'II_Inkunabeln+'!AQ21</f>
        <v>B/I/R</v>
      </c>
      <c r="J21" s="94"/>
      <c r="K21" s="93">
        <f>'II_Inkunabeln+'!AW21</f>
        <v>0</v>
      </c>
      <c r="L21" s="93">
        <f>'II_Inkunabeln+'!AX21</f>
        <v>0</v>
      </c>
      <c r="AA21" s="93">
        <f>'II_Inkunabeln+'!AY21</f>
        <v>0</v>
      </c>
      <c r="AB21" s="94" t="str">
        <f>'II_Inkunabeln+'!BA21</f>
        <v>n</v>
      </c>
      <c r="AC21" s="108"/>
      <c r="AD21" s="81">
        <f>'II_Inkunabeln+'!BJ21</f>
        <v>0</v>
      </c>
    </row>
    <row r="22" spans="1:30" x14ac:dyDescent="0.25">
      <c r="A22" s="63">
        <f>'II_Inkunabeln+'!A22</f>
        <v>21</v>
      </c>
      <c r="B22" s="63" t="str">
        <f>'II_Inkunabeln+'!B22</f>
        <v>L-1473-315495936</v>
      </c>
      <c r="C22" s="63">
        <f>'II_Inkunabeln+'!C22</f>
        <v>1066965714</v>
      </c>
      <c r="D22" s="84" t="str">
        <f>'II_Inkunabeln+'!D22</f>
        <v>https://portal.dnb.de/opac.htm?method=simpleSearch&amp;cqlMode=true&amp;query=idn%3D1066965714</v>
      </c>
      <c r="E22" s="63" t="str">
        <f>'II_Inkunabeln+'!E22</f>
        <v>II 1,3l</v>
      </c>
      <c r="F22" s="63" t="str">
        <f>'II_Inkunabeln+'!H22</f>
        <v>bis 42 cm</v>
      </c>
      <c r="G22" s="93" t="str">
        <f>'II_Inkunabeln+'!AG22</f>
        <v>Pa</v>
      </c>
      <c r="H22" s="93">
        <f>'II_Inkunabeln+'!AP22</f>
        <v>0</v>
      </c>
      <c r="I22" s="93" t="str">
        <f>'II_Inkunabeln+'!AQ22</f>
        <v>I/R</v>
      </c>
      <c r="J22" s="94"/>
      <c r="K22" s="93">
        <f>'II_Inkunabeln+'!AW22</f>
        <v>0</v>
      </c>
      <c r="L22" s="93">
        <f>'II_Inkunabeln+'!AX22</f>
        <v>0</v>
      </c>
      <c r="AA22" s="93">
        <f>'II_Inkunabeln+'!AY22</f>
        <v>0</v>
      </c>
      <c r="AB22" s="94" t="str">
        <f>'II_Inkunabeln+'!BA22</f>
        <v>n</v>
      </c>
      <c r="AC22" s="108"/>
      <c r="AD22" s="81">
        <f>'II_Inkunabeln+'!BJ22</f>
        <v>0</v>
      </c>
    </row>
    <row r="23" spans="1:30" x14ac:dyDescent="0.25">
      <c r="A23" s="63">
        <f>'II_Inkunabeln+'!A23</f>
        <v>22</v>
      </c>
      <c r="B23" s="63" t="str">
        <f>'II_Inkunabeln+'!B23</f>
        <v>L-1489-352274506</v>
      </c>
      <c r="C23" s="63">
        <f>'II_Inkunabeln+'!C23</f>
        <v>1084605600</v>
      </c>
      <c r="D23" s="84" t="str">
        <f>'II_Inkunabeln+'!D23</f>
        <v>https://portal.dnb.de/opac.htm?method=simpleSearch&amp;cqlMode=true&amp;query=idn%3D1084605600</v>
      </c>
      <c r="E23" s="63" t="str">
        <f>'II_Inkunabeln+'!E23</f>
        <v>II 1,3l kursiv</v>
      </c>
      <c r="F23" s="63" t="str">
        <f>'II_Inkunabeln+'!H23</f>
        <v>bis 35 cm</v>
      </c>
      <c r="G23" s="93" t="str">
        <f>'II_Inkunabeln+'!AG23</f>
        <v>Pa</v>
      </c>
      <c r="H23" s="93">
        <f>'II_Inkunabeln+'!AP23</f>
        <v>0</v>
      </c>
      <c r="I23" s="93">
        <f>'II_Inkunabeln+'!AQ23</f>
        <v>0</v>
      </c>
      <c r="J23" s="94"/>
      <c r="K23" s="93">
        <f>'II_Inkunabeln+'!AW23</f>
        <v>0</v>
      </c>
      <c r="L23" s="93">
        <f>'II_Inkunabeln+'!AX23</f>
        <v>0</v>
      </c>
      <c r="AA23" s="93">
        <f>'II_Inkunabeln+'!AY23</f>
        <v>0</v>
      </c>
      <c r="AB23" s="94" t="str">
        <f>'II_Inkunabeln+'!BA23</f>
        <v>n</v>
      </c>
      <c r="AC23" s="108"/>
      <c r="AD23" s="81">
        <f>'II_Inkunabeln+'!BJ23</f>
        <v>0</v>
      </c>
    </row>
    <row r="24" spans="1:30" x14ac:dyDescent="0.25">
      <c r="A24" s="63">
        <f>'II_Inkunabeln+'!A24</f>
        <v>23</v>
      </c>
      <c r="B24" s="63" t="str">
        <f>'II_Inkunabeln+'!B24</f>
        <v>L-1473-315495944</v>
      </c>
      <c r="C24" s="63">
        <f>'II_Inkunabeln+'!C24</f>
        <v>1066965714</v>
      </c>
      <c r="D24" s="84" t="str">
        <f>'II_Inkunabeln+'!D24</f>
        <v>https://portal.dnb.de/opac.htm?method=simpleSearch&amp;cqlMode=true&amp;query=idn%3D1066965714</v>
      </c>
      <c r="E24" s="63" t="str">
        <f>'II_Inkunabeln+'!E24</f>
        <v>II 1,3la - Fragm.</v>
      </c>
      <c r="F24" s="63">
        <f>'II_Inkunabeln+'!H24</f>
        <v>0</v>
      </c>
      <c r="G24" s="93">
        <f>'II_Inkunabeln+'!AG24</f>
        <v>0</v>
      </c>
      <c r="H24" s="93">
        <f>'II_Inkunabeln+'!AP24</f>
        <v>0</v>
      </c>
      <c r="I24" s="93">
        <f>'II_Inkunabeln+'!AQ24</f>
        <v>0</v>
      </c>
      <c r="J24" s="94"/>
      <c r="K24" s="93">
        <f>'II_Inkunabeln+'!AW24</f>
        <v>0</v>
      </c>
      <c r="L24" s="93">
        <f>'II_Inkunabeln+'!AX24</f>
        <v>0</v>
      </c>
      <c r="AA24" s="93">
        <f>'II_Inkunabeln+'!AY24</f>
        <v>0</v>
      </c>
      <c r="AB24" s="94">
        <f>'II_Inkunabeln+'!BA24</f>
        <v>0</v>
      </c>
      <c r="AC24" s="108"/>
      <c r="AD24" s="81">
        <f>'II_Inkunabeln+'!BJ24</f>
        <v>0</v>
      </c>
    </row>
    <row r="25" spans="1:30" x14ac:dyDescent="0.25">
      <c r="A25" s="63">
        <f>'II_Inkunabeln+'!A25</f>
        <v>24</v>
      </c>
      <c r="B25" s="63" t="str">
        <f>'II_Inkunabeln+'!B25</f>
        <v>L-1473-31549901X</v>
      </c>
      <c r="C25" s="63">
        <f>'II_Inkunabeln+'!C25</f>
        <v>1066968764</v>
      </c>
      <c r="D25" s="84" t="str">
        <f>'II_Inkunabeln+'!D25</f>
        <v>https://portal.dnb.de/opac.htm?method=simpleSearch&amp;cqlMode=true&amp;query=idn%3D1066968764</v>
      </c>
      <c r="E25" s="63" t="str">
        <f>'II_Inkunabeln+'!E25</f>
        <v>II 1,3m</v>
      </c>
      <c r="F25" s="63" t="str">
        <f>'II_Inkunabeln+'!H25</f>
        <v>&gt; 42 cm</v>
      </c>
      <c r="G25" s="93" t="str">
        <f>'II_Inkunabeln+'!AG25</f>
        <v>Pa</v>
      </c>
      <c r="H25" s="93">
        <f>'II_Inkunabeln+'!AP25</f>
        <v>0</v>
      </c>
      <c r="I25" s="93" t="str">
        <f>'II_Inkunabeln+'!AQ25</f>
        <v>B/I/R</v>
      </c>
      <c r="J25" s="94"/>
      <c r="K25" s="93">
        <f>'II_Inkunabeln+'!AW25</f>
        <v>0</v>
      </c>
      <c r="L25" s="93">
        <f>'II_Inkunabeln+'!AX25</f>
        <v>0</v>
      </c>
      <c r="AA25" s="93">
        <f>'II_Inkunabeln+'!AY25</f>
        <v>0</v>
      </c>
      <c r="AB25" s="94" t="str">
        <f>'II_Inkunabeln+'!BA25</f>
        <v>n</v>
      </c>
      <c r="AC25" s="108"/>
      <c r="AD25" s="81">
        <f>'II_Inkunabeln+'!BJ25</f>
        <v>0</v>
      </c>
    </row>
    <row r="26" spans="1:30" x14ac:dyDescent="0.25">
      <c r="A26" s="63">
        <f>'II_Inkunabeln+'!A26</f>
        <v>25</v>
      </c>
      <c r="B26" s="63" t="str">
        <f>'II_Inkunabeln+'!B26</f>
        <v>L-1490-315501782</v>
      </c>
      <c r="C26" s="63">
        <f>'II_Inkunabeln+'!C26</f>
        <v>1066971412</v>
      </c>
      <c r="D26" s="84" t="str">
        <f>'II_Inkunabeln+'!D26</f>
        <v>https://portal.dnb.de/opac.htm?method=simpleSearch&amp;cqlMode=true&amp;query=idn%3D1066971412</v>
      </c>
      <c r="E26" s="63" t="str">
        <f>'II_Inkunabeln+'!E26</f>
        <v>II 1,3m kursiv</v>
      </c>
      <c r="F26" s="63" t="str">
        <f>'II_Inkunabeln+'!H26</f>
        <v>bis 25 cm</v>
      </c>
      <c r="G26" s="93" t="str">
        <f>'II_Inkunabeln+'!AG26</f>
        <v>Pa</v>
      </c>
      <c r="H26" s="93">
        <f>'II_Inkunabeln+'!AP26</f>
        <v>0</v>
      </c>
      <c r="I26" s="93" t="str">
        <f>'II_Inkunabeln+'!AQ26</f>
        <v>I/R</v>
      </c>
      <c r="J26" s="94"/>
      <c r="K26" s="93">
        <f>'II_Inkunabeln+'!AW26</f>
        <v>0</v>
      </c>
      <c r="L26" s="93">
        <f>'II_Inkunabeln+'!AX26</f>
        <v>0</v>
      </c>
      <c r="AA26" s="93">
        <f>'II_Inkunabeln+'!AY26</f>
        <v>0</v>
      </c>
      <c r="AB26" s="94" t="str">
        <f>'II_Inkunabeln+'!BA26</f>
        <v>n</v>
      </c>
      <c r="AC26" s="108"/>
      <c r="AD26" s="81">
        <f>'II_Inkunabeln+'!BJ26</f>
        <v>0</v>
      </c>
    </row>
    <row r="27" spans="1:30" x14ac:dyDescent="0.25">
      <c r="A27" s="63">
        <f>'II_Inkunabeln+'!A27</f>
        <v>26</v>
      </c>
      <c r="B27" s="63" t="str">
        <f>'II_Inkunabeln+'!B27</f>
        <v>L-1473-315499028</v>
      </c>
      <c r="C27" s="63">
        <f>'II_Inkunabeln+'!C27</f>
        <v>1066968764</v>
      </c>
      <c r="D27" s="84" t="str">
        <f>'II_Inkunabeln+'!D27</f>
        <v>https://portal.dnb.de/opac.htm?method=simpleSearch&amp;cqlMode=true&amp;query=idn%3D1066968764</v>
      </c>
      <c r="E27" s="63" t="str">
        <f>'II_Inkunabeln+'!E27</f>
        <v>II 1,3ma - Fragm.</v>
      </c>
      <c r="F27" s="63">
        <f>'II_Inkunabeln+'!H27</f>
        <v>0</v>
      </c>
      <c r="G27" s="93">
        <f>'II_Inkunabeln+'!AG27</f>
        <v>0</v>
      </c>
      <c r="H27" s="93">
        <f>'II_Inkunabeln+'!AP27</f>
        <v>0</v>
      </c>
      <c r="I27" s="93">
        <f>'II_Inkunabeln+'!AQ27</f>
        <v>0</v>
      </c>
      <c r="J27" s="94"/>
      <c r="K27" s="93">
        <f>'II_Inkunabeln+'!AW27</f>
        <v>0</v>
      </c>
      <c r="L27" s="93">
        <f>'II_Inkunabeln+'!AX27</f>
        <v>0</v>
      </c>
      <c r="AA27" s="93">
        <f>'II_Inkunabeln+'!AY27</f>
        <v>0</v>
      </c>
      <c r="AB27" s="94">
        <f>'II_Inkunabeln+'!BA27</f>
        <v>0</v>
      </c>
      <c r="AC27" s="108"/>
      <c r="AD27" s="81">
        <f>'II_Inkunabeln+'!BJ27</f>
        <v>0</v>
      </c>
    </row>
    <row r="28" spans="1:30" x14ac:dyDescent="0.25">
      <c r="A28" s="63">
        <f>'II_Inkunabeln+'!A28</f>
        <v>27</v>
      </c>
      <c r="B28" s="63" t="str">
        <f>'II_Inkunabeln+'!B28</f>
        <v>L-1474-315499389</v>
      </c>
      <c r="C28" s="63">
        <f>'II_Inkunabeln+'!C28</f>
        <v>1066969086</v>
      </c>
      <c r="D28" s="84" t="str">
        <f>'II_Inkunabeln+'!D28</f>
        <v>https://portal.dnb.de/opac.htm?method=simpleSearch&amp;cqlMode=true&amp;query=idn%3D1066969086</v>
      </c>
      <c r="E28" s="63" t="str">
        <f>'II_Inkunabeln+'!E28</f>
        <v>II 1,3n</v>
      </c>
      <c r="F28" s="63" t="str">
        <f>'II_Inkunabeln+'!H28</f>
        <v>bis 35 cm</v>
      </c>
      <c r="G28" s="93" t="str">
        <f>'II_Inkunabeln+'!AG28</f>
        <v>Pa</v>
      </c>
      <c r="H28" s="93">
        <f>'II_Inkunabeln+'!AP28</f>
        <v>0</v>
      </c>
      <c r="I28" s="93" t="str">
        <f>'II_Inkunabeln+'!AQ28</f>
        <v>I/R</v>
      </c>
      <c r="J28" s="94"/>
      <c r="K28" s="93">
        <f>'II_Inkunabeln+'!AW28</f>
        <v>0</v>
      </c>
      <c r="L28" s="93">
        <f>'II_Inkunabeln+'!AX28</f>
        <v>0</v>
      </c>
      <c r="AA28" s="93">
        <f>'II_Inkunabeln+'!AY28</f>
        <v>0</v>
      </c>
      <c r="AB28" s="94" t="str">
        <f>'II_Inkunabeln+'!BA28</f>
        <v>n</v>
      </c>
      <c r="AC28" s="108"/>
      <c r="AD28" s="81">
        <f>'II_Inkunabeln+'!BJ28</f>
        <v>0</v>
      </c>
    </row>
    <row r="29" spans="1:30" x14ac:dyDescent="0.25">
      <c r="A29" s="63">
        <f>'II_Inkunabeln+'!A29</f>
        <v>28</v>
      </c>
      <c r="B29" s="63" t="str">
        <f>'II_Inkunabeln+'!B29</f>
        <v>L-1474-315500409</v>
      </c>
      <c r="C29" s="63" t="str">
        <f>'II_Inkunabeln+'!C29</f>
        <v>106697005X</v>
      </c>
      <c r="D29" s="84" t="str">
        <f>'II_Inkunabeln+'!D29</f>
        <v>https://portal.dnb.de/opac.htm?method=simpleSearch&amp;cqlMode=true&amp;query=idn%3D106697005X</v>
      </c>
      <c r="E29" s="63" t="str">
        <f>'II_Inkunabeln+'!E29</f>
        <v>II 1,3o</v>
      </c>
      <c r="F29" s="63" t="str">
        <f>'II_Inkunabeln+'!H29</f>
        <v>bis 35 cm</v>
      </c>
      <c r="G29" s="93" t="str">
        <f>'II_Inkunabeln+'!AG29</f>
        <v>Pa</v>
      </c>
      <c r="H29" s="93">
        <f>'II_Inkunabeln+'!AP29</f>
        <v>0</v>
      </c>
      <c r="I29" s="93" t="str">
        <f>'II_Inkunabeln+'!AQ29</f>
        <v>I/R</v>
      </c>
      <c r="J29" s="94"/>
      <c r="K29" s="93">
        <f>'II_Inkunabeln+'!AW29</f>
        <v>0</v>
      </c>
      <c r="L29" s="93">
        <f>'II_Inkunabeln+'!AX29</f>
        <v>0</v>
      </c>
      <c r="AA29" s="93">
        <f>'II_Inkunabeln+'!AY29</f>
        <v>0</v>
      </c>
      <c r="AB29" s="94" t="str">
        <f>'II_Inkunabeln+'!BA29</f>
        <v>n</v>
      </c>
      <c r="AC29" s="108"/>
      <c r="AD29" s="81" t="str">
        <f>'II_Inkunabeln+'!BJ29</f>
        <v>Klemm-Einband liegt der Kassette bei</v>
      </c>
    </row>
    <row r="30" spans="1:30" x14ac:dyDescent="0.25">
      <c r="A30" s="63">
        <f>'II_Inkunabeln+'!A30</f>
        <v>29</v>
      </c>
      <c r="B30" s="63" t="str">
        <f>'II_Inkunabeln+'!B30</f>
        <v>L-1475-315497912</v>
      </c>
      <c r="C30" s="63">
        <f>'II_Inkunabeln+'!C30</f>
        <v>1066967652</v>
      </c>
      <c r="D30" s="84" t="str">
        <f>'II_Inkunabeln+'!D30</f>
        <v>https://portal.dnb.de/opac.htm?method=simpleSearch&amp;cqlMode=true&amp;query=idn%3D1066967652</v>
      </c>
      <c r="E30" s="63" t="str">
        <f>'II_Inkunabeln+'!E30</f>
        <v>II 1,3p</v>
      </c>
      <c r="F30" s="63" t="str">
        <f>'II_Inkunabeln+'!H30</f>
        <v>&gt; 42 cm</v>
      </c>
      <c r="G30" s="93">
        <f>'II_Inkunabeln+'!AG30</f>
        <v>0</v>
      </c>
      <c r="H30" s="93">
        <f>'II_Inkunabeln+'!AP30</f>
        <v>0</v>
      </c>
      <c r="I30" s="93">
        <f>'II_Inkunabeln+'!AQ30</f>
        <v>0</v>
      </c>
      <c r="J30" s="94"/>
      <c r="K30" s="93">
        <f>'II_Inkunabeln+'!AW30</f>
        <v>0</v>
      </c>
      <c r="L30" s="93">
        <f>'II_Inkunabeln+'!AX30</f>
        <v>0</v>
      </c>
      <c r="AA30" s="93">
        <f>'II_Inkunabeln+'!AY30</f>
        <v>0</v>
      </c>
      <c r="AB30" s="94">
        <f>'II_Inkunabeln+'!BA30</f>
        <v>0</v>
      </c>
      <c r="AC30" s="108"/>
      <c r="AD30" s="81">
        <f>'II_Inkunabeln+'!BJ30</f>
        <v>0</v>
      </c>
    </row>
    <row r="31" spans="1:30" x14ac:dyDescent="0.25">
      <c r="A31" s="63">
        <f>'II_Inkunabeln+'!A31</f>
        <v>30</v>
      </c>
      <c r="B31" s="63" t="str">
        <f>'II_Inkunabeln+'!B31</f>
        <v>L-1475-315496576</v>
      </c>
      <c r="C31" s="63">
        <f>'II_Inkunabeln+'!C31</f>
        <v>1066966281</v>
      </c>
      <c r="D31" s="84" t="str">
        <f>'II_Inkunabeln+'!D31</f>
        <v>https://portal.dnb.de/opac.htm?method=simpleSearch&amp;cqlMode=true&amp;query=idn%3D1066966281</v>
      </c>
      <c r="E31" s="63" t="str">
        <f>'II_Inkunabeln+'!E31</f>
        <v>II 1,3q</v>
      </c>
      <c r="F31" s="63" t="str">
        <f>'II_Inkunabeln+'!H31</f>
        <v>bis 42 cm</v>
      </c>
      <c r="G31" s="93" t="str">
        <f>'II_Inkunabeln+'!AG31</f>
        <v>Pa</v>
      </c>
      <c r="H31" s="93">
        <f>'II_Inkunabeln+'!AP31</f>
        <v>0</v>
      </c>
      <c r="I31" s="93" t="str">
        <f>'II_Inkunabeln+'!AQ31</f>
        <v>I/R</v>
      </c>
      <c r="J31" s="94"/>
      <c r="K31" s="93">
        <f>'II_Inkunabeln+'!AW31</f>
        <v>0</v>
      </c>
      <c r="L31" s="93">
        <f>'II_Inkunabeln+'!AX31</f>
        <v>0</v>
      </c>
      <c r="AA31" s="93">
        <f>'II_Inkunabeln+'!AY31</f>
        <v>0</v>
      </c>
      <c r="AB31" s="94" t="str">
        <f>'II_Inkunabeln+'!BA31</f>
        <v>n</v>
      </c>
      <c r="AC31" s="108"/>
      <c r="AD31" s="81">
        <f>'II_Inkunabeln+'!BJ31</f>
        <v>0</v>
      </c>
    </row>
    <row r="32" spans="1:30" x14ac:dyDescent="0.25">
      <c r="A32" s="63">
        <f>'II_Inkunabeln+'!A32</f>
        <v>31</v>
      </c>
      <c r="B32" s="63" t="str">
        <f>'II_Inkunabeln+'!B32</f>
        <v>L-1476-315497319</v>
      </c>
      <c r="C32" s="63">
        <f>'II_Inkunabeln+'!C32</f>
        <v>1066967016</v>
      </c>
      <c r="D32" s="84" t="str">
        <f>'II_Inkunabeln+'!D32</f>
        <v>https://portal.dnb.de/opac.htm?method=simpleSearch&amp;cqlMode=true&amp;query=idn%3D1066967016</v>
      </c>
      <c r="E32" s="63" t="str">
        <f>'II_Inkunabeln+'!E32</f>
        <v>II 1,3r</v>
      </c>
      <c r="F32" s="63" t="str">
        <f>'II_Inkunabeln+'!H32</f>
        <v>bis 42 cm</v>
      </c>
      <c r="G32" s="93" t="str">
        <f>'II_Inkunabeln+'!AG32</f>
        <v>Pa</v>
      </c>
      <c r="H32" s="93">
        <f>'II_Inkunabeln+'!AP32</f>
        <v>0</v>
      </c>
      <c r="I32" s="93" t="str">
        <f>'II_Inkunabeln+'!AQ32</f>
        <v>I/R</v>
      </c>
      <c r="J32" s="94" t="s">
        <v>1633</v>
      </c>
      <c r="K32" s="93">
        <f>'II_Inkunabeln+'!AW32</f>
        <v>0</v>
      </c>
      <c r="L32" s="93">
        <f>'II_Inkunabeln+'!AX32</f>
        <v>0</v>
      </c>
      <c r="AA32" s="93">
        <f>'II_Inkunabeln+'!AY32</f>
        <v>0</v>
      </c>
      <c r="AB32" s="94" t="str">
        <f>'II_Inkunabeln+'!BA32</f>
        <v>ja vor</v>
      </c>
      <c r="AC32" s="108">
        <v>40</v>
      </c>
      <c r="AD32" s="81">
        <f>'II_Inkunabeln+'!BJ32</f>
        <v>0</v>
      </c>
    </row>
    <row r="33" spans="1:30" x14ac:dyDescent="0.25">
      <c r="A33" s="63">
        <f>'II_Inkunabeln+'!A33</f>
        <v>32</v>
      </c>
      <c r="B33" s="63" t="str">
        <f>'II_Inkunabeln+'!B33</f>
        <v>L-1476-315499885</v>
      </c>
      <c r="C33" s="63">
        <f>'II_Inkunabeln+'!C33</f>
        <v>1066969566</v>
      </c>
      <c r="D33" s="84" t="str">
        <f>'II_Inkunabeln+'!D33</f>
        <v>https://portal.dnb.de/opac.htm?method=simpleSearch&amp;cqlMode=true&amp;query=idn%3D1066969566</v>
      </c>
      <c r="E33" s="63" t="str">
        <f>'II_Inkunabeln+'!E33</f>
        <v>II 1,3t</v>
      </c>
      <c r="F33" s="63" t="str">
        <f>'II_Inkunabeln+'!H33</f>
        <v>bis 42 cm</v>
      </c>
      <c r="G33" s="93" t="str">
        <f>'II_Inkunabeln+'!AG33</f>
        <v>Pa</v>
      </c>
      <c r="H33" s="93">
        <f>'II_Inkunabeln+'!AP33</f>
        <v>0</v>
      </c>
      <c r="I33" s="93" t="str">
        <f>'II_Inkunabeln+'!AQ33</f>
        <v>I/R</v>
      </c>
      <c r="J33" s="94"/>
      <c r="K33" s="93">
        <f>'II_Inkunabeln+'!AW33</f>
        <v>0</v>
      </c>
      <c r="L33" s="93">
        <f>'II_Inkunabeln+'!AX33</f>
        <v>0</v>
      </c>
      <c r="AA33" s="93">
        <f>'II_Inkunabeln+'!AY33</f>
        <v>0</v>
      </c>
      <c r="AB33" s="94" t="str">
        <f>'II_Inkunabeln+'!BA33</f>
        <v>n</v>
      </c>
      <c r="AC33" s="108"/>
      <c r="AD33" s="81">
        <f>'II_Inkunabeln+'!BJ33</f>
        <v>0</v>
      </c>
    </row>
    <row r="34" spans="1:30" x14ac:dyDescent="0.25">
      <c r="A34" s="63">
        <f>'II_Inkunabeln+'!A34</f>
        <v>33</v>
      </c>
      <c r="B34" s="63" t="str">
        <f>'II_Inkunabeln+'!B34</f>
        <v>L-1476-315497742</v>
      </c>
      <c r="C34" s="63">
        <f>'II_Inkunabeln+'!C34</f>
        <v>1066967482</v>
      </c>
      <c r="D34" s="84" t="str">
        <f>'II_Inkunabeln+'!D34</f>
        <v>https://portal.dnb.de/opac.htm?method=simpleSearch&amp;cqlMode=true&amp;query=idn%3D1066967482</v>
      </c>
      <c r="E34" s="63" t="str">
        <f>'II_Inkunabeln+'!E34</f>
        <v>II 1,3u</v>
      </c>
      <c r="F34" s="63">
        <f>'II_Inkunabeln+'!H34</f>
        <v>0</v>
      </c>
      <c r="G34" s="93">
        <f>'II_Inkunabeln+'!AG34</f>
        <v>0</v>
      </c>
      <c r="H34" s="93">
        <f>'II_Inkunabeln+'!AP34</f>
        <v>0</v>
      </c>
      <c r="I34" s="93">
        <f>'II_Inkunabeln+'!AQ34</f>
        <v>0</v>
      </c>
      <c r="J34" s="94"/>
      <c r="K34" s="93">
        <f>'II_Inkunabeln+'!AW34</f>
        <v>0</v>
      </c>
      <c r="L34" s="93">
        <f>'II_Inkunabeln+'!AX34</f>
        <v>0</v>
      </c>
      <c r="AA34" s="93">
        <f>'II_Inkunabeln+'!AY34</f>
        <v>0</v>
      </c>
      <c r="AB34" s="94">
        <f>'II_Inkunabeln+'!BA34</f>
        <v>0</v>
      </c>
      <c r="AC34" s="108"/>
      <c r="AD34" s="81">
        <f>'II_Inkunabeln+'!BJ34</f>
        <v>0</v>
      </c>
    </row>
    <row r="35" spans="1:30" x14ac:dyDescent="0.25">
      <c r="A35" s="63">
        <f>'II_Inkunabeln+'!A35</f>
        <v>34</v>
      </c>
      <c r="B35" s="63" t="str">
        <f>'II_Inkunabeln+'!B35</f>
        <v>L-1477-315499893</v>
      </c>
      <c r="C35" s="63">
        <f>'II_Inkunabeln+'!C35</f>
        <v>1066969574</v>
      </c>
      <c r="D35" s="84" t="str">
        <f>'II_Inkunabeln+'!D35</f>
        <v>https://portal.dnb.de/opac.htm?method=simpleSearch&amp;cqlMode=true&amp;query=idn%3D1066969574</v>
      </c>
      <c r="E35" s="63" t="str">
        <f>'II_Inkunabeln+'!E35</f>
        <v>II 1,3v</v>
      </c>
      <c r="F35" s="63" t="str">
        <f>'II_Inkunabeln+'!H35</f>
        <v>bis 42 cm</v>
      </c>
      <c r="G35" s="93" t="str">
        <f>'II_Inkunabeln+'!AG35</f>
        <v>Pa</v>
      </c>
      <c r="H35" s="93">
        <f>'II_Inkunabeln+'!AP35</f>
        <v>0</v>
      </c>
      <c r="I35" s="93" t="str">
        <f>'II_Inkunabeln+'!AQ35</f>
        <v>B/I/R</v>
      </c>
      <c r="J35" s="94"/>
      <c r="K35" s="93">
        <f>'II_Inkunabeln+'!AW35</f>
        <v>0</v>
      </c>
      <c r="L35" s="93">
        <f>'II_Inkunabeln+'!AX35</f>
        <v>0</v>
      </c>
      <c r="AA35" s="93">
        <f>'II_Inkunabeln+'!AY35</f>
        <v>0</v>
      </c>
      <c r="AB35" s="94" t="str">
        <f>'II_Inkunabeln+'!BA35</f>
        <v>ja vor</v>
      </c>
      <c r="AC35" s="108"/>
      <c r="AD35" s="81">
        <f>'II_Inkunabeln+'!BJ35</f>
        <v>0</v>
      </c>
    </row>
    <row r="36" spans="1:30" ht="23" x14ac:dyDescent="0.25">
      <c r="A36" s="63">
        <f>'II_Inkunabeln+'!A36</f>
        <v>35</v>
      </c>
      <c r="B36" s="63" t="str">
        <f>'II_Inkunabeln+'!B36</f>
        <v>L-1478-315496401</v>
      </c>
      <c r="C36" s="63">
        <f>'II_Inkunabeln+'!C36</f>
        <v>1066966109</v>
      </c>
      <c r="D36" s="84" t="str">
        <f>'II_Inkunabeln+'!D36</f>
        <v>https://portal.dnb.de/opac.htm?method=simpleSearch&amp;cqlMode=true&amp;query=idn%3D1066966109</v>
      </c>
      <c r="E36" s="63" t="str">
        <f>'II_Inkunabeln+'!E36</f>
        <v>II 1,3x</v>
      </c>
      <c r="F36" s="63" t="str">
        <f>'II_Inkunabeln+'!H36</f>
        <v>bis 25 cm</v>
      </c>
      <c r="G36" s="93" t="str">
        <f>'II_Inkunabeln+'!AG36</f>
        <v>Pa</v>
      </c>
      <c r="H36" s="93">
        <f>'II_Inkunabeln+'!AP36</f>
        <v>0</v>
      </c>
      <c r="I36" s="93" t="str">
        <f>'II_Inkunabeln+'!AQ36</f>
        <v>I/R</v>
      </c>
      <c r="J36" s="94"/>
      <c r="K36" s="93">
        <f>'II_Inkunabeln+'!AW36</f>
        <v>0</v>
      </c>
      <c r="L36" s="93">
        <f>'II_Inkunabeln+'!AX36</f>
        <v>0</v>
      </c>
      <c r="O36" s="93" t="s">
        <v>1633</v>
      </c>
      <c r="AA36" s="93">
        <f>'II_Inkunabeln+'!AY36</f>
        <v>0</v>
      </c>
      <c r="AB36" s="94" t="str">
        <f>'II_Inkunabeln+'!BA36</f>
        <v>nur bei Treventus</v>
      </c>
      <c r="AC36" s="108">
        <v>0.5</v>
      </c>
      <c r="AD36" s="81">
        <f>'II_Inkunabeln+'!BJ36</f>
        <v>0</v>
      </c>
    </row>
    <row r="37" spans="1:30" x14ac:dyDescent="0.25">
      <c r="A37" s="63">
        <f>'II_Inkunabeln+'!A37</f>
        <v>36</v>
      </c>
      <c r="B37" s="63" t="str">
        <f>'II_Inkunabeln+'!B37</f>
        <v>L-1479-315499087</v>
      </c>
      <c r="C37" s="63">
        <f>'II_Inkunabeln+'!C37</f>
        <v>1066968810</v>
      </c>
      <c r="D37" s="84" t="str">
        <f>'II_Inkunabeln+'!D37</f>
        <v>https://portal.dnb.de/opac.htm?method=simpleSearch&amp;cqlMode=true&amp;query=idn%3D1066968810</v>
      </c>
      <c r="E37" s="63" t="str">
        <f>'II_Inkunabeln+'!E37</f>
        <v>II 1,3y</v>
      </c>
      <c r="F37" s="63" t="str">
        <f>'II_Inkunabeln+'!H37</f>
        <v>&gt; 42 cm</v>
      </c>
      <c r="G37" s="93" t="str">
        <f>'II_Inkunabeln+'!AG37</f>
        <v>Pa</v>
      </c>
      <c r="H37" s="93">
        <f>'II_Inkunabeln+'!AP37</f>
        <v>0</v>
      </c>
      <c r="I37" s="93" t="str">
        <f>'II_Inkunabeln+'!AQ37</f>
        <v>I/R</v>
      </c>
      <c r="J37" s="94"/>
      <c r="K37" s="93">
        <f>'II_Inkunabeln+'!AW37</f>
        <v>0</v>
      </c>
      <c r="L37" s="93">
        <f>'II_Inkunabeln+'!AX37</f>
        <v>0</v>
      </c>
      <c r="AA37" s="93">
        <f>'II_Inkunabeln+'!AY37</f>
        <v>0</v>
      </c>
      <c r="AB37" s="94" t="str">
        <f>'II_Inkunabeln+'!BA37</f>
        <v>n</v>
      </c>
      <c r="AC37" s="108"/>
      <c r="AD37" s="81">
        <f>'II_Inkunabeln+'!BJ37</f>
        <v>0</v>
      </c>
    </row>
    <row r="38" spans="1:30" x14ac:dyDescent="0.25">
      <c r="A38" s="63">
        <f>'II_Inkunabeln+'!A38</f>
        <v>37</v>
      </c>
      <c r="B38" s="63" t="str">
        <f>'II_Inkunabeln+'!B38</f>
        <v>L-1469-315500522</v>
      </c>
      <c r="C38" s="63">
        <f>'II_Inkunabeln+'!C38</f>
        <v>1066970181</v>
      </c>
      <c r="D38" s="84" t="str">
        <f>'II_Inkunabeln+'!D38</f>
        <v>https://portal.dnb.de/opac.htm?method=simpleSearch&amp;cqlMode=true&amp;query=idn%3D1066970181</v>
      </c>
      <c r="E38" s="63" t="str">
        <f>'II_Inkunabeln+'!E38</f>
        <v>II 1,4ab - Fragm.</v>
      </c>
      <c r="F38" s="63">
        <f>'II_Inkunabeln+'!H38</f>
        <v>0</v>
      </c>
      <c r="G38" s="93">
        <f>'II_Inkunabeln+'!AG38</f>
        <v>0</v>
      </c>
      <c r="H38" s="93">
        <f>'II_Inkunabeln+'!AP38</f>
        <v>0</v>
      </c>
      <c r="I38" s="93">
        <f>'II_Inkunabeln+'!AQ38</f>
        <v>0</v>
      </c>
      <c r="J38" s="94"/>
      <c r="K38" s="93">
        <f>'II_Inkunabeln+'!AW38</f>
        <v>0</v>
      </c>
      <c r="L38" s="93">
        <f>'II_Inkunabeln+'!AX38</f>
        <v>0</v>
      </c>
      <c r="AA38" s="93">
        <f>'II_Inkunabeln+'!AY38</f>
        <v>0</v>
      </c>
      <c r="AB38" s="94">
        <f>'II_Inkunabeln+'!BA38</f>
        <v>0</v>
      </c>
      <c r="AC38" s="108"/>
      <c r="AD38" s="81">
        <f>'II_Inkunabeln+'!BJ38</f>
        <v>0</v>
      </c>
    </row>
    <row r="39" spans="1:30" x14ac:dyDescent="0.25">
      <c r="A39" s="63">
        <f>'II_Inkunabeln+'!A39</f>
        <v>38</v>
      </c>
      <c r="B39" s="63" t="str">
        <f>'II_Inkunabeln+'!B39</f>
        <v>L-1469-31550286X</v>
      </c>
      <c r="C39" s="63">
        <f>'II_Inkunabeln+'!C39</f>
        <v>1066972443</v>
      </c>
      <c r="D39" s="84" t="str">
        <f>'II_Inkunabeln+'!D39</f>
        <v>https://portal.dnb.de/opac.htm?method=simpleSearch&amp;cqlMode=true&amp;query=idn%3D1066972443</v>
      </c>
      <c r="E39" s="63" t="str">
        <f>'II_Inkunabeln+'!E39</f>
        <v>II 1,4b</v>
      </c>
      <c r="F39" s="63" t="str">
        <f>'II_Inkunabeln+'!H39</f>
        <v>bis 25 cm</v>
      </c>
      <c r="G39" s="93" t="str">
        <f>'II_Inkunabeln+'!AG39</f>
        <v>Pa</v>
      </c>
      <c r="H39" s="93">
        <f>'II_Inkunabeln+'!AP39</f>
        <v>0</v>
      </c>
      <c r="I39" s="93" t="str">
        <f>'II_Inkunabeln+'!AQ39</f>
        <v>I/R</v>
      </c>
      <c r="J39" s="94"/>
      <c r="K39" s="93">
        <f>'II_Inkunabeln+'!AW39</f>
        <v>0</v>
      </c>
      <c r="L39" s="93">
        <f>'II_Inkunabeln+'!AX39</f>
        <v>0</v>
      </c>
      <c r="AA39" s="93">
        <f>'II_Inkunabeln+'!AY39</f>
        <v>0</v>
      </c>
      <c r="AB39" s="94" t="str">
        <f>'II_Inkunabeln+'!BA39</f>
        <v>n</v>
      </c>
      <c r="AC39" s="108"/>
      <c r="AD39" s="81">
        <f>'II_Inkunabeln+'!BJ39</f>
        <v>0</v>
      </c>
    </row>
    <row r="40" spans="1:30" x14ac:dyDescent="0.25">
      <c r="A40" s="63">
        <f>'II_Inkunabeln+'!A40</f>
        <v>39</v>
      </c>
      <c r="B40" s="63" t="str">
        <f>'II_Inkunabeln+'!B40</f>
        <v>L-1480-315500719</v>
      </c>
      <c r="C40" s="63">
        <f>'II_Inkunabeln+'!C40</f>
        <v>1066970378</v>
      </c>
      <c r="D40" s="84" t="str">
        <f>'II_Inkunabeln+'!D40</f>
        <v>https://portal.dnb.de/opac.htm?method=simpleSearch&amp;cqlMode=true&amp;query=idn%3D1066970378</v>
      </c>
      <c r="E40" s="63" t="str">
        <f>'II_Inkunabeln+'!E40</f>
        <v>II 1,5a</v>
      </c>
      <c r="F40" s="63" t="str">
        <f>'II_Inkunabeln+'!H40</f>
        <v>bis 35 cm</v>
      </c>
      <c r="G40" s="93" t="str">
        <f>'II_Inkunabeln+'!AG40</f>
        <v>Pa</v>
      </c>
      <c r="H40" s="93">
        <f>'II_Inkunabeln+'!AP40</f>
        <v>0</v>
      </c>
      <c r="I40" s="93" t="str">
        <f>'II_Inkunabeln+'!AQ40</f>
        <v>I/R</v>
      </c>
      <c r="J40" s="94"/>
      <c r="K40" s="93">
        <f>'II_Inkunabeln+'!AW40</f>
        <v>0</v>
      </c>
      <c r="L40" s="93">
        <f>'II_Inkunabeln+'!AX40</f>
        <v>0</v>
      </c>
      <c r="AA40" s="93">
        <f>'II_Inkunabeln+'!AY40</f>
        <v>0</v>
      </c>
      <c r="AB40" s="94" t="str">
        <f>'II_Inkunabeln+'!BA40</f>
        <v>ja vor</v>
      </c>
      <c r="AC40" s="108"/>
      <c r="AD40" s="81">
        <f>'II_Inkunabeln+'!BJ40</f>
        <v>0</v>
      </c>
    </row>
    <row r="41" spans="1:30" x14ac:dyDescent="0.25">
      <c r="A41" s="63">
        <f>'II_Inkunabeln+'!A41</f>
        <v>40</v>
      </c>
      <c r="B41" s="63" t="str">
        <f>'II_Inkunabeln+'!B41</f>
        <v>L-1491-315499540</v>
      </c>
      <c r="C41" s="63" t="str">
        <f>'II_Inkunabeln+'!C41</f>
        <v>106696923X</v>
      </c>
      <c r="D41" s="84" t="str">
        <f>'II_Inkunabeln+'!D41</f>
        <v>https://portal.dnb.de/opac.htm?method=simpleSearch&amp;cqlMode=true&amp;query=idn%3D106696923X</v>
      </c>
      <c r="E41" s="63" t="str">
        <f>'II_Inkunabeln+'!E41</f>
        <v>II 1,8ab - Fragm.</v>
      </c>
      <c r="F41" s="63">
        <f>'II_Inkunabeln+'!H41</f>
        <v>0</v>
      </c>
      <c r="G41" s="93">
        <f>'II_Inkunabeln+'!AG41</f>
        <v>0</v>
      </c>
      <c r="H41" s="93">
        <f>'II_Inkunabeln+'!AP41</f>
        <v>0</v>
      </c>
      <c r="I41" s="93">
        <f>'II_Inkunabeln+'!AQ41</f>
        <v>0</v>
      </c>
      <c r="J41" s="94"/>
      <c r="K41" s="93">
        <f>'II_Inkunabeln+'!AW41</f>
        <v>0</v>
      </c>
      <c r="L41" s="93">
        <f>'II_Inkunabeln+'!AX41</f>
        <v>0</v>
      </c>
      <c r="AA41" s="93">
        <f>'II_Inkunabeln+'!AY41</f>
        <v>0</v>
      </c>
      <c r="AB41" s="94">
        <f>'II_Inkunabeln+'!BA41</f>
        <v>0</v>
      </c>
      <c r="AC41" s="108"/>
      <c r="AD41" s="81">
        <f>'II_Inkunabeln+'!BJ41</f>
        <v>0</v>
      </c>
    </row>
    <row r="42" spans="1:30" x14ac:dyDescent="0.25">
      <c r="A42" s="63">
        <f>'II_Inkunabeln+'!A42</f>
        <v>41</v>
      </c>
      <c r="B42" s="63" t="str">
        <f>'II_Inkunabeln+'!B42</f>
        <v>L-1494-315503262</v>
      </c>
      <c r="C42" s="63">
        <f>'II_Inkunabeln+'!C42</f>
        <v>1066972877</v>
      </c>
      <c r="D42" s="84" t="str">
        <f>'II_Inkunabeln+'!D42</f>
        <v>https://portal.dnb.de/opac.htm?method=simpleSearch&amp;cqlMode=true&amp;query=idn%3D1066972877</v>
      </c>
      <c r="E42" s="63" t="str">
        <f>'II_Inkunabeln+'!E42</f>
        <v>II 1,9a</v>
      </c>
      <c r="F42" s="63" t="str">
        <f>'II_Inkunabeln+'!H42</f>
        <v>bis 25 cm</v>
      </c>
      <c r="G42" s="93" t="str">
        <f>'II_Inkunabeln+'!AG42</f>
        <v>Pa</v>
      </c>
      <c r="H42" s="93">
        <f>'II_Inkunabeln+'!AP42</f>
        <v>0</v>
      </c>
      <c r="I42" s="93">
        <f>'II_Inkunabeln+'!AQ42</f>
        <v>0</v>
      </c>
      <c r="J42" s="94"/>
      <c r="K42" s="93">
        <f>'II_Inkunabeln+'!AW42</f>
        <v>0</v>
      </c>
      <c r="L42" s="93">
        <f>'II_Inkunabeln+'!AX42</f>
        <v>0</v>
      </c>
      <c r="AA42" s="93">
        <f>'II_Inkunabeln+'!AY42</f>
        <v>0</v>
      </c>
      <c r="AB42" s="94" t="str">
        <f>'II_Inkunabeln+'!BA42</f>
        <v>ja nach</v>
      </c>
      <c r="AC42" s="108"/>
      <c r="AD42" s="81">
        <f>'II_Inkunabeln+'!BJ42</f>
        <v>0</v>
      </c>
    </row>
    <row r="43" spans="1:30" x14ac:dyDescent="0.25">
      <c r="A43" s="63">
        <f>'II_Inkunabeln+'!A43</f>
        <v>42</v>
      </c>
      <c r="B43" s="63" t="str">
        <f>'II_Inkunabeln+'!B43</f>
        <v>L-1494-315503270</v>
      </c>
      <c r="C43" s="63">
        <f>'II_Inkunabeln+'!C43</f>
        <v>1069138924</v>
      </c>
      <c r="D43" s="84" t="str">
        <f>'II_Inkunabeln+'!D43</f>
        <v>https://portal.dnb.de/opac.htm?method=simpleSearch&amp;cqlMode=true&amp;query=idn%3D1069138924</v>
      </c>
      <c r="E43" s="63" t="str">
        <f>'II_Inkunabeln+'!E43</f>
        <v>II 1,9ab</v>
      </c>
      <c r="F43" s="63" t="str">
        <f>'II_Inkunabeln+'!H43</f>
        <v>bis 25 cm</v>
      </c>
      <c r="G43" s="93" t="str">
        <f>'II_Inkunabeln+'!AG43</f>
        <v>Pa</v>
      </c>
      <c r="H43" s="93">
        <f>'II_Inkunabeln+'!AP43</f>
        <v>0</v>
      </c>
      <c r="I43" s="93" t="str">
        <f>'II_Inkunabeln+'!AQ43</f>
        <v>I/R</v>
      </c>
      <c r="J43" s="94"/>
      <c r="K43" s="93">
        <f>'II_Inkunabeln+'!AW43</f>
        <v>0</v>
      </c>
      <c r="L43" s="93">
        <f>'II_Inkunabeln+'!AX43</f>
        <v>0</v>
      </c>
      <c r="AA43" s="93">
        <f>'II_Inkunabeln+'!AY43</f>
        <v>0</v>
      </c>
      <c r="AB43" s="94">
        <f>'II_Inkunabeln+'!BA43</f>
        <v>0</v>
      </c>
      <c r="AC43" s="108"/>
      <c r="AD43" s="81">
        <f>'II_Inkunabeln+'!BJ43</f>
        <v>0</v>
      </c>
    </row>
    <row r="44" spans="1:30" x14ac:dyDescent="0.25">
      <c r="A44" s="63">
        <f>'II_Inkunabeln+'!A44</f>
        <v>43</v>
      </c>
      <c r="B44" s="63" t="str">
        <f>'II_Inkunabeln+'!B44</f>
        <v>L-1494-315499095</v>
      </c>
      <c r="C44" s="63">
        <f>'II_Inkunabeln+'!C44</f>
        <v>1066968829</v>
      </c>
      <c r="D44" s="84" t="str">
        <f>'II_Inkunabeln+'!D44</f>
        <v>https://portal.dnb.de/opac.htm?method=simpleSearch&amp;cqlMode=true&amp;query=idn%3D1066968829</v>
      </c>
      <c r="E44" s="63" t="str">
        <f>'II_Inkunabeln+'!E44</f>
        <v>II 1,9b</v>
      </c>
      <c r="F44" s="63" t="str">
        <f>'II_Inkunabeln+'!H44</f>
        <v>bis 25 cm</v>
      </c>
      <c r="G44" s="93" t="str">
        <f>'II_Inkunabeln+'!AG44</f>
        <v>Pa</v>
      </c>
      <c r="H44" s="93">
        <f>'II_Inkunabeln+'!AP44</f>
        <v>0</v>
      </c>
      <c r="I44" s="93">
        <f>'II_Inkunabeln+'!AQ44</f>
        <v>0</v>
      </c>
      <c r="J44" s="94"/>
      <c r="K44" s="93">
        <f>'II_Inkunabeln+'!AW44</f>
        <v>0</v>
      </c>
      <c r="L44" s="93">
        <f>'II_Inkunabeln+'!AX44</f>
        <v>0</v>
      </c>
      <c r="AA44" s="93">
        <f>'II_Inkunabeln+'!AY44</f>
        <v>0</v>
      </c>
      <c r="AB44" s="94">
        <f>'II_Inkunabeln+'!BA44</f>
        <v>0</v>
      </c>
      <c r="AC44" s="108"/>
      <c r="AD44" s="81">
        <f>'II_Inkunabeln+'!BJ44</f>
        <v>0</v>
      </c>
    </row>
    <row r="45" spans="1:30" x14ac:dyDescent="0.25">
      <c r="A45" s="63">
        <f>'II_Inkunabeln+'!A45</f>
        <v>44</v>
      </c>
      <c r="B45" s="63" t="str">
        <f>'II_Inkunabeln+'!B45</f>
        <v>L-1494-315502177</v>
      </c>
      <c r="C45" s="63">
        <f>'II_Inkunabeln+'!C45</f>
        <v>1066971781</v>
      </c>
      <c r="D45" s="84" t="str">
        <f>'II_Inkunabeln+'!D45</f>
        <v>https://portal.dnb.de/opac.htm?method=simpleSearch&amp;cqlMode=true&amp;query=idn%3D1066971781</v>
      </c>
      <c r="E45" s="63" t="str">
        <f>'II_Inkunabeln+'!E45</f>
        <v>II 1,9c</v>
      </c>
      <c r="F45" s="63" t="str">
        <f>'II_Inkunabeln+'!H45</f>
        <v>bis 25 cm</v>
      </c>
      <c r="G45" s="93" t="str">
        <f>'II_Inkunabeln+'!AG45</f>
        <v>Pa</v>
      </c>
      <c r="H45" s="93">
        <f>'II_Inkunabeln+'!AP45</f>
        <v>0</v>
      </c>
      <c r="I45" s="93" t="str">
        <f>'II_Inkunabeln+'!AQ45</f>
        <v>I/R</v>
      </c>
      <c r="J45" s="94"/>
      <c r="K45" s="93">
        <f>'II_Inkunabeln+'!AW45</f>
        <v>0</v>
      </c>
      <c r="L45" s="93">
        <f>'II_Inkunabeln+'!AX45</f>
        <v>0</v>
      </c>
      <c r="AA45" s="93">
        <f>'II_Inkunabeln+'!AY45</f>
        <v>0</v>
      </c>
      <c r="AB45" s="94" t="str">
        <f>'II_Inkunabeln+'!BA45</f>
        <v>ja nach</v>
      </c>
      <c r="AC45" s="108"/>
      <c r="AD45" s="81">
        <f>'II_Inkunabeln+'!BJ45</f>
        <v>0</v>
      </c>
    </row>
    <row r="46" spans="1:30" x14ac:dyDescent="0.25">
      <c r="A46" s="63">
        <f>'II_Inkunabeln+'!A46</f>
        <v>45</v>
      </c>
      <c r="B46" s="63" t="str">
        <f>'II_Inkunabeln+'!B46</f>
        <v>L-1494-315503254</v>
      </c>
      <c r="C46" s="63">
        <f>'II_Inkunabeln+'!C46</f>
        <v>1066972869</v>
      </c>
      <c r="D46" s="84" t="str">
        <f>'II_Inkunabeln+'!D46</f>
        <v>https://portal.dnb.de/opac.htm?method=simpleSearch&amp;cqlMode=true&amp;query=idn%3D1066972869</v>
      </c>
      <c r="E46" s="63" t="str">
        <f>'II_Inkunabeln+'!E46</f>
        <v>II 1,9d</v>
      </c>
      <c r="F46" s="63" t="str">
        <f>'II_Inkunabeln+'!H46</f>
        <v>bis 25 cm</v>
      </c>
      <c r="G46" s="93" t="str">
        <f>'II_Inkunabeln+'!AG46</f>
        <v>Pa</v>
      </c>
      <c r="H46" s="93">
        <f>'II_Inkunabeln+'!AP46</f>
        <v>0</v>
      </c>
      <c r="I46" s="93" t="str">
        <f>'II_Inkunabeln+'!AQ46</f>
        <v>I/R</v>
      </c>
      <c r="J46" s="94"/>
      <c r="K46" s="93">
        <f>'II_Inkunabeln+'!AW46</f>
        <v>0</v>
      </c>
      <c r="L46" s="93">
        <f>'II_Inkunabeln+'!AX46</f>
        <v>0</v>
      </c>
      <c r="AA46" s="93">
        <f>'II_Inkunabeln+'!AY46</f>
        <v>0</v>
      </c>
      <c r="AB46" s="94" t="str">
        <f>'II_Inkunabeln+'!BA46</f>
        <v>n</v>
      </c>
      <c r="AC46" s="108"/>
      <c r="AD46" s="81">
        <f>'II_Inkunabeln+'!BJ46</f>
        <v>0</v>
      </c>
    </row>
    <row r="47" spans="1:30" x14ac:dyDescent="0.25">
      <c r="A47" s="63">
        <f>'II_Inkunabeln+'!A47</f>
        <v>46</v>
      </c>
      <c r="B47" s="63" t="str">
        <f>'II_Inkunabeln+'!B47</f>
        <v>L-1495-315500867</v>
      </c>
      <c r="C47" s="63">
        <f>'II_Inkunabeln+'!C47</f>
        <v>1066970505</v>
      </c>
      <c r="D47" s="84" t="str">
        <f>'II_Inkunabeln+'!D47</f>
        <v>https://portal.dnb.de/opac.htm?method=simpleSearch&amp;cqlMode=true&amp;query=idn%3D1066970505</v>
      </c>
      <c r="E47" s="63" t="str">
        <f>'II_Inkunabeln+'!E47</f>
        <v>II 1,9e</v>
      </c>
      <c r="F47" s="63" t="str">
        <f>'II_Inkunabeln+'!H47</f>
        <v>bis 25 cm</v>
      </c>
      <c r="G47" s="93" t="str">
        <f>'II_Inkunabeln+'!AG47</f>
        <v>Pa</v>
      </c>
      <c r="H47" s="93">
        <f>'II_Inkunabeln+'!AP47</f>
        <v>0</v>
      </c>
      <c r="I47" s="93">
        <f>'II_Inkunabeln+'!AQ47</f>
        <v>0</v>
      </c>
      <c r="J47" s="94"/>
      <c r="K47" s="93">
        <f>'II_Inkunabeln+'!AW47</f>
        <v>0</v>
      </c>
      <c r="L47" s="93">
        <f>'II_Inkunabeln+'!AX47</f>
        <v>0</v>
      </c>
      <c r="AA47" s="93">
        <f>'II_Inkunabeln+'!AY47</f>
        <v>0</v>
      </c>
      <c r="AB47" s="94" t="str">
        <f>'II_Inkunabeln+'!BA47</f>
        <v>n</v>
      </c>
      <c r="AC47" s="108"/>
      <c r="AD47" s="81">
        <f>'II_Inkunabeln+'!BJ47</f>
        <v>0</v>
      </c>
    </row>
    <row r="48" spans="1:30" x14ac:dyDescent="0.25">
      <c r="A48" s="63">
        <f>'II_Inkunabeln+'!A48</f>
        <v>47</v>
      </c>
      <c r="B48" s="63" t="str">
        <f>'II_Inkunabeln+'!B48</f>
        <v>L-1495-315503289</v>
      </c>
      <c r="C48" s="63">
        <f>'II_Inkunabeln+'!C48</f>
        <v>1066972893</v>
      </c>
      <c r="D48" s="84" t="str">
        <f>'II_Inkunabeln+'!D48</f>
        <v>https://portal.dnb.de/opac.htm?method=simpleSearch&amp;cqlMode=true&amp;query=idn%3D1066972893</v>
      </c>
      <c r="E48" s="63" t="str">
        <f>'II_Inkunabeln+'!E48</f>
        <v>II 1,9f</v>
      </c>
      <c r="F48" s="63" t="str">
        <f>'II_Inkunabeln+'!H48</f>
        <v>bis 25 cm</v>
      </c>
      <c r="G48" s="93" t="str">
        <f>'II_Inkunabeln+'!AG48</f>
        <v>Pa</v>
      </c>
      <c r="H48" s="93">
        <f>'II_Inkunabeln+'!AP48</f>
        <v>0</v>
      </c>
      <c r="I48" s="93" t="str">
        <f>'II_Inkunabeln+'!AQ48</f>
        <v>I/R</v>
      </c>
      <c r="J48" s="94"/>
      <c r="K48" s="93">
        <f>'II_Inkunabeln+'!AW48</f>
        <v>0</v>
      </c>
      <c r="L48" s="93">
        <f>'II_Inkunabeln+'!AX48</f>
        <v>0</v>
      </c>
      <c r="AA48" s="93">
        <f>'II_Inkunabeln+'!AY48</f>
        <v>0</v>
      </c>
      <c r="AB48" s="94" t="str">
        <f>'II_Inkunabeln+'!BA48</f>
        <v>n</v>
      </c>
      <c r="AC48" s="108"/>
      <c r="AD48" s="81">
        <f>'II_Inkunabeln+'!BJ48</f>
        <v>0</v>
      </c>
    </row>
    <row r="49" spans="1:30" x14ac:dyDescent="0.25">
      <c r="A49" s="63">
        <f>'II_Inkunabeln+'!A49</f>
        <v>48</v>
      </c>
      <c r="B49" s="63" t="str">
        <f>'II_Inkunabeln+'!B49</f>
        <v>L-1495-315503335</v>
      </c>
      <c r="C49" s="63">
        <f>'II_Inkunabeln+'!C49</f>
        <v>1066972958</v>
      </c>
      <c r="D49" s="84" t="str">
        <f>'II_Inkunabeln+'!D49</f>
        <v>https://portal.dnb.de/opac.htm?method=simpleSearch&amp;cqlMode=true&amp;query=idn%3D1066972958</v>
      </c>
      <c r="E49" s="63" t="str">
        <f>'II_Inkunabeln+'!E49</f>
        <v>II 1,9g</v>
      </c>
      <c r="F49" s="63" t="str">
        <f>'II_Inkunabeln+'!H49</f>
        <v>bis 25 cm</v>
      </c>
      <c r="G49" s="93" t="str">
        <f>'II_Inkunabeln+'!AG49</f>
        <v>Pa</v>
      </c>
      <c r="H49" s="93">
        <f>'II_Inkunabeln+'!AP49</f>
        <v>0</v>
      </c>
      <c r="I49" s="93" t="str">
        <f>'II_Inkunabeln+'!AQ49</f>
        <v>I/R</v>
      </c>
      <c r="J49" s="94"/>
      <c r="K49" s="93">
        <f>'II_Inkunabeln+'!AW49</f>
        <v>0</v>
      </c>
      <c r="L49" s="93">
        <f>'II_Inkunabeln+'!AX49</f>
        <v>0</v>
      </c>
      <c r="AA49" s="93">
        <f>'II_Inkunabeln+'!AY49</f>
        <v>0</v>
      </c>
      <c r="AB49" s="94" t="str">
        <f>'II_Inkunabeln+'!BA49</f>
        <v>n</v>
      </c>
      <c r="AC49" s="108"/>
      <c r="AD49" s="81">
        <f>'II_Inkunabeln+'!BJ49</f>
        <v>0</v>
      </c>
    </row>
    <row r="50" spans="1:30" x14ac:dyDescent="0.25">
      <c r="A50" s="63">
        <f>'II_Inkunabeln+'!A50</f>
        <v>49</v>
      </c>
      <c r="B50" s="63" t="str">
        <f>'II_Inkunabeln+'!B50</f>
        <v>L-1498-315503319</v>
      </c>
      <c r="C50" s="63">
        <f>'II_Inkunabeln+'!C50</f>
        <v>1066972931</v>
      </c>
      <c r="D50" s="84" t="str">
        <f>'II_Inkunabeln+'!D50</f>
        <v>https://portal.dnb.de/opac.htm?method=simpleSearch&amp;cqlMode=true&amp;query=idn%3D1066972931</v>
      </c>
      <c r="E50" s="63" t="str">
        <f>'II_Inkunabeln+'!E50</f>
        <v>II 1,9h</v>
      </c>
      <c r="F50" s="63">
        <f>'II_Inkunabeln+'!H50</f>
        <v>0</v>
      </c>
      <c r="G50" s="93">
        <f>'II_Inkunabeln+'!AG50</f>
        <v>0</v>
      </c>
      <c r="H50" s="93">
        <f>'II_Inkunabeln+'!AP50</f>
        <v>0</v>
      </c>
      <c r="I50" s="93">
        <f>'II_Inkunabeln+'!AQ50</f>
        <v>0</v>
      </c>
      <c r="J50" s="94"/>
      <c r="K50" s="93">
        <f>'II_Inkunabeln+'!AW50</f>
        <v>0</v>
      </c>
      <c r="L50" s="93">
        <f>'II_Inkunabeln+'!AX50</f>
        <v>0</v>
      </c>
      <c r="AA50" s="93">
        <f>'II_Inkunabeln+'!AY50</f>
        <v>0</v>
      </c>
      <c r="AB50" s="94">
        <f>'II_Inkunabeln+'!BA50</f>
        <v>0</v>
      </c>
      <c r="AC50" s="108"/>
      <c r="AD50" s="81">
        <f>'II_Inkunabeln+'!BJ50</f>
        <v>0</v>
      </c>
    </row>
    <row r="51" spans="1:30" x14ac:dyDescent="0.25">
      <c r="A51" s="63">
        <f>'II_Inkunabeln+'!A51</f>
        <v>50</v>
      </c>
      <c r="B51" s="63" t="str">
        <f>'II_Inkunabeln+'!B51</f>
        <v>L-1495-315503246</v>
      </c>
      <c r="C51" s="63">
        <f>'II_Inkunabeln+'!C51</f>
        <v>1066972850</v>
      </c>
      <c r="D51" s="84" t="str">
        <f>'II_Inkunabeln+'!D51</f>
        <v>https://portal.dnb.de/opac.htm?method=simpleSearch&amp;cqlMode=true&amp;query=idn%3D1066972850</v>
      </c>
      <c r="E51" s="63" t="str">
        <f>'II_Inkunabeln+'!E51</f>
        <v>II 1,9i</v>
      </c>
      <c r="F51" s="63" t="str">
        <f>'II_Inkunabeln+'!H51</f>
        <v>bis 25 cm</v>
      </c>
      <c r="G51" s="93" t="str">
        <f>'II_Inkunabeln+'!AG51</f>
        <v>Pa</v>
      </c>
      <c r="H51" s="93">
        <f>'II_Inkunabeln+'!AP51</f>
        <v>0</v>
      </c>
      <c r="I51" s="93" t="str">
        <f>'II_Inkunabeln+'!AQ51</f>
        <v>I/R</v>
      </c>
      <c r="J51" s="94"/>
      <c r="K51" s="93">
        <f>'II_Inkunabeln+'!AW51</f>
        <v>0</v>
      </c>
      <c r="L51" s="93">
        <f>'II_Inkunabeln+'!AX51</f>
        <v>0</v>
      </c>
      <c r="AA51" s="93">
        <f>'II_Inkunabeln+'!AY51</f>
        <v>0</v>
      </c>
      <c r="AB51" s="94" t="str">
        <f>'II_Inkunabeln+'!BA51</f>
        <v>n</v>
      </c>
      <c r="AC51" s="108"/>
      <c r="AD51" s="81">
        <f>'II_Inkunabeln+'!BJ51</f>
        <v>0</v>
      </c>
    </row>
    <row r="52" spans="1:30" x14ac:dyDescent="0.25">
      <c r="A52" s="63">
        <f>'II_Inkunabeln+'!A52</f>
        <v>51</v>
      </c>
      <c r="B52" s="63" t="str">
        <f>'II_Inkunabeln+'!B52</f>
        <v>L-1493-315503297</v>
      </c>
      <c r="C52" s="63">
        <f>'II_Inkunabeln+'!C52</f>
        <v>1066972907</v>
      </c>
      <c r="D52" s="84" t="str">
        <f>'II_Inkunabeln+'!D52</f>
        <v>https://portal.dnb.de/opac.htm?method=simpleSearch&amp;cqlMode=true&amp;query=idn%3D1066972907</v>
      </c>
      <c r="E52" s="63" t="str">
        <f>'II_Inkunabeln+'!E52</f>
        <v>II 1,9k</v>
      </c>
      <c r="F52" s="63" t="str">
        <f>'II_Inkunabeln+'!H52</f>
        <v>bis 25 cm</v>
      </c>
      <c r="G52" s="93">
        <f>'II_Inkunabeln+'!AG52</f>
        <v>0</v>
      </c>
      <c r="H52" s="93">
        <f>'II_Inkunabeln+'!AP52</f>
        <v>0</v>
      </c>
      <c r="I52" s="93">
        <f>'II_Inkunabeln+'!AQ52</f>
        <v>0</v>
      </c>
      <c r="J52" s="94"/>
      <c r="K52" s="93">
        <f>'II_Inkunabeln+'!AW52</f>
        <v>0</v>
      </c>
      <c r="L52" s="93">
        <f>'II_Inkunabeln+'!AX52</f>
        <v>0</v>
      </c>
      <c r="AA52" s="93">
        <f>'II_Inkunabeln+'!AY52</f>
        <v>0</v>
      </c>
      <c r="AB52" s="94">
        <f>'II_Inkunabeln+'!BA52</f>
        <v>0</v>
      </c>
      <c r="AC52" s="108"/>
      <c r="AD52" s="81">
        <f>'II_Inkunabeln+'!BJ52</f>
        <v>0</v>
      </c>
    </row>
    <row r="53" spans="1:30" x14ac:dyDescent="0.25">
      <c r="A53" s="63">
        <f>'II_Inkunabeln+'!A53</f>
        <v>52</v>
      </c>
      <c r="B53" s="63" t="str">
        <f>'II_Inkunabeln+'!B53</f>
        <v>L-1497-326851682</v>
      </c>
      <c r="C53" s="63">
        <f>'II_Inkunabeln+'!C53</f>
        <v>1072051036</v>
      </c>
      <c r="D53" s="84" t="str">
        <f>'II_Inkunabeln+'!D53</f>
        <v>https://portal.dnb.de/opac.htm?method=simpleSearch&amp;cqlMode=true&amp;query=idn%3D1072051036</v>
      </c>
      <c r="E53" s="63" t="str">
        <f>'II_Inkunabeln+'!E53</f>
        <v>II 1,9l</v>
      </c>
      <c r="F53" s="63" t="str">
        <f>'II_Inkunabeln+'!H53</f>
        <v>bis 25 cm</v>
      </c>
      <c r="G53" s="93">
        <f>'II_Inkunabeln+'!AG53</f>
        <v>0</v>
      </c>
      <c r="H53" s="93">
        <f>'II_Inkunabeln+'!AP53</f>
        <v>0</v>
      </c>
      <c r="I53" s="93">
        <f>'II_Inkunabeln+'!AQ53</f>
        <v>0</v>
      </c>
      <c r="J53" s="94"/>
      <c r="K53" s="93">
        <f>'II_Inkunabeln+'!AW53</f>
        <v>0</v>
      </c>
      <c r="L53" s="93">
        <f>'II_Inkunabeln+'!AX53</f>
        <v>0</v>
      </c>
      <c r="AA53" s="93">
        <f>'II_Inkunabeln+'!AY53</f>
        <v>0</v>
      </c>
      <c r="AB53" s="94">
        <f>'II_Inkunabeln+'!BA53</f>
        <v>0</v>
      </c>
      <c r="AC53" s="108"/>
      <c r="AD53" s="81">
        <f>'II_Inkunabeln+'!BJ53</f>
        <v>0</v>
      </c>
    </row>
    <row r="54" spans="1:30" x14ac:dyDescent="0.25">
      <c r="A54" s="63">
        <f>'II_Inkunabeln+'!A54</f>
        <v>53</v>
      </c>
      <c r="B54" s="63" t="str">
        <f>'II_Inkunabeln+'!B54</f>
        <v>L-1493-315503300</v>
      </c>
      <c r="C54" s="63">
        <f>'II_Inkunabeln+'!C54</f>
        <v>1066972923</v>
      </c>
      <c r="D54" s="84" t="str">
        <f>'II_Inkunabeln+'!D54</f>
        <v>https://portal.dnb.de/opac.htm?method=simpleSearch&amp;cqlMode=true&amp;query=idn%3D1066972923</v>
      </c>
      <c r="E54" s="63" t="str">
        <f>'II_Inkunabeln+'!E54</f>
        <v>II 1,9m - 1. Ex.</v>
      </c>
      <c r="F54" s="63" t="str">
        <f>'II_Inkunabeln+'!H54</f>
        <v>bis 25 cm</v>
      </c>
      <c r="G54" s="93">
        <f>'II_Inkunabeln+'!AG54</f>
        <v>0</v>
      </c>
      <c r="H54" s="93">
        <f>'II_Inkunabeln+'!AP54</f>
        <v>0</v>
      </c>
      <c r="I54" s="93">
        <f>'II_Inkunabeln+'!AQ54</f>
        <v>0</v>
      </c>
      <c r="J54" s="94"/>
      <c r="K54" s="93">
        <f>'II_Inkunabeln+'!AW54</f>
        <v>0</v>
      </c>
      <c r="L54" s="93">
        <f>'II_Inkunabeln+'!AX54</f>
        <v>0</v>
      </c>
      <c r="AA54" s="93">
        <f>'II_Inkunabeln+'!AY54</f>
        <v>0</v>
      </c>
      <c r="AB54" s="94">
        <f>'II_Inkunabeln+'!BA54</f>
        <v>0</v>
      </c>
      <c r="AC54" s="108"/>
      <c r="AD54" s="81">
        <f>'II_Inkunabeln+'!BJ54</f>
        <v>0</v>
      </c>
    </row>
    <row r="55" spans="1:30" x14ac:dyDescent="0.25">
      <c r="A55" s="63">
        <f>'II_Inkunabeln+'!A55</f>
        <v>54</v>
      </c>
      <c r="B55" s="63" t="str">
        <f>'II_Inkunabeln+'!B55</f>
        <v>L-1493-478322305</v>
      </c>
      <c r="C55" s="63">
        <f>'II_Inkunabeln+'!C55</f>
        <v>1066972923</v>
      </c>
      <c r="D55" s="84" t="str">
        <f>'II_Inkunabeln+'!D55</f>
        <v>https://portal.dnb.de/opac.htm?method=simpleSearch&amp;cqlMode=true&amp;query=idn%3D1066972923</v>
      </c>
      <c r="E55" s="63" t="str">
        <f>'II_Inkunabeln+'!E55</f>
        <v>II 1,9m - 2. Ex.</v>
      </c>
      <c r="F55" s="63" t="str">
        <f>'II_Inkunabeln+'!H55</f>
        <v>bis 25 cm</v>
      </c>
      <c r="G55" s="93">
        <f>'II_Inkunabeln+'!AG55</f>
        <v>0</v>
      </c>
      <c r="H55" s="93">
        <f>'II_Inkunabeln+'!AP55</f>
        <v>0</v>
      </c>
      <c r="I55" s="93">
        <f>'II_Inkunabeln+'!AQ55</f>
        <v>0</v>
      </c>
      <c r="J55" s="94"/>
      <c r="K55" s="93">
        <f>'II_Inkunabeln+'!AW55</f>
        <v>0</v>
      </c>
      <c r="L55" s="93">
        <f>'II_Inkunabeln+'!AX55</f>
        <v>0</v>
      </c>
      <c r="AA55" s="93">
        <f>'II_Inkunabeln+'!AY55</f>
        <v>0</v>
      </c>
      <c r="AB55" s="94">
        <f>'II_Inkunabeln+'!BA55</f>
        <v>0</v>
      </c>
      <c r="AC55" s="108"/>
      <c r="AD55" s="81">
        <f>'II_Inkunabeln+'!BJ55</f>
        <v>0</v>
      </c>
    </row>
    <row r="56" spans="1:30" x14ac:dyDescent="0.25">
      <c r="A56" s="63">
        <f>'II_Inkunabeln+'!A56</f>
        <v>55</v>
      </c>
      <c r="B56" s="63" t="str">
        <f>'II_Inkunabeln+'!B56</f>
        <v>L-1493-315503580</v>
      </c>
      <c r="C56" s="63">
        <f>'II_Inkunabeln+'!C56</f>
        <v>1066973199</v>
      </c>
      <c r="D56" s="84" t="str">
        <f>'II_Inkunabeln+'!D56</f>
        <v>https://portal.dnb.de/opac.htm?method=simpleSearch&amp;cqlMode=true&amp;query=idn%3D1066973199</v>
      </c>
      <c r="E56" s="63" t="str">
        <f>'II_Inkunabeln+'!E56</f>
        <v>II 1,9n (angebunden)</v>
      </c>
      <c r="F56" s="63">
        <f>'II_Inkunabeln+'!H56</f>
        <v>0</v>
      </c>
      <c r="G56" s="93">
        <f>'II_Inkunabeln+'!AG56</f>
        <v>0</v>
      </c>
      <c r="H56" s="93">
        <f>'II_Inkunabeln+'!AP56</f>
        <v>0</v>
      </c>
      <c r="I56" s="93">
        <f>'II_Inkunabeln+'!AQ56</f>
        <v>0</v>
      </c>
      <c r="J56" s="94"/>
      <c r="K56" s="93">
        <f>'II_Inkunabeln+'!AW56</f>
        <v>0</v>
      </c>
      <c r="L56" s="93">
        <f>'II_Inkunabeln+'!AX56</f>
        <v>0</v>
      </c>
      <c r="AA56" s="93">
        <f>'II_Inkunabeln+'!AY56</f>
        <v>0</v>
      </c>
      <c r="AB56" s="94">
        <f>'II_Inkunabeln+'!BA56</f>
        <v>0</v>
      </c>
      <c r="AC56" s="108"/>
      <c r="AD56" s="81">
        <f>'II_Inkunabeln+'!BJ56</f>
        <v>0</v>
      </c>
    </row>
    <row r="57" spans="1:30" x14ac:dyDescent="0.25">
      <c r="A57" s="63">
        <f>'II_Inkunabeln+'!A57</f>
        <v>56</v>
      </c>
      <c r="B57" s="63" t="str">
        <f>'II_Inkunabeln+'!B57</f>
        <v>L-1468-31549722X</v>
      </c>
      <c r="C57" s="63">
        <f>'II_Inkunabeln+'!C57</f>
        <v>1066966923</v>
      </c>
      <c r="D57" s="84" t="str">
        <f>'II_Inkunabeln+'!D57</f>
        <v>https://portal.dnb.de/opac.htm?method=simpleSearch&amp;cqlMode=true&amp;query=idn%3D1066966923</v>
      </c>
      <c r="E57" s="63" t="str">
        <f>'II_Inkunabeln+'!E57</f>
        <v>II 2,1a</v>
      </c>
      <c r="F57" s="63" t="str">
        <f>'II_Inkunabeln+'!H57</f>
        <v>bis 35 cm</v>
      </c>
      <c r="G57" s="93">
        <f>'II_Inkunabeln+'!AG57</f>
        <v>0</v>
      </c>
      <c r="H57" s="93">
        <f>'II_Inkunabeln+'!AP57</f>
        <v>0</v>
      </c>
      <c r="I57" s="93">
        <f>'II_Inkunabeln+'!AQ57</f>
        <v>0</v>
      </c>
      <c r="J57" s="94"/>
      <c r="K57" s="93">
        <f>'II_Inkunabeln+'!AW57</f>
        <v>0</v>
      </c>
      <c r="L57" s="93">
        <f>'II_Inkunabeln+'!AX57</f>
        <v>0</v>
      </c>
      <c r="AA57" s="93">
        <f>'II_Inkunabeln+'!AY57</f>
        <v>0</v>
      </c>
      <c r="AB57" s="94">
        <f>'II_Inkunabeln+'!BA57</f>
        <v>0</v>
      </c>
      <c r="AC57" s="108"/>
      <c r="AD57" s="81">
        <f>'II_Inkunabeln+'!BJ57</f>
        <v>0</v>
      </c>
    </row>
    <row r="58" spans="1:30" x14ac:dyDescent="0.25">
      <c r="A58" s="63">
        <f>'II_Inkunabeln+'!A58</f>
        <v>57</v>
      </c>
      <c r="B58" s="63" t="str">
        <f>'II_Inkunabeln+'!B58</f>
        <v>L-1469-316397148</v>
      </c>
      <c r="C58" s="63">
        <f>'II_Inkunabeln+'!C58</f>
        <v>1067435948</v>
      </c>
      <c r="D58" s="84" t="str">
        <f>'II_Inkunabeln+'!D58</f>
        <v>https://portal.dnb.de/opac.htm?method=simpleSearch&amp;cqlMode=true&amp;query=idn%3D1067435948</v>
      </c>
      <c r="E58" s="63" t="str">
        <f>'II_Inkunabeln+'!E58</f>
        <v>II 2,1b - Fragm.</v>
      </c>
      <c r="F58" s="63">
        <f>'II_Inkunabeln+'!H58</f>
        <v>0</v>
      </c>
      <c r="G58" s="93">
        <f>'II_Inkunabeln+'!AG58</f>
        <v>0</v>
      </c>
      <c r="H58" s="93">
        <f>'II_Inkunabeln+'!AP58</f>
        <v>0</v>
      </c>
      <c r="I58" s="93">
        <f>'II_Inkunabeln+'!AQ58</f>
        <v>0</v>
      </c>
      <c r="J58" s="94"/>
      <c r="K58" s="93">
        <f>'II_Inkunabeln+'!AW58</f>
        <v>0</v>
      </c>
      <c r="L58" s="93">
        <f>'II_Inkunabeln+'!AX58</f>
        <v>0</v>
      </c>
      <c r="AA58" s="93">
        <f>'II_Inkunabeln+'!AY58</f>
        <v>0</v>
      </c>
      <c r="AB58" s="94">
        <f>'II_Inkunabeln+'!BA58</f>
        <v>0</v>
      </c>
      <c r="AC58" s="108"/>
      <c r="AD58" s="81">
        <f>'II_Inkunabeln+'!BJ58</f>
        <v>0</v>
      </c>
    </row>
    <row r="59" spans="1:30" x14ac:dyDescent="0.25">
      <c r="A59" s="63">
        <f>'II_Inkunabeln+'!A59</f>
        <v>58</v>
      </c>
      <c r="B59" s="63" t="str">
        <f>'II_Inkunabeln+'!B59</f>
        <v>L-1469-316397156</v>
      </c>
      <c r="C59" s="63">
        <f>'II_Inkunabeln+'!C59</f>
        <v>1067435948</v>
      </c>
      <c r="D59" s="84" t="str">
        <f>'II_Inkunabeln+'!D59</f>
        <v>https://portal.dnb.de/opac.htm?method=simpleSearch&amp;cqlMode=true&amp;query=idn%3D1067435948</v>
      </c>
      <c r="E59" s="63" t="str">
        <f>'II_Inkunabeln+'!E59</f>
        <v>II 2,1ba - Fragm.</v>
      </c>
      <c r="F59" s="63">
        <f>'II_Inkunabeln+'!H59</f>
        <v>0</v>
      </c>
      <c r="G59" s="93">
        <f>'II_Inkunabeln+'!AG59</f>
        <v>0</v>
      </c>
      <c r="H59" s="93">
        <f>'II_Inkunabeln+'!AP59</f>
        <v>0</v>
      </c>
      <c r="I59" s="93">
        <f>'II_Inkunabeln+'!AQ59</f>
        <v>0</v>
      </c>
      <c r="J59" s="94"/>
      <c r="K59" s="93">
        <f>'II_Inkunabeln+'!AW59</f>
        <v>0</v>
      </c>
      <c r="L59" s="93">
        <f>'II_Inkunabeln+'!AX59</f>
        <v>0</v>
      </c>
      <c r="AA59" s="93">
        <f>'II_Inkunabeln+'!AY59</f>
        <v>0</v>
      </c>
      <c r="AB59" s="94">
        <f>'II_Inkunabeln+'!BA59</f>
        <v>0</v>
      </c>
      <c r="AC59" s="108"/>
      <c r="AD59" s="81">
        <f>'II_Inkunabeln+'!BJ59</f>
        <v>0</v>
      </c>
    </row>
    <row r="60" spans="1:30" x14ac:dyDescent="0.25">
      <c r="A60" s="63">
        <f>'II_Inkunabeln+'!A60</f>
        <v>59</v>
      </c>
      <c r="B60" s="63" t="str">
        <f>'II_Inkunabeln+'!B60</f>
        <v>L-1469-315500271</v>
      </c>
      <c r="C60" s="63">
        <f>'II_Inkunabeln+'!C60</f>
        <v>1066969930</v>
      </c>
      <c r="D60" s="84" t="str">
        <f>'II_Inkunabeln+'!D60</f>
        <v>https://portal.dnb.de/opac.htm?method=simpleSearch&amp;cqlMode=true&amp;query=idn%3D1066969930</v>
      </c>
      <c r="E60" s="63" t="str">
        <f>'II_Inkunabeln+'!E60</f>
        <v>II 2,1c</v>
      </c>
      <c r="F60" s="63" t="str">
        <f>'II_Inkunabeln+'!H60</f>
        <v>bis 35 cm</v>
      </c>
      <c r="G60" s="93">
        <f>'II_Inkunabeln+'!AG60</f>
        <v>0</v>
      </c>
      <c r="H60" s="93">
        <f>'II_Inkunabeln+'!AP60</f>
        <v>0</v>
      </c>
      <c r="I60" s="93">
        <f>'II_Inkunabeln+'!AQ60</f>
        <v>0</v>
      </c>
      <c r="J60" s="94"/>
      <c r="K60" s="93">
        <f>'II_Inkunabeln+'!AW60</f>
        <v>0</v>
      </c>
      <c r="L60" s="93">
        <f>'II_Inkunabeln+'!AX60</f>
        <v>0</v>
      </c>
      <c r="AA60" s="93">
        <f>'II_Inkunabeln+'!AY60</f>
        <v>0</v>
      </c>
      <c r="AB60" s="94">
        <f>'II_Inkunabeln+'!BA60</f>
        <v>0</v>
      </c>
      <c r="AC60" s="108"/>
      <c r="AD60" s="81">
        <f>'II_Inkunabeln+'!BJ60</f>
        <v>0</v>
      </c>
    </row>
    <row r="61" spans="1:30" x14ac:dyDescent="0.25">
      <c r="A61" s="63">
        <f>'II_Inkunabeln+'!A61</f>
        <v>60</v>
      </c>
      <c r="B61" s="63" t="str">
        <f>'II_Inkunabeln+'!B61</f>
        <v>L-1470-315498153</v>
      </c>
      <c r="C61" s="63">
        <f>'II_Inkunabeln+'!C61</f>
        <v>1066967903</v>
      </c>
      <c r="D61" s="84" t="str">
        <f>'II_Inkunabeln+'!D61</f>
        <v>https://portal.dnb.de/opac.htm?method=simpleSearch&amp;cqlMode=true&amp;query=idn%3D1066967903</v>
      </c>
      <c r="E61" s="63" t="str">
        <f>'II_Inkunabeln+'!E61</f>
        <v>II 2,1d</v>
      </c>
      <c r="F61" s="63" t="str">
        <f>'II_Inkunabeln+'!H61</f>
        <v>bis 42 cm</v>
      </c>
      <c r="G61" s="93" t="str">
        <f>'II_Inkunabeln+'!AG61</f>
        <v>Pa</v>
      </c>
      <c r="H61" s="93">
        <f>'II_Inkunabeln+'!AP61</f>
        <v>0</v>
      </c>
      <c r="I61" s="93" t="str">
        <f>'II_Inkunabeln+'!AQ61</f>
        <v>I/R</v>
      </c>
      <c r="J61" s="94"/>
      <c r="K61" s="93">
        <f>'II_Inkunabeln+'!AW61</f>
        <v>0</v>
      </c>
      <c r="L61" s="93">
        <f>'II_Inkunabeln+'!AX61</f>
        <v>0</v>
      </c>
      <c r="AA61" s="93">
        <f>'II_Inkunabeln+'!AY61</f>
        <v>0</v>
      </c>
      <c r="AB61" s="94" t="str">
        <f>'II_Inkunabeln+'!BA61</f>
        <v>ja vor</v>
      </c>
      <c r="AC61" s="108"/>
      <c r="AD61" s="81">
        <f>'II_Inkunabeln+'!BJ61</f>
        <v>0</v>
      </c>
    </row>
    <row r="62" spans="1:30" x14ac:dyDescent="0.25">
      <c r="A62" s="63">
        <f>'II_Inkunabeln+'!A62</f>
        <v>61</v>
      </c>
      <c r="B62" s="63" t="str">
        <f>'II_Inkunabeln+'!B62</f>
        <v>L-1471-315502436</v>
      </c>
      <c r="C62" s="63" t="str">
        <f>'II_Inkunabeln+'!C62</f>
        <v>106697201X</v>
      </c>
      <c r="D62" s="84" t="str">
        <f>'II_Inkunabeln+'!D62</f>
        <v>https://portal.dnb.de/opac.htm?method=simpleSearch&amp;cqlMode=true&amp;query=idn%3D106697201X</v>
      </c>
      <c r="E62" s="63" t="str">
        <f>'II_Inkunabeln+'!E62</f>
        <v>II 2,1e</v>
      </c>
      <c r="F62" s="63" t="str">
        <f>'II_Inkunabeln+'!H62</f>
        <v>bis 35 cm</v>
      </c>
      <c r="G62" s="93">
        <f>'II_Inkunabeln+'!AG62</f>
        <v>0</v>
      </c>
      <c r="H62" s="93">
        <f>'II_Inkunabeln+'!AP62</f>
        <v>0</v>
      </c>
      <c r="I62" s="93">
        <f>'II_Inkunabeln+'!AQ62</f>
        <v>0</v>
      </c>
      <c r="J62" s="94"/>
      <c r="K62" s="93">
        <f>'II_Inkunabeln+'!AW62</f>
        <v>0</v>
      </c>
      <c r="L62" s="93">
        <f>'II_Inkunabeln+'!AX62</f>
        <v>0</v>
      </c>
      <c r="AA62" s="93">
        <f>'II_Inkunabeln+'!AY62</f>
        <v>0</v>
      </c>
      <c r="AB62" s="94">
        <f>'II_Inkunabeln+'!BA62</f>
        <v>0</v>
      </c>
      <c r="AC62" s="108"/>
      <c r="AD62" s="81">
        <f>'II_Inkunabeln+'!BJ62</f>
        <v>0</v>
      </c>
    </row>
    <row r="63" spans="1:30" x14ac:dyDescent="0.25">
      <c r="A63" s="63">
        <f>'II_Inkunabeln+'!A63</f>
        <v>62</v>
      </c>
      <c r="B63" s="63" t="str">
        <f>'II_Inkunabeln+'!B63</f>
        <v>L-1472-31549980X</v>
      </c>
      <c r="C63" s="63">
        <f>'II_Inkunabeln+'!C63</f>
        <v>1066969477</v>
      </c>
      <c r="D63" s="84" t="str">
        <f>'II_Inkunabeln+'!D63</f>
        <v>https://portal.dnb.de/opac.htm?method=simpleSearch&amp;cqlMode=true&amp;query=idn%3D1066969477</v>
      </c>
      <c r="E63" s="63" t="str">
        <f>'II_Inkunabeln+'!E63</f>
        <v>II 2,1f</v>
      </c>
      <c r="F63" s="63" t="str">
        <f>'II_Inkunabeln+'!H63</f>
        <v>bis 35 cm</v>
      </c>
      <c r="G63" s="93">
        <f>'II_Inkunabeln+'!AG63</f>
        <v>0</v>
      </c>
      <c r="H63" s="93">
        <f>'II_Inkunabeln+'!AP63</f>
        <v>0</v>
      </c>
      <c r="I63" s="93">
        <f>'II_Inkunabeln+'!AQ63</f>
        <v>0</v>
      </c>
      <c r="J63" s="94"/>
      <c r="K63" s="93">
        <f>'II_Inkunabeln+'!AW63</f>
        <v>0</v>
      </c>
      <c r="L63" s="93">
        <f>'II_Inkunabeln+'!AX63</f>
        <v>0</v>
      </c>
      <c r="AA63" s="93">
        <f>'II_Inkunabeln+'!AY63</f>
        <v>0</v>
      </c>
      <c r="AB63" s="94">
        <f>'II_Inkunabeln+'!BA63</f>
        <v>0</v>
      </c>
      <c r="AC63" s="108"/>
      <c r="AD63" s="81">
        <f>'II_Inkunabeln+'!BJ63</f>
        <v>0</v>
      </c>
    </row>
    <row r="64" spans="1:30" x14ac:dyDescent="0.25">
      <c r="A64" s="63">
        <f>'II_Inkunabeln+'!A64</f>
        <v>63</v>
      </c>
      <c r="B64" s="63" t="str">
        <f>'II_Inkunabeln+'!B64</f>
        <v>L-1472-315499796</v>
      </c>
      <c r="C64" s="63">
        <f>'II_Inkunabeln+'!C64</f>
        <v>1066969469</v>
      </c>
      <c r="D64" s="84" t="str">
        <f>'II_Inkunabeln+'!D64</f>
        <v>https://portal.dnb.de/opac.htm?method=simpleSearch&amp;cqlMode=true&amp;query=idn%3D1066969469</v>
      </c>
      <c r="E64" s="63" t="str">
        <f>'II_Inkunabeln+'!E64</f>
        <v>II 2,1g</v>
      </c>
      <c r="F64" s="63" t="str">
        <f>'II_Inkunabeln+'!H64</f>
        <v>bis 35 cm</v>
      </c>
      <c r="G64" s="93">
        <f>'II_Inkunabeln+'!AG64</f>
        <v>0</v>
      </c>
      <c r="H64" s="93">
        <f>'II_Inkunabeln+'!AP64</f>
        <v>0</v>
      </c>
      <c r="I64" s="93">
        <f>'II_Inkunabeln+'!AQ64</f>
        <v>0</v>
      </c>
      <c r="J64" s="94"/>
      <c r="K64" s="93">
        <f>'II_Inkunabeln+'!AW64</f>
        <v>0</v>
      </c>
      <c r="L64" s="93">
        <f>'II_Inkunabeln+'!AX64</f>
        <v>0</v>
      </c>
      <c r="AA64" s="93">
        <f>'II_Inkunabeln+'!AY64</f>
        <v>0</v>
      </c>
      <c r="AB64" s="94">
        <f>'II_Inkunabeln+'!BA64</f>
        <v>0</v>
      </c>
      <c r="AC64" s="108"/>
      <c r="AD64" s="81">
        <f>'II_Inkunabeln+'!BJ64</f>
        <v>0</v>
      </c>
    </row>
    <row r="65" spans="1:30" x14ac:dyDescent="0.25">
      <c r="A65" s="63">
        <f>'II_Inkunabeln+'!A65</f>
        <v>64</v>
      </c>
      <c r="B65" s="63" t="str">
        <f>'II_Inkunabeln+'!B65</f>
        <v>L-1472-315499141</v>
      </c>
      <c r="C65" s="63" t="str">
        <f>'II_Inkunabeln+'!C65</f>
        <v>106696887X</v>
      </c>
      <c r="D65" s="84" t="str">
        <f>'II_Inkunabeln+'!D65</f>
        <v>https://portal.dnb.de/opac.htm?method=simpleSearch&amp;cqlMode=true&amp;query=idn%3D106696887X</v>
      </c>
      <c r="E65" s="63" t="str">
        <f>'II_Inkunabeln+'!E65</f>
        <v>II 2,1i</v>
      </c>
      <c r="F65" s="63" t="str">
        <f>'II_Inkunabeln+'!H65</f>
        <v>bis 35 cm</v>
      </c>
      <c r="G65" s="93">
        <f>'II_Inkunabeln+'!AG65</f>
        <v>0</v>
      </c>
      <c r="H65" s="93">
        <f>'II_Inkunabeln+'!AP65</f>
        <v>0</v>
      </c>
      <c r="I65" s="93">
        <f>'II_Inkunabeln+'!AQ65</f>
        <v>0</v>
      </c>
      <c r="J65" s="94"/>
      <c r="K65" s="93">
        <f>'II_Inkunabeln+'!AW65</f>
        <v>0</v>
      </c>
      <c r="L65" s="93">
        <f>'II_Inkunabeln+'!AX65</f>
        <v>0</v>
      </c>
      <c r="AA65" s="93">
        <f>'II_Inkunabeln+'!AY65</f>
        <v>0</v>
      </c>
      <c r="AB65" s="94">
        <f>'II_Inkunabeln+'!BA65</f>
        <v>0</v>
      </c>
      <c r="AC65" s="108"/>
      <c r="AD65" s="81">
        <f>'II_Inkunabeln+'!BJ65</f>
        <v>0</v>
      </c>
    </row>
    <row r="66" spans="1:30" x14ac:dyDescent="0.25">
      <c r="A66" s="63">
        <f>'II_Inkunabeln+'!A66</f>
        <v>65</v>
      </c>
      <c r="B66" s="63" t="str">
        <f>'II_Inkunabeln+'!B66</f>
        <v>L-1470-343702525</v>
      </c>
      <c r="C66" s="63">
        <f>'II_Inkunabeln+'!C66</f>
        <v>1079550038</v>
      </c>
      <c r="D66" s="84" t="str">
        <f>'II_Inkunabeln+'!D66</f>
        <v>https://portal.dnb.de/opac.htm?method=simpleSearch&amp;cqlMode=true&amp;query=idn%3D1079550038</v>
      </c>
      <c r="E66" s="63" t="str">
        <f>'II_Inkunabeln+'!E66</f>
        <v>II 2,1k</v>
      </c>
      <c r="F66" s="63" t="str">
        <f>'II_Inkunabeln+'!H66</f>
        <v>bis 35 cm</v>
      </c>
      <c r="G66" s="93">
        <f>'II_Inkunabeln+'!AG66</f>
        <v>0</v>
      </c>
      <c r="H66" s="93">
        <f>'II_Inkunabeln+'!AP66</f>
        <v>0</v>
      </c>
      <c r="I66" s="93">
        <f>'II_Inkunabeln+'!AQ66</f>
        <v>0</v>
      </c>
      <c r="J66" s="94"/>
      <c r="K66" s="93">
        <f>'II_Inkunabeln+'!AW66</f>
        <v>0</v>
      </c>
      <c r="L66" s="93">
        <f>'II_Inkunabeln+'!AX66</f>
        <v>0</v>
      </c>
      <c r="AA66" s="93">
        <f>'II_Inkunabeln+'!AY66</f>
        <v>0</v>
      </c>
      <c r="AB66" s="94">
        <f>'II_Inkunabeln+'!BA66</f>
        <v>0</v>
      </c>
      <c r="AC66" s="108"/>
      <c r="AD66" s="81">
        <f>'II_Inkunabeln+'!BJ66</f>
        <v>0</v>
      </c>
    </row>
    <row r="67" spans="1:30" x14ac:dyDescent="0.25">
      <c r="A67" s="63">
        <f>'II_Inkunabeln+'!A67</f>
        <v>66</v>
      </c>
      <c r="B67" s="63" t="str">
        <f>'II_Inkunabeln+'!B67</f>
        <v>L-1470-343702576</v>
      </c>
      <c r="C67" s="63" t="str">
        <f>'II_Inkunabeln+'!C67</f>
        <v>107955016X</v>
      </c>
      <c r="D67" s="84" t="str">
        <f>'II_Inkunabeln+'!D67</f>
        <v>https://portal.dnb.de/opac.htm?method=simpleSearch&amp;cqlMode=true&amp;query=idn%3D107955016X</v>
      </c>
      <c r="E67" s="63" t="str">
        <f>'II_Inkunabeln+'!E67</f>
        <v>II 2,1k (1. angeb. Werk)</v>
      </c>
      <c r="F67" s="63">
        <f>'II_Inkunabeln+'!H67</f>
        <v>0</v>
      </c>
      <c r="G67" s="93">
        <f>'II_Inkunabeln+'!AG67</f>
        <v>0</v>
      </c>
      <c r="H67" s="93">
        <f>'II_Inkunabeln+'!AP67</f>
        <v>0</v>
      </c>
      <c r="I67" s="93">
        <f>'II_Inkunabeln+'!AQ67</f>
        <v>0</v>
      </c>
      <c r="J67" s="94"/>
      <c r="K67" s="93">
        <f>'II_Inkunabeln+'!AW67</f>
        <v>0</v>
      </c>
      <c r="L67" s="93">
        <f>'II_Inkunabeln+'!AX67</f>
        <v>0</v>
      </c>
      <c r="AA67" s="93">
        <f>'II_Inkunabeln+'!AY67</f>
        <v>0</v>
      </c>
      <c r="AB67" s="94">
        <f>'II_Inkunabeln+'!BA67</f>
        <v>0</v>
      </c>
      <c r="AC67" s="108"/>
      <c r="AD67" s="81">
        <f>'II_Inkunabeln+'!BJ67</f>
        <v>0</v>
      </c>
    </row>
    <row r="68" spans="1:30" x14ac:dyDescent="0.25">
      <c r="A68" s="63">
        <f>'II_Inkunabeln+'!A68</f>
        <v>67</v>
      </c>
      <c r="B68" s="63" t="str">
        <f>'II_Inkunabeln+'!B68</f>
        <v>L-1470-343702606</v>
      </c>
      <c r="C68" s="63">
        <f>'II_Inkunabeln+'!C68</f>
        <v>1079550275</v>
      </c>
      <c r="D68" s="84" t="str">
        <f>'II_Inkunabeln+'!D68</f>
        <v>https://portal.dnb.de/opac.htm?method=simpleSearch&amp;cqlMode=true&amp;query=idn%3D1079550275</v>
      </c>
      <c r="E68" s="63" t="str">
        <f>'II_Inkunabeln+'!E68</f>
        <v>II 2,1k (2. angeb. Werk)</v>
      </c>
      <c r="F68" s="63">
        <f>'II_Inkunabeln+'!H68</f>
        <v>0</v>
      </c>
      <c r="G68" s="93">
        <f>'II_Inkunabeln+'!AG68</f>
        <v>0</v>
      </c>
      <c r="H68" s="93">
        <f>'II_Inkunabeln+'!AP68</f>
        <v>0</v>
      </c>
      <c r="I68" s="93">
        <f>'II_Inkunabeln+'!AQ68</f>
        <v>0</v>
      </c>
      <c r="J68" s="94"/>
      <c r="K68" s="93">
        <f>'II_Inkunabeln+'!AW68</f>
        <v>0</v>
      </c>
      <c r="L68" s="93">
        <f>'II_Inkunabeln+'!AX68</f>
        <v>0</v>
      </c>
      <c r="AA68" s="93">
        <f>'II_Inkunabeln+'!AY68</f>
        <v>0</v>
      </c>
      <c r="AB68" s="94">
        <f>'II_Inkunabeln+'!BA68</f>
        <v>0</v>
      </c>
      <c r="AC68" s="108"/>
      <c r="AD68" s="81">
        <f>'II_Inkunabeln+'!BJ68</f>
        <v>0</v>
      </c>
    </row>
    <row r="69" spans="1:30" x14ac:dyDescent="0.25">
      <c r="A69" s="63">
        <f>'II_Inkunabeln+'!A69</f>
        <v>68</v>
      </c>
      <c r="B69" s="63" t="str">
        <f>'II_Inkunabeln+'!B69</f>
        <v>L-1470-343702665</v>
      </c>
      <c r="C69" s="63">
        <f>'II_Inkunabeln+'!C69</f>
        <v>1079550437</v>
      </c>
      <c r="D69" s="84" t="str">
        <f>'II_Inkunabeln+'!D69</f>
        <v>https://portal.dnb.de/opac.htm?method=simpleSearch&amp;cqlMode=true&amp;query=idn%3D1079550437</v>
      </c>
      <c r="E69" s="63" t="str">
        <f>'II_Inkunabeln+'!E69</f>
        <v>II 2,1k (3.-4. angeb. Werk)</v>
      </c>
      <c r="F69" s="63">
        <f>'II_Inkunabeln+'!H69</f>
        <v>0</v>
      </c>
      <c r="G69" s="93">
        <f>'II_Inkunabeln+'!AG69</f>
        <v>0</v>
      </c>
      <c r="H69" s="93">
        <f>'II_Inkunabeln+'!AP69</f>
        <v>0</v>
      </c>
      <c r="I69" s="93">
        <f>'II_Inkunabeln+'!AQ69</f>
        <v>0</v>
      </c>
      <c r="J69" s="94"/>
      <c r="K69" s="93">
        <f>'II_Inkunabeln+'!AW69</f>
        <v>0</v>
      </c>
      <c r="L69" s="93">
        <f>'II_Inkunabeln+'!AX69</f>
        <v>0</v>
      </c>
      <c r="AA69" s="93">
        <f>'II_Inkunabeln+'!AY69</f>
        <v>0</v>
      </c>
      <c r="AB69" s="94">
        <f>'II_Inkunabeln+'!BA69</f>
        <v>0</v>
      </c>
      <c r="AC69" s="108"/>
      <c r="AD69" s="81">
        <f>'II_Inkunabeln+'!BJ69</f>
        <v>0</v>
      </c>
    </row>
    <row r="70" spans="1:30" x14ac:dyDescent="0.25">
      <c r="A70" s="63">
        <f>'II_Inkunabeln+'!A70</f>
        <v>69</v>
      </c>
      <c r="B70" s="63" t="str">
        <f>'II_Inkunabeln+'!B70</f>
        <v>L-1470-343702770</v>
      </c>
      <c r="C70" s="63">
        <f>'II_Inkunabeln+'!C70</f>
        <v>1079550615</v>
      </c>
      <c r="D70" s="84" t="str">
        <f>'II_Inkunabeln+'!D70</f>
        <v>https://portal.dnb.de/opac.htm?method=simpleSearch&amp;cqlMode=true&amp;query=idn%3D1079550615</v>
      </c>
      <c r="E70" s="63" t="str">
        <f>'II_Inkunabeln+'!E70</f>
        <v>II 2,1k (5. angeb. Werk)</v>
      </c>
      <c r="F70" s="63">
        <f>'II_Inkunabeln+'!H70</f>
        <v>0</v>
      </c>
      <c r="G70" s="93">
        <f>'II_Inkunabeln+'!AG70</f>
        <v>0</v>
      </c>
      <c r="H70" s="93">
        <f>'II_Inkunabeln+'!AP70</f>
        <v>0</v>
      </c>
      <c r="I70" s="93">
        <f>'II_Inkunabeln+'!AQ70</f>
        <v>0</v>
      </c>
      <c r="J70" s="94"/>
      <c r="K70" s="93">
        <f>'II_Inkunabeln+'!AW70</f>
        <v>0</v>
      </c>
      <c r="L70" s="93">
        <f>'II_Inkunabeln+'!AX70</f>
        <v>0</v>
      </c>
      <c r="AA70" s="93">
        <f>'II_Inkunabeln+'!AY70</f>
        <v>0</v>
      </c>
      <c r="AB70" s="94">
        <f>'II_Inkunabeln+'!BA70</f>
        <v>0</v>
      </c>
      <c r="AC70" s="108"/>
      <c r="AD70" s="81">
        <f>'II_Inkunabeln+'!BJ70</f>
        <v>0</v>
      </c>
    </row>
    <row r="71" spans="1:30" x14ac:dyDescent="0.25">
      <c r="A71" s="63">
        <f>'II_Inkunabeln+'!A71</f>
        <v>70</v>
      </c>
      <c r="B71" s="63" t="str">
        <f>'II_Inkunabeln+'!B71</f>
        <v>L-1470-343703084</v>
      </c>
      <c r="C71" s="63">
        <f>'II_Inkunabeln+'!C71</f>
        <v>1079551522</v>
      </c>
      <c r="D71" s="84" t="str">
        <f>'II_Inkunabeln+'!D71</f>
        <v>https://portal.dnb.de/opac.htm?method=simpleSearch&amp;cqlMode=true&amp;query=idn%3D1079551522</v>
      </c>
      <c r="E71" s="63" t="str">
        <f>'II_Inkunabeln+'!E71</f>
        <v>II 2,1k (6. angeb. Werk)</v>
      </c>
      <c r="F71" s="63">
        <f>'II_Inkunabeln+'!H71</f>
        <v>0</v>
      </c>
      <c r="G71" s="93">
        <f>'II_Inkunabeln+'!AG71</f>
        <v>0</v>
      </c>
      <c r="H71" s="93">
        <f>'II_Inkunabeln+'!AP71</f>
        <v>0</v>
      </c>
      <c r="I71" s="93">
        <f>'II_Inkunabeln+'!AQ71</f>
        <v>0</v>
      </c>
      <c r="J71" s="94"/>
      <c r="K71" s="93">
        <f>'II_Inkunabeln+'!AW71</f>
        <v>0</v>
      </c>
      <c r="L71" s="93">
        <f>'II_Inkunabeln+'!AX71</f>
        <v>0</v>
      </c>
      <c r="AA71" s="93">
        <f>'II_Inkunabeln+'!AY71</f>
        <v>0</v>
      </c>
      <c r="AB71" s="94">
        <f>'II_Inkunabeln+'!BA71</f>
        <v>0</v>
      </c>
      <c r="AC71" s="108"/>
      <c r="AD71" s="81">
        <f>'II_Inkunabeln+'!BJ71</f>
        <v>0</v>
      </c>
    </row>
    <row r="72" spans="1:30" x14ac:dyDescent="0.25">
      <c r="A72" s="63">
        <f>'II_Inkunabeln+'!A72</f>
        <v>71</v>
      </c>
      <c r="B72" s="63" t="str">
        <f>'II_Inkunabeln+'!B72</f>
        <v>L-1472-315502169</v>
      </c>
      <c r="C72" s="63">
        <f>'II_Inkunabeln+'!C72</f>
        <v>1066971773</v>
      </c>
      <c r="D72" s="84" t="str">
        <f>'II_Inkunabeln+'!D72</f>
        <v>https://portal.dnb.de/opac.htm?method=simpleSearch&amp;cqlMode=true&amp;query=idn%3D1066971773</v>
      </c>
      <c r="E72" s="63" t="str">
        <f>'II_Inkunabeln+'!E72</f>
        <v>II 2,1k (7. angeb. Werk)</v>
      </c>
      <c r="F72" s="63">
        <f>'II_Inkunabeln+'!H72</f>
        <v>0</v>
      </c>
      <c r="G72" s="93">
        <f>'II_Inkunabeln+'!AG72</f>
        <v>0</v>
      </c>
      <c r="H72" s="93">
        <f>'II_Inkunabeln+'!AP72</f>
        <v>0</v>
      </c>
      <c r="I72" s="93">
        <f>'II_Inkunabeln+'!AQ72</f>
        <v>0</v>
      </c>
      <c r="J72" s="94"/>
      <c r="K72" s="93">
        <f>'II_Inkunabeln+'!AW72</f>
        <v>0</v>
      </c>
      <c r="L72" s="93">
        <f>'II_Inkunabeln+'!AX72</f>
        <v>0</v>
      </c>
      <c r="AA72" s="93">
        <f>'II_Inkunabeln+'!AY72</f>
        <v>0</v>
      </c>
      <c r="AB72" s="94">
        <f>'II_Inkunabeln+'!BA72</f>
        <v>0</v>
      </c>
      <c r="AC72" s="108"/>
      <c r="AD72" s="81">
        <f>'II_Inkunabeln+'!BJ72</f>
        <v>0</v>
      </c>
    </row>
    <row r="73" spans="1:30" x14ac:dyDescent="0.25">
      <c r="A73" s="63">
        <f>'II_Inkunabeln+'!A73</f>
        <v>72</v>
      </c>
      <c r="B73" s="63" t="str">
        <f>'II_Inkunabeln+'!B73</f>
        <v>L-1470-34370322X</v>
      </c>
      <c r="C73" s="63">
        <f>'II_Inkunabeln+'!C73</f>
        <v>1079551913</v>
      </c>
      <c r="D73" s="84" t="str">
        <f>'II_Inkunabeln+'!D73</f>
        <v>https://portal.dnb.de/opac.htm?method=simpleSearch&amp;cqlMode=true&amp;query=idn%3D1079551913</v>
      </c>
      <c r="E73" s="63" t="str">
        <f>'II_Inkunabeln+'!E73</f>
        <v>II 2,1k (8. angeb. Werk)</v>
      </c>
      <c r="F73" s="63">
        <f>'II_Inkunabeln+'!H73</f>
        <v>0</v>
      </c>
      <c r="G73" s="93">
        <f>'II_Inkunabeln+'!AG73</f>
        <v>0</v>
      </c>
      <c r="H73" s="93">
        <f>'II_Inkunabeln+'!AP73</f>
        <v>0</v>
      </c>
      <c r="I73" s="93">
        <f>'II_Inkunabeln+'!AQ73</f>
        <v>0</v>
      </c>
      <c r="J73" s="94"/>
      <c r="K73" s="93">
        <f>'II_Inkunabeln+'!AW73</f>
        <v>0</v>
      </c>
      <c r="L73" s="93">
        <f>'II_Inkunabeln+'!AX73</f>
        <v>0</v>
      </c>
      <c r="AA73" s="93">
        <f>'II_Inkunabeln+'!AY73</f>
        <v>0</v>
      </c>
      <c r="AB73" s="94">
        <f>'II_Inkunabeln+'!BA73</f>
        <v>0</v>
      </c>
      <c r="AC73" s="108"/>
      <c r="AD73" s="81">
        <f>'II_Inkunabeln+'!BJ73</f>
        <v>0</v>
      </c>
    </row>
    <row r="74" spans="1:30" x14ac:dyDescent="0.25">
      <c r="A74" s="63">
        <f>'II_Inkunabeln+'!A74</f>
        <v>73</v>
      </c>
      <c r="B74" s="63" t="str">
        <f>'II_Inkunabeln+'!B74</f>
        <v>L-1470-343703203</v>
      </c>
      <c r="C74" s="63">
        <f>'II_Inkunabeln+'!C74</f>
        <v>1079551808</v>
      </c>
      <c r="D74" s="84" t="str">
        <f>'II_Inkunabeln+'!D74</f>
        <v>https://portal.dnb.de/opac.htm?method=simpleSearch&amp;cqlMode=true&amp;query=idn%3D1079551808</v>
      </c>
      <c r="E74" s="63" t="str">
        <f>'II_Inkunabeln+'!E74</f>
        <v>II 2,1k (9. angeb. Werk)</v>
      </c>
      <c r="F74" s="63">
        <f>'II_Inkunabeln+'!H74</f>
        <v>0</v>
      </c>
      <c r="G74" s="93">
        <f>'II_Inkunabeln+'!AG74</f>
        <v>0</v>
      </c>
      <c r="H74" s="93">
        <f>'II_Inkunabeln+'!AP74</f>
        <v>0</v>
      </c>
      <c r="I74" s="93">
        <f>'II_Inkunabeln+'!AQ74</f>
        <v>0</v>
      </c>
      <c r="J74" s="94"/>
      <c r="K74" s="93">
        <f>'II_Inkunabeln+'!AW74</f>
        <v>0</v>
      </c>
      <c r="L74" s="93">
        <f>'II_Inkunabeln+'!AX74</f>
        <v>0</v>
      </c>
      <c r="AA74" s="93">
        <f>'II_Inkunabeln+'!AY74</f>
        <v>0</v>
      </c>
      <c r="AB74" s="94">
        <f>'II_Inkunabeln+'!BA74</f>
        <v>0</v>
      </c>
      <c r="AC74" s="108"/>
      <c r="AD74" s="81">
        <f>'II_Inkunabeln+'!BJ74</f>
        <v>0</v>
      </c>
    </row>
    <row r="75" spans="1:30" x14ac:dyDescent="0.25">
      <c r="A75" s="63">
        <f>'II_Inkunabeln+'!A75</f>
        <v>74</v>
      </c>
      <c r="B75" s="63" t="str">
        <f>'II_Inkunabeln+'!B75</f>
        <v>L-1475-315502851</v>
      </c>
      <c r="C75" s="63">
        <f>'II_Inkunabeln+'!C75</f>
        <v>1066972435</v>
      </c>
      <c r="D75" s="84" t="str">
        <f>'II_Inkunabeln+'!D75</f>
        <v>https://portal.dnb.de/opac.htm?method=simpleSearch&amp;cqlMode=true&amp;query=idn%3D1066972435</v>
      </c>
      <c r="E75" s="63" t="str">
        <f>'II_Inkunabeln+'!E75</f>
        <v>II 2,1m</v>
      </c>
      <c r="F75" s="63" t="str">
        <f>'II_Inkunabeln+'!H75</f>
        <v>bis 42 cm</v>
      </c>
      <c r="G75" s="93" t="str">
        <f>'II_Inkunabeln+'!AG75</f>
        <v>Pa</v>
      </c>
      <c r="H75" s="93">
        <f>'II_Inkunabeln+'!AP75</f>
        <v>0</v>
      </c>
      <c r="I75" s="93" t="str">
        <f>'II_Inkunabeln+'!AQ75</f>
        <v>B/I/R</v>
      </c>
      <c r="J75" s="94"/>
      <c r="K75" s="93">
        <f>'II_Inkunabeln+'!AW75</f>
        <v>0</v>
      </c>
      <c r="L75" s="93">
        <f>'II_Inkunabeln+'!AX75</f>
        <v>0</v>
      </c>
      <c r="AA75" s="93">
        <f>'II_Inkunabeln+'!AY75</f>
        <v>0</v>
      </c>
      <c r="AB75" s="94" t="str">
        <f>'II_Inkunabeln+'!BA75</f>
        <v>n</v>
      </c>
      <c r="AC75" s="108"/>
      <c r="AD75" s="81" t="str">
        <f>'II_Inkunabeln+'!BJ75</f>
        <v>extremer Bauch --&gt; Digi-Grenzfall</v>
      </c>
    </row>
    <row r="76" spans="1:30" x14ac:dyDescent="0.25">
      <c r="A76" s="63">
        <f>'II_Inkunabeln+'!A76</f>
        <v>75</v>
      </c>
      <c r="B76" s="63" t="str">
        <f>'II_Inkunabeln+'!B76</f>
        <v>L-1471-315500115</v>
      </c>
      <c r="C76" s="63">
        <f>'II_Inkunabeln+'!C76</f>
        <v>1066969779</v>
      </c>
      <c r="D76" s="84" t="str">
        <f>'II_Inkunabeln+'!D76</f>
        <v>https://portal.dnb.de/opac.htm?method=simpleSearch&amp;cqlMode=true&amp;query=idn%3D1066969779</v>
      </c>
      <c r="E76" s="63" t="str">
        <f>'II_Inkunabeln+'!E76</f>
        <v>II 2,1n - Pt. 2</v>
      </c>
      <c r="F76" s="63" t="str">
        <f>'II_Inkunabeln+'!H76</f>
        <v>bis 42 cm</v>
      </c>
      <c r="G76" s="93" t="str">
        <f>'II_Inkunabeln+'!AG76</f>
        <v>Pa</v>
      </c>
      <c r="H76" s="93">
        <f>'II_Inkunabeln+'!AP76</f>
        <v>0</v>
      </c>
      <c r="I76" s="93" t="str">
        <f>'II_Inkunabeln+'!AQ76</f>
        <v>I/R</v>
      </c>
      <c r="J76" s="94"/>
      <c r="K76" s="93">
        <f>'II_Inkunabeln+'!AW76</f>
        <v>0</v>
      </c>
      <c r="L76" s="93">
        <f>'II_Inkunabeln+'!AX76</f>
        <v>0</v>
      </c>
      <c r="AA76" s="93">
        <f>'II_Inkunabeln+'!AY76</f>
        <v>0</v>
      </c>
      <c r="AB76" s="94" t="str">
        <f>'II_Inkunabeln+'!BA76</f>
        <v>ja vor</v>
      </c>
      <c r="AC76" s="108"/>
      <c r="AD76" s="81">
        <f>'II_Inkunabeln+'!BJ76</f>
        <v>0</v>
      </c>
    </row>
    <row r="77" spans="1:30" x14ac:dyDescent="0.25">
      <c r="A77" s="63">
        <f>'II_Inkunabeln+'!A77</f>
        <v>76</v>
      </c>
      <c r="B77" s="63" t="str">
        <f>'II_Inkunabeln+'!B77</f>
        <v>L-1470-343703238</v>
      </c>
      <c r="C77" s="63">
        <f>'II_Inkunabeln+'!C77</f>
        <v>1079551808</v>
      </c>
      <c r="D77" s="84" t="str">
        <f>'II_Inkunabeln+'!D77</f>
        <v>https://portal.dnb.de/opac.htm?method=simpleSearch&amp;cqlMode=true&amp;query=idn%3D1079551808</v>
      </c>
      <c r="E77" s="63" t="str">
        <f>'II_Inkunabeln+'!E77</f>
        <v>II 2,1o</v>
      </c>
      <c r="F77" s="63" t="str">
        <f>'II_Inkunabeln+'!H77</f>
        <v>bis 35 cm</v>
      </c>
      <c r="G77" s="93">
        <f>'II_Inkunabeln+'!AG77</f>
        <v>0</v>
      </c>
      <c r="H77" s="93">
        <f>'II_Inkunabeln+'!AP77</f>
        <v>0</v>
      </c>
      <c r="I77" s="93">
        <f>'II_Inkunabeln+'!AQ77</f>
        <v>0</v>
      </c>
      <c r="J77" s="94"/>
      <c r="K77" s="93">
        <f>'II_Inkunabeln+'!AW77</f>
        <v>0</v>
      </c>
      <c r="L77" s="93">
        <f>'II_Inkunabeln+'!AX77</f>
        <v>0</v>
      </c>
      <c r="AA77" s="93">
        <f>'II_Inkunabeln+'!AY77</f>
        <v>0</v>
      </c>
      <c r="AB77" s="94">
        <f>'II_Inkunabeln+'!BA77</f>
        <v>0</v>
      </c>
      <c r="AC77" s="108"/>
      <c r="AD77" s="81">
        <f>'II_Inkunabeln+'!BJ77</f>
        <v>0</v>
      </c>
    </row>
    <row r="78" spans="1:30" x14ac:dyDescent="0.25">
      <c r="A78" s="63">
        <f>'II_Inkunabeln+'!A78</f>
        <v>77</v>
      </c>
      <c r="B78" s="63" t="str">
        <f>'II_Inkunabeln+'!B78</f>
        <v>L-1470-343703262</v>
      </c>
      <c r="C78" s="63">
        <f>'II_Inkunabeln+'!C78</f>
        <v>1079550275</v>
      </c>
      <c r="D78" s="84" t="str">
        <f>'II_Inkunabeln+'!D78</f>
        <v>https://portal.dnb.de/opac.htm?method=simpleSearch&amp;cqlMode=true&amp;query=idn%3D1079550275</v>
      </c>
      <c r="E78" s="63" t="str">
        <f>'II_Inkunabeln+'!E78</f>
        <v>II 2,1p</v>
      </c>
      <c r="F78" s="63" t="str">
        <f>'II_Inkunabeln+'!H78</f>
        <v>bis 35 cm</v>
      </c>
      <c r="G78" s="93">
        <f>'II_Inkunabeln+'!AG78</f>
        <v>0</v>
      </c>
      <c r="H78" s="93">
        <f>'II_Inkunabeln+'!AP78</f>
        <v>0</v>
      </c>
      <c r="I78" s="93">
        <f>'II_Inkunabeln+'!AQ78</f>
        <v>0</v>
      </c>
      <c r="J78" s="94"/>
      <c r="K78" s="93">
        <f>'II_Inkunabeln+'!AW78</f>
        <v>0</v>
      </c>
      <c r="L78" s="93">
        <f>'II_Inkunabeln+'!AX78</f>
        <v>0</v>
      </c>
      <c r="AA78" s="93">
        <f>'II_Inkunabeln+'!AY78</f>
        <v>0</v>
      </c>
      <c r="AB78" s="94">
        <f>'II_Inkunabeln+'!BA78</f>
        <v>0</v>
      </c>
      <c r="AC78" s="108"/>
      <c r="AD78" s="81">
        <f>'II_Inkunabeln+'!BJ78</f>
        <v>0</v>
      </c>
    </row>
    <row r="79" spans="1:30" x14ac:dyDescent="0.25">
      <c r="A79" s="63">
        <f>'II_Inkunabeln+'!A79</f>
        <v>78</v>
      </c>
      <c r="B79" s="63" t="str">
        <f>'II_Inkunabeln+'!B79</f>
        <v>L-1470-34370269X</v>
      </c>
      <c r="C79" s="63">
        <f>'II_Inkunabeln+'!C79</f>
        <v>1079550437</v>
      </c>
      <c r="D79" s="84" t="str">
        <f>'II_Inkunabeln+'!D79</f>
        <v>https://portal.dnb.de/opac.htm?method=simpleSearch&amp;cqlMode=true&amp;query=idn%3D1079550437</v>
      </c>
      <c r="E79" s="63" t="str">
        <f>'II_Inkunabeln+'!E79</f>
        <v>II 2,1q</v>
      </c>
      <c r="F79" s="63" t="str">
        <f>'II_Inkunabeln+'!H79</f>
        <v>bis 35 cm</v>
      </c>
      <c r="G79" s="93">
        <f>'II_Inkunabeln+'!AG79</f>
        <v>0</v>
      </c>
      <c r="H79" s="93">
        <f>'II_Inkunabeln+'!AP79</f>
        <v>0</v>
      </c>
      <c r="I79" s="93">
        <f>'II_Inkunabeln+'!AQ79</f>
        <v>0</v>
      </c>
      <c r="J79" s="94"/>
      <c r="K79" s="93">
        <f>'II_Inkunabeln+'!AW79</f>
        <v>0</v>
      </c>
      <c r="L79" s="93">
        <f>'II_Inkunabeln+'!AX79</f>
        <v>0</v>
      </c>
      <c r="AA79" s="93">
        <f>'II_Inkunabeln+'!AY79</f>
        <v>0</v>
      </c>
      <c r="AB79" s="94">
        <f>'II_Inkunabeln+'!BA79</f>
        <v>0</v>
      </c>
      <c r="AC79" s="108"/>
      <c r="AD79" s="81">
        <f>'II_Inkunabeln+'!BJ79</f>
        <v>0</v>
      </c>
    </row>
    <row r="80" spans="1:30" x14ac:dyDescent="0.25">
      <c r="A80" s="63">
        <f>'II_Inkunabeln+'!A80</f>
        <v>79</v>
      </c>
      <c r="B80" s="63" t="str">
        <f>'II_Inkunabeln+'!B80</f>
        <v>L-1470-315500670</v>
      </c>
      <c r="C80" s="63">
        <f>'II_Inkunabeln+'!C80</f>
        <v>1066970335</v>
      </c>
      <c r="D80" s="84" t="str">
        <f>'II_Inkunabeln+'!D80</f>
        <v>https://portal.dnb.de/opac.htm?method=simpleSearch&amp;cqlMode=true&amp;query=idn%3D1066970335</v>
      </c>
      <c r="E80" s="63" t="str">
        <f>'II_Inkunabeln+'!E80</f>
        <v>II 2,2a</v>
      </c>
      <c r="F80" s="63" t="str">
        <f>'II_Inkunabeln+'!H80</f>
        <v>bis 42 cm</v>
      </c>
      <c r="G80" s="93" t="str">
        <f>'II_Inkunabeln+'!AG80</f>
        <v>Pa</v>
      </c>
      <c r="H80" s="93">
        <f>'II_Inkunabeln+'!AP80</f>
        <v>0</v>
      </c>
      <c r="I80" s="93" t="str">
        <f>'II_Inkunabeln+'!AQ80</f>
        <v>B/I/R</v>
      </c>
      <c r="J80" s="94"/>
      <c r="K80" s="93">
        <f>'II_Inkunabeln+'!AW80</f>
        <v>0</v>
      </c>
      <c r="L80" s="93">
        <f>'II_Inkunabeln+'!AX80</f>
        <v>0</v>
      </c>
      <c r="AA80" s="93">
        <f>'II_Inkunabeln+'!AY80</f>
        <v>0</v>
      </c>
      <c r="AB80" s="94" t="str">
        <f>'II_Inkunabeln+'!BA80</f>
        <v>ja vor</v>
      </c>
      <c r="AC80" s="108"/>
      <c r="AD80" s="81">
        <f>'II_Inkunabeln+'!BJ80</f>
        <v>0</v>
      </c>
    </row>
    <row r="81" spans="1:30" x14ac:dyDescent="0.25">
      <c r="A81" s="63">
        <f>'II_Inkunabeln+'!A81</f>
        <v>80</v>
      </c>
      <c r="B81" s="63" t="str">
        <f>'II_Inkunabeln+'!B81</f>
        <v>L-1471-315495146</v>
      </c>
      <c r="C81" s="63">
        <f>'II_Inkunabeln+'!C81</f>
        <v>1066964998</v>
      </c>
      <c r="D81" s="84" t="str">
        <f>'II_Inkunabeln+'!D81</f>
        <v>https://portal.dnb.de/opac.htm?method=simpleSearch&amp;cqlMode=true&amp;query=idn%3D1066964998</v>
      </c>
      <c r="E81" s="63" t="str">
        <f>'II_Inkunabeln+'!E81</f>
        <v>II 2,2b - Fragm.</v>
      </c>
      <c r="F81" s="63">
        <f>'II_Inkunabeln+'!H81</f>
        <v>0</v>
      </c>
      <c r="G81" s="93">
        <f>'II_Inkunabeln+'!AG81</f>
        <v>0</v>
      </c>
      <c r="H81" s="93">
        <f>'II_Inkunabeln+'!AP81</f>
        <v>0</v>
      </c>
      <c r="I81" s="93">
        <f>'II_Inkunabeln+'!AQ81</f>
        <v>0</v>
      </c>
      <c r="J81" s="94"/>
      <c r="K81" s="93">
        <f>'II_Inkunabeln+'!AW81</f>
        <v>0</v>
      </c>
      <c r="L81" s="93">
        <f>'II_Inkunabeln+'!AX81</f>
        <v>0</v>
      </c>
      <c r="AA81" s="93">
        <f>'II_Inkunabeln+'!AY81</f>
        <v>0</v>
      </c>
      <c r="AB81" s="94">
        <f>'II_Inkunabeln+'!BA81</f>
        <v>0</v>
      </c>
      <c r="AC81" s="108"/>
      <c r="AD81" s="81">
        <f>'II_Inkunabeln+'!BJ81</f>
        <v>0</v>
      </c>
    </row>
    <row r="82" spans="1:30" x14ac:dyDescent="0.25">
      <c r="A82" s="63">
        <f>'II_Inkunabeln+'!A82</f>
        <v>81</v>
      </c>
      <c r="B82" s="63" t="str">
        <f>'II_Inkunabeln+'!B82</f>
        <v>L-1472-31549767X</v>
      </c>
      <c r="C82" s="63">
        <f>'II_Inkunabeln+'!C82</f>
        <v>1066967415</v>
      </c>
      <c r="D82" s="84" t="str">
        <f>'II_Inkunabeln+'!D82</f>
        <v>https://portal.dnb.de/opac.htm?method=simpleSearch&amp;cqlMode=true&amp;query=idn%3D1066967415</v>
      </c>
      <c r="E82" s="63" t="str">
        <f>'II_Inkunabeln+'!E82</f>
        <v>II 2,2c</v>
      </c>
      <c r="F82" s="63" t="str">
        <f>'II_Inkunabeln+'!H82</f>
        <v>bis 35 cm</v>
      </c>
      <c r="G82" s="93">
        <f>'II_Inkunabeln+'!AG82</f>
        <v>0</v>
      </c>
      <c r="H82" s="93">
        <f>'II_Inkunabeln+'!AP82</f>
        <v>0</v>
      </c>
      <c r="I82" s="93">
        <f>'II_Inkunabeln+'!AQ82</f>
        <v>0</v>
      </c>
      <c r="J82" s="94"/>
      <c r="K82" s="93">
        <f>'II_Inkunabeln+'!AW82</f>
        <v>0</v>
      </c>
      <c r="L82" s="93">
        <f>'II_Inkunabeln+'!AX82</f>
        <v>0</v>
      </c>
      <c r="AA82" s="93">
        <f>'II_Inkunabeln+'!AY82</f>
        <v>0</v>
      </c>
      <c r="AB82" s="94">
        <f>'II_Inkunabeln+'!BA82</f>
        <v>0</v>
      </c>
      <c r="AC82" s="108"/>
      <c r="AD82" s="81">
        <f>'II_Inkunabeln+'!BJ82</f>
        <v>0</v>
      </c>
    </row>
    <row r="83" spans="1:30" x14ac:dyDescent="0.25">
      <c r="A83" s="63">
        <f>'II_Inkunabeln+'!A83</f>
        <v>82</v>
      </c>
      <c r="B83" s="63" t="str">
        <f>'II_Inkunabeln+'!B83</f>
        <v>L-1472-315500042</v>
      </c>
      <c r="C83" s="63">
        <f>'II_Inkunabeln+'!C83</f>
        <v>1066969701</v>
      </c>
      <c r="D83" s="84" t="str">
        <f>'II_Inkunabeln+'!D83</f>
        <v>https://portal.dnb.de/opac.htm?method=simpleSearch&amp;cqlMode=true&amp;query=idn%3D1066969701</v>
      </c>
      <c r="E83" s="63" t="str">
        <f>'II_Inkunabeln+'!E83</f>
        <v>II 2,2d</v>
      </c>
      <c r="F83" s="63" t="str">
        <f>'II_Inkunabeln+'!H83</f>
        <v>bis 35 cm</v>
      </c>
      <c r="G83" s="93">
        <f>'II_Inkunabeln+'!AG83</f>
        <v>0</v>
      </c>
      <c r="H83" s="93">
        <f>'II_Inkunabeln+'!AP83</f>
        <v>0</v>
      </c>
      <c r="I83" s="93">
        <f>'II_Inkunabeln+'!AQ83</f>
        <v>0</v>
      </c>
      <c r="J83" s="94"/>
      <c r="K83" s="93">
        <f>'II_Inkunabeln+'!AW83</f>
        <v>0</v>
      </c>
      <c r="L83" s="93">
        <f>'II_Inkunabeln+'!AX83</f>
        <v>0</v>
      </c>
      <c r="AA83" s="93">
        <f>'II_Inkunabeln+'!AY83</f>
        <v>0</v>
      </c>
      <c r="AB83" s="94">
        <f>'II_Inkunabeln+'!BA83</f>
        <v>0</v>
      </c>
      <c r="AC83" s="108"/>
      <c r="AD83" s="81">
        <f>'II_Inkunabeln+'!BJ83</f>
        <v>0</v>
      </c>
    </row>
    <row r="84" spans="1:30" x14ac:dyDescent="0.25">
      <c r="A84" s="63">
        <f>'II_Inkunabeln+'!A84</f>
        <v>83</v>
      </c>
      <c r="B84" s="63" t="str">
        <f>'II_Inkunabeln+'!B84</f>
        <v>L-1474-315500204</v>
      </c>
      <c r="C84" s="63">
        <f>'II_Inkunabeln+'!C84</f>
        <v>1066969876</v>
      </c>
      <c r="D84" s="84" t="str">
        <f>'II_Inkunabeln+'!D84</f>
        <v>https://portal.dnb.de/opac.htm?method=simpleSearch&amp;cqlMode=true&amp;query=idn%3D1066969876</v>
      </c>
      <c r="E84" s="63" t="str">
        <f>'II_Inkunabeln+'!E84</f>
        <v>II 2,3b</v>
      </c>
      <c r="F84" s="63" t="str">
        <f>'II_Inkunabeln+'!H84</f>
        <v>bis 35 cm</v>
      </c>
      <c r="G84" s="93">
        <f>'II_Inkunabeln+'!AG84</f>
        <v>0</v>
      </c>
      <c r="H84" s="93">
        <f>'II_Inkunabeln+'!AP84</f>
        <v>0</v>
      </c>
      <c r="I84" s="93">
        <f>'II_Inkunabeln+'!AQ84</f>
        <v>0</v>
      </c>
      <c r="J84" s="94"/>
      <c r="K84" s="93">
        <f>'II_Inkunabeln+'!AW84</f>
        <v>0</v>
      </c>
      <c r="L84" s="93">
        <f>'II_Inkunabeln+'!AX84</f>
        <v>0</v>
      </c>
      <c r="AA84" s="93">
        <f>'II_Inkunabeln+'!AY84</f>
        <v>0</v>
      </c>
      <c r="AB84" s="94">
        <f>'II_Inkunabeln+'!BA84</f>
        <v>0</v>
      </c>
      <c r="AC84" s="108"/>
      <c r="AD84" s="81">
        <f>'II_Inkunabeln+'!BJ84</f>
        <v>0</v>
      </c>
    </row>
    <row r="85" spans="1:30" x14ac:dyDescent="0.25">
      <c r="A85" s="63">
        <f>'II_Inkunabeln+'!A85</f>
        <v>84</v>
      </c>
      <c r="B85" s="63" t="str">
        <f>'II_Inkunabeln+'!B85</f>
        <v>L-1474-315500956</v>
      </c>
      <c r="C85" s="63">
        <f>'II_Inkunabeln+'!C85</f>
        <v>1066970599</v>
      </c>
      <c r="D85" s="84" t="str">
        <f>'II_Inkunabeln+'!D85</f>
        <v>https://portal.dnb.de/opac.htm?method=simpleSearch&amp;cqlMode=true&amp;query=idn%3D1066970599</v>
      </c>
      <c r="E85" s="63" t="str">
        <f>'II_Inkunabeln+'!E85</f>
        <v>II 2,4a</v>
      </c>
      <c r="F85" s="63" t="str">
        <f>'II_Inkunabeln+'!H85</f>
        <v>bis 35 cm</v>
      </c>
      <c r="G85" s="93">
        <f>'II_Inkunabeln+'!AG85</f>
        <v>0</v>
      </c>
      <c r="H85" s="93">
        <f>'II_Inkunabeln+'!AP85</f>
        <v>0</v>
      </c>
      <c r="I85" s="93">
        <f>'II_Inkunabeln+'!AQ85</f>
        <v>0</v>
      </c>
      <c r="J85" s="94"/>
      <c r="K85" s="93">
        <f>'II_Inkunabeln+'!AW85</f>
        <v>0</v>
      </c>
      <c r="L85" s="93">
        <f>'II_Inkunabeln+'!AX85</f>
        <v>0</v>
      </c>
      <c r="AA85" s="93">
        <f>'II_Inkunabeln+'!AY85</f>
        <v>0</v>
      </c>
      <c r="AB85" s="94">
        <f>'II_Inkunabeln+'!BA85</f>
        <v>0</v>
      </c>
      <c r="AC85" s="108"/>
      <c r="AD85" s="81">
        <f>'II_Inkunabeln+'!BJ85</f>
        <v>0</v>
      </c>
    </row>
    <row r="86" spans="1:30" x14ac:dyDescent="0.25">
      <c r="A86" s="63">
        <f>'II_Inkunabeln+'!A86</f>
        <v>85</v>
      </c>
      <c r="B86" s="63" t="str">
        <f>'II_Inkunabeln+'!B86</f>
        <v>L-1474-315502509</v>
      </c>
      <c r="C86" s="63">
        <f>'II_Inkunabeln+'!C86</f>
        <v>1066972087</v>
      </c>
      <c r="D86" s="84" t="str">
        <f>'II_Inkunabeln+'!D86</f>
        <v>https://portal.dnb.de/opac.htm?method=simpleSearch&amp;cqlMode=true&amp;query=idn%3D1066972087</v>
      </c>
      <c r="E86" s="63" t="str">
        <f>'II_Inkunabeln+'!E86</f>
        <v>II 2,4b</v>
      </c>
      <c r="F86" s="63" t="str">
        <f>'II_Inkunabeln+'!H86</f>
        <v>bis 42 cm</v>
      </c>
      <c r="G86" s="93" t="str">
        <f>'II_Inkunabeln+'!AG86</f>
        <v>Pa</v>
      </c>
      <c r="H86" s="93">
        <f>'II_Inkunabeln+'!AP86</f>
        <v>0</v>
      </c>
      <c r="I86" s="93" t="str">
        <f>'II_Inkunabeln+'!AQ86</f>
        <v>B/I/R</v>
      </c>
      <c r="J86" s="94"/>
      <c r="K86" s="93">
        <f>'II_Inkunabeln+'!AW86</f>
        <v>0</v>
      </c>
      <c r="L86" s="93">
        <f>'II_Inkunabeln+'!AX86</f>
        <v>0</v>
      </c>
      <c r="AA86" s="93">
        <f>'II_Inkunabeln+'!AY86</f>
        <v>0</v>
      </c>
      <c r="AB86" s="94" t="str">
        <f>'II_Inkunabeln+'!BA86</f>
        <v>ja vor</v>
      </c>
      <c r="AC86" s="108"/>
      <c r="AD86" s="81">
        <f>'II_Inkunabeln+'!BJ86</f>
        <v>0</v>
      </c>
    </row>
    <row r="87" spans="1:30" x14ac:dyDescent="0.25">
      <c r="A87" s="63">
        <f>'II_Inkunabeln+'!A87</f>
        <v>86</v>
      </c>
      <c r="B87" s="63" t="str">
        <f>'II_Inkunabeln+'!B87</f>
        <v>L-1475-315496150</v>
      </c>
      <c r="C87" s="63">
        <f>'II_Inkunabeln+'!C87</f>
        <v>1066965870</v>
      </c>
      <c r="D87" s="84" t="str">
        <f>'II_Inkunabeln+'!D87</f>
        <v>https://portal.dnb.de/opac.htm?method=simpleSearch&amp;cqlMode=true&amp;query=idn%3D1066965870</v>
      </c>
      <c r="E87" s="63" t="str">
        <f>'II_Inkunabeln+'!E87</f>
        <v>II 2,5a</v>
      </c>
      <c r="F87" s="63" t="str">
        <f>'II_Inkunabeln+'!H87</f>
        <v>bis 35 cm</v>
      </c>
      <c r="G87" s="93" t="str">
        <f>'II_Inkunabeln+'!AG87</f>
        <v>Pa</v>
      </c>
      <c r="H87" s="93">
        <f>'II_Inkunabeln+'!AP87</f>
        <v>0</v>
      </c>
      <c r="I87" s="93">
        <f>'II_Inkunabeln+'!AQ87</f>
        <v>0</v>
      </c>
      <c r="J87" s="94"/>
      <c r="K87" s="93">
        <f>'II_Inkunabeln+'!AW87</f>
        <v>0</v>
      </c>
      <c r="L87" s="93">
        <f>'II_Inkunabeln+'!AX87</f>
        <v>0</v>
      </c>
      <c r="AA87" s="93">
        <f>'II_Inkunabeln+'!AY87</f>
        <v>0</v>
      </c>
      <c r="AB87" s="94" t="str">
        <f>'II_Inkunabeln+'!BA87</f>
        <v>n</v>
      </c>
      <c r="AC87" s="108"/>
      <c r="AD87" s="81">
        <f>'II_Inkunabeln+'!BJ87</f>
        <v>0</v>
      </c>
    </row>
    <row r="88" spans="1:30" x14ac:dyDescent="0.25">
      <c r="A88" s="63">
        <f>'II_Inkunabeln+'!A88</f>
        <v>87</v>
      </c>
      <c r="B88" s="63" t="str">
        <f>'II_Inkunabeln+'!B88</f>
        <v>L-1476-315497831</v>
      </c>
      <c r="C88" s="63" t="str">
        <f>'II_Inkunabeln+'!C88</f>
        <v>106696758X</v>
      </c>
      <c r="D88" s="84" t="str">
        <f>'II_Inkunabeln+'!D88</f>
        <v>https://portal.dnb.de/opac.htm?method=simpleSearch&amp;cqlMode=true&amp;query=idn%3D106696758X</v>
      </c>
      <c r="E88" s="63" t="str">
        <f>'II_Inkunabeln+'!E88</f>
        <v>II 2,5b</v>
      </c>
      <c r="F88" s="63" t="str">
        <f>'II_Inkunabeln+'!H88</f>
        <v>bis 42 cm</v>
      </c>
      <c r="G88" s="93" t="str">
        <f>'II_Inkunabeln+'!AG88</f>
        <v>Pa</v>
      </c>
      <c r="H88" s="93">
        <f>'II_Inkunabeln+'!AP88</f>
        <v>0</v>
      </c>
      <c r="I88" s="93" t="str">
        <f>'II_Inkunabeln+'!AQ88</f>
        <v>I/R</v>
      </c>
      <c r="J88" s="94" t="s">
        <v>1633</v>
      </c>
      <c r="K88" s="93">
        <f>'II_Inkunabeln+'!AW88</f>
        <v>0</v>
      </c>
      <c r="L88" s="93">
        <f>'II_Inkunabeln+'!AX88</f>
        <v>0</v>
      </c>
      <c r="AA88" s="93">
        <f>'II_Inkunabeln+'!AY88</f>
        <v>0</v>
      </c>
      <c r="AB88" s="94" t="str">
        <f>'II_Inkunabeln+'!BA88</f>
        <v>ja vor</v>
      </c>
      <c r="AC88" s="108">
        <v>40</v>
      </c>
      <c r="AD88" s="81">
        <f>'II_Inkunabeln+'!BJ88</f>
        <v>0</v>
      </c>
    </row>
    <row r="89" spans="1:30" x14ac:dyDescent="0.25">
      <c r="A89" s="63">
        <f>'II_Inkunabeln+'!A89</f>
        <v>88</v>
      </c>
      <c r="B89" s="63" t="str">
        <f>'II_Inkunabeln+'!B89</f>
        <v>L-1476-315495413</v>
      </c>
      <c r="C89" s="63">
        <f>'II_Inkunabeln+'!C89</f>
        <v>1066965250</v>
      </c>
      <c r="D89" s="84" t="str">
        <f>'II_Inkunabeln+'!D89</f>
        <v>https://portal.dnb.de/opac.htm?method=simpleSearch&amp;cqlMode=true&amp;query=idn%3D1066965250</v>
      </c>
      <c r="E89" s="63" t="str">
        <f>'II_Inkunabeln+'!E89</f>
        <v>II 2,5c</v>
      </c>
      <c r="F89" s="63" t="str">
        <f>'II_Inkunabeln+'!H89</f>
        <v>bis 35 cm</v>
      </c>
      <c r="G89" s="93" t="str">
        <f>'II_Inkunabeln+'!AG89</f>
        <v>Pa</v>
      </c>
      <c r="H89" s="93">
        <f>'II_Inkunabeln+'!AP89</f>
        <v>0</v>
      </c>
      <c r="I89" s="93">
        <f>'II_Inkunabeln+'!AQ89</f>
        <v>0</v>
      </c>
      <c r="J89" s="94"/>
      <c r="K89" s="93">
        <f>'II_Inkunabeln+'!AW89</f>
        <v>0</v>
      </c>
      <c r="L89" s="93">
        <f>'II_Inkunabeln+'!AX89</f>
        <v>0</v>
      </c>
      <c r="AA89" s="93">
        <f>'II_Inkunabeln+'!AY89</f>
        <v>0</v>
      </c>
      <c r="AB89" s="94" t="str">
        <f>'II_Inkunabeln+'!BA89</f>
        <v>ja vor</v>
      </c>
      <c r="AC89" s="108"/>
      <c r="AD89" s="81">
        <f>'II_Inkunabeln+'!BJ89</f>
        <v>0</v>
      </c>
    </row>
    <row r="90" spans="1:30" x14ac:dyDescent="0.25">
      <c r="A90" s="63">
        <f>'II_Inkunabeln+'!A90</f>
        <v>89</v>
      </c>
      <c r="B90" s="63" t="str">
        <f>'II_Inkunabeln+'!B90</f>
        <v>L-1486-315502827</v>
      </c>
      <c r="C90" s="63">
        <f>'II_Inkunabeln+'!C90</f>
        <v>1066972400</v>
      </c>
      <c r="D90" s="84" t="str">
        <f>'II_Inkunabeln+'!D90</f>
        <v>https://portal.dnb.de/opac.htm?method=simpleSearch&amp;cqlMode=true&amp;query=idn%3D1066972400</v>
      </c>
      <c r="E90" s="63" t="str">
        <f>'II_Inkunabeln+'!E90</f>
        <v>II 2,5g</v>
      </c>
      <c r="F90" s="63" t="str">
        <f>'II_Inkunabeln+'!H90</f>
        <v>bis 25 cm</v>
      </c>
      <c r="G90" s="93" t="str">
        <f>'II_Inkunabeln+'!AG90</f>
        <v>Pa</v>
      </c>
      <c r="H90" s="93">
        <f>'II_Inkunabeln+'!AP90</f>
        <v>0</v>
      </c>
      <c r="I90" s="93" t="str">
        <f>'II_Inkunabeln+'!AQ90</f>
        <v>I/R</v>
      </c>
      <c r="J90" s="94"/>
      <c r="K90" s="93">
        <f>'II_Inkunabeln+'!AW90</f>
        <v>0</v>
      </c>
      <c r="L90" s="93">
        <f>'II_Inkunabeln+'!AX90</f>
        <v>0</v>
      </c>
      <c r="AA90" s="93">
        <f>'II_Inkunabeln+'!AY90</f>
        <v>0</v>
      </c>
      <c r="AB90" s="94" t="str">
        <f>'II_Inkunabeln+'!BA90</f>
        <v>n</v>
      </c>
      <c r="AC90" s="108"/>
      <c r="AD90" s="81">
        <f>'II_Inkunabeln+'!BJ90</f>
        <v>0</v>
      </c>
    </row>
    <row r="91" spans="1:30" ht="23" x14ac:dyDescent="0.25">
      <c r="A91" s="63">
        <f>'II_Inkunabeln+'!A91</f>
        <v>90</v>
      </c>
      <c r="B91" s="63" t="str">
        <f>'II_Inkunabeln+'!B91</f>
        <v>L-1488-315497483</v>
      </c>
      <c r="C91" s="63">
        <f>'II_Inkunabeln+'!C91</f>
        <v>1066967210</v>
      </c>
      <c r="D91" s="84" t="str">
        <f>'II_Inkunabeln+'!D91</f>
        <v>https://portal.dnb.de/opac.htm?method=simpleSearch&amp;cqlMode=true&amp;query=idn%3D1066967210</v>
      </c>
      <c r="E91" s="63" t="str">
        <f>'II_Inkunabeln+'!E91</f>
        <v>II 2,5h</v>
      </c>
      <c r="F91" s="63" t="str">
        <f>'II_Inkunabeln+'!H91</f>
        <v>bis 35 cm</v>
      </c>
      <c r="G91" s="93" t="str">
        <f>'II_Inkunabeln+'!AG91</f>
        <v>Pa</v>
      </c>
      <c r="H91" s="93">
        <f>'II_Inkunabeln+'!AP91</f>
        <v>0</v>
      </c>
      <c r="I91" s="93">
        <f>'II_Inkunabeln+'!AQ91</f>
        <v>0</v>
      </c>
      <c r="J91" s="94"/>
      <c r="K91" s="93">
        <f>'II_Inkunabeln+'!AW91</f>
        <v>0</v>
      </c>
      <c r="L91" s="93">
        <f>'II_Inkunabeln+'!AX91</f>
        <v>0</v>
      </c>
      <c r="AA91" s="93">
        <f>'II_Inkunabeln+'!AY91</f>
        <v>0</v>
      </c>
      <c r="AB91" s="94" t="str">
        <f>'II_Inkunabeln+'!BA91</f>
        <v>n</v>
      </c>
      <c r="AC91" s="108"/>
      <c r="AD91" s="81" t="str">
        <f>'II_Inkunabeln+'!BJ91</f>
        <v>geringerer Öffnungswinkel mindert "Bauch"</v>
      </c>
    </row>
    <row r="92" spans="1:30" ht="23" x14ac:dyDescent="0.25">
      <c r="A92" s="63">
        <f>'II_Inkunabeln+'!A92</f>
        <v>91</v>
      </c>
      <c r="B92" s="63" t="str">
        <f>'II_Inkunabeln+'!B92</f>
        <v>L-1489-326851933</v>
      </c>
      <c r="C92" s="63">
        <f>'II_Inkunabeln+'!C92</f>
        <v>1072051486</v>
      </c>
      <c r="D92" s="84" t="str">
        <f>'II_Inkunabeln+'!D92</f>
        <v>https://portal.dnb.de/opac.htm?method=simpleSearch&amp;cqlMode=true&amp;query=idn%3D1072051486</v>
      </c>
      <c r="E92" s="63" t="str">
        <f>'II_Inkunabeln+'!E92</f>
        <v>II 2,5k</v>
      </c>
      <c r="F92" s="63" t="str">
        <f>'II_Inkunabeln+'!H92</f>
        <v>bis 25 cm</v>
      </c>
      <c r="G92" s="93" t="str">
        <f>'II_Inkunabeln+'!AG92</f>
        <v>Pa</v>
      </c>
      <c r="H92" s="93">
        <f>'II_Inkunabeln+'!AP92</f>
        <v>0</v>
      </c>
      <c r="I92" s="93" t="str">
        <f>'II_Inkunabeln+'!AQ92</f>
        <v>I/R</v>
      </c>
      <c r="J92" s="94"/>
      <c r="K92" s="93">
        <f>'II_Inkunabeln+'!AW92</f>
        <v>0</v>
      </c>
      <c r="L92" s="93">
        <f>'II_Inkunabeln+'!AX92</f>
        <v>0</v>
      </c>
      <c r="AA92" s="93">
        <f>'II_Inkunabeln+'!AY92</f>
        <v>0</v>
      </c>
      <c r="AB92" s="94" t="str">
        <f>'II_Inkunabeln+'!BA92</f>
        <v>n</v>
      </c>
      <c r="AC92" s="108"/>
      <c r="AD92" s="81" t="str">
        <f>'II_Inkunabeln+'!BJ92</f>
        <v>geringerer Öffnungswinkel mindert "Bauch"</v>
      </c>
    </row>
    <row r="93" spans="1:30" x14ac:dyDescent="0.25">
      <c r="A93" s="63">
        <f>'II_Inkunabeln+'!A93</f>
        <v>92</v>
      </c>
      <c r="B93" s="63" t="str">
        <f>'II_Inkunabeln+'!B93</f>
        <v>L-1490-315497548</v>
      </c>
      <c r="C93" s="63">
        <f>'II_Inkunabeln+'!C93</f>
        <v>1066967288</v>
      </c>
      <c r="D93" s="84" t="str">
        <f>'II_Inkunabeln+'!D93</f>
        <v>https://portal.dnb.de/opac.htm?method=simpleSearch&amp;cqlMode=true&amp;query=idn%3D1066967288</v>
      </c>
      <c r="E93" s="63" t="str">
        <f>'II_Inkunabeln+'!E93</f>
        <v>II 2,5l</v>
      </c>
      <c r="F93" s="63" t="str">
        <f>'II_Inkunabeln+'!H93</f>
        <v>bis 25 cm</v>
      </c>
      <c r="G93" s="93" t="str">
        <f>'II_Inkunabeln+'!AG93</f>
        <v>Pa</v>
      </c>
      <c r="H93" s="93">
        <f>'II_Inkunabeln+'!AP93</f>
        <v>0</v>
      </c>
      <c r="I93" s="93">
        <f>'II_Inkunabeln+'!AQ93</f>
        <v>0</v>
      </c>
      <c r="J93" s="94"/>
      <c r="K93" s="93">
        <f>'II_Inkunabeln+'!AW93</f>
        <v>0</v>
      </c>
      <c r="L93" s="93">
        <f>'II_Inkunabeln+'!AX93</f>
        <v>0</v>
      </c>
      <c r="AA93" s="93">
        <f>'II_Inkunabeln+'!AY93</f>
        <v>0</v>
      </c>
      <c r="AB93" s="94" t="str">
        <f>'II_Inkunabeln+'!BA93</f>
        <v>n</v>
      </c>
      <c r="AC93" s="108"/>
      <c r="AD93" s="81">
        <f>'II_Inkunabeln+'!BJ93</f>
        <v>0</v>
      </c>
    </row>
    <row r="94" spans="1:30" x14ac:dyDescent="0.25">
      <c r="A94" s="63">
        <f>'II_Inkunabeln+'!A94</f>
        <v>93</v>
      </c>
      <c r="B94" s="63" t="str">
        <f>'II_Inkunabeln+'!B94</f>
        <v>L-1476-315501839</v>
      </c>
      <c r="C94" s="63">
        <f>'II_Inkunabeln+'!C94</f>
        <v>1066971455</v>
      </c>
      <c r="D94" s="84" t="str">
        <f>'II_Inkunabeln+'!D94</f>
        <v>https://portal.dnb.de/opac.htm?method=simpleSearch&amp;cqlMode=true&amp;query=idn%3D1066971455</v>
      </c>
      <c r="E94" s="63" t="str">
        <f>'II_Inkunabeln+'!E94</f>
        <v>II 2,5n</v>
      </c>
      <c r="F94" s="63" t="str">
        <f>'II_Inkunabeln+'!H94</f>
        <v>bis 35 cm</v>
      </c>
      <c r="G94" s="93" t="str">
        <f>'II_Inkunabeln+'!AG94</f>
        <v>Pa</v>
      </c>
      <c r="H94" s="93">
        <f>'II_Inkunabeln+'!AP94</f>
        <v>0</v>
      </c>
      <c r="I94" s="93" t="str">
        <f>'II_Inkunabeln+'!AQ94</f>
        <v>I/R</v>
      </c>
      <c r="J94" s="94"/>
      <c r="K94" s="93">
        <f>'II_Inkunabeln+'!AW94</f>
        <v>0</v>
      </c>
      <c r="L94" s="93">
        <f>'II_Inkunabeln+'!AX94</f>
        <v>0</v>
      </c>
      <c r="AA94" s="93">
        <f>'II_Inkunabeln+'!AY94</f>
        <v>0</v>
      </c>
      <c r="AB94" s="94" t="str">
        <f>'II_Inkunabeln+'!BA94</f>
        <v>n</v>
      </c>
      <c r="AC94" s="108"/>
      <c r="AD94" s="81">
        <f>'II_Inkunabeln+'!BJ94</f>
        <v>0</v>
      </c>
    </row>
    <row r="95" spans="1:30" x14ac:dyDescent="0.25">
      <c r="A95" s="63">
        <f>'II_Inkunabeln+'!A95</f>
        <v>94</v>
      </c>
      <c r="B95" s="63" t="str">
        <f>'II_Inkunabeln+'!B95</f>
        <v>L-9999-316397652</v>
      </c>
      <c r="C95" s="63">
        <f>'II_Inkunabeln+'!C95</f>
        <v>1067436936</v>
      </c>
      <c r="D95" s="84" t="str">
        <f>'II_Inkunabeln+'!D95</f>
        <v>https://portal.dnb.de/opac.htm?method=simpleSearch&amp;cqlMode=true&amp;query=idn%3D1067436936</v>
      </c>
      <c r="E95" s="63" t="str">
        <f>'II_Inkunabeln+'!E95</f>
        <v>II 2,5o - Fragm</v>
      </c>
      <c r="F95" s="63">
        <f>'II_Inkunabeln+'!H95</f>
        <v>0</v>
      </c>
      <c r="G95" s="93">
        <f>'II_Inkunabeln+'!AG95</f>
        <v>0</v>
      </c>
      <c r="H95" s="93">
        <f>'II_Inkunabeln+'!AP95</f>
        <v>0</v>
      </c>
      <c r="I95" s="93">
        <f>'II_Inkunabeln+'!AQ95</f>
        <v>0</v>
      </c>
      <c r="J95" s="94"/>
      <c r="K95" s="93">
        <f>'II_Inkunabeln+'!AW95</f>
        <v>0</v>
      </c>
      <c r="L95" s="93">
        <f>'II_Inkunabeln+'!AX95</f>
        <v>0</v>
      </c>
      <c r="AA95" s="93">
        <f>'II_Inkunabeln+'!AY95</f>
        <v>0</v>
      </c>
      <c r="AB95" s="94">
        <f>'II_Inkunabeln+'!BA95</f>
        <v>0</v>
      </c>
      <c r="AC95" s="108"/>
      <c r="AD95" s="81">
        <f>'II_Inkunabeln+'!BJ95</f>
        <v>0</v>
      </c>
    </row>
    <row r="96" spans="1:30" x14ac:dyDescent="0.25">
      <c r="A96" s="63">
        <f>'II_Inkunabeln+'!A96</f>
        <v>95</v>
      </c>
      <c r="B96" s="63" t="str">
        <f>'II_Inkunabeln+'!B96</f>
        <v>L-1477-315497262</v>
      </c>
      <c r="C96" s="63">
        <f>'II_Inkunabeln+'!C96</f>
        <v>1066966966</v>
      </c>
      <c r="D96" s="84" t="str">
        <f>'II_Inkunabeln+'!D96</f>
        <v>https://portal.dnb.de/opac.htm?method=simpleSearch&amp;cqlMode=true&amp;query=idn%3D1066966966</v>
      </c>
      <c r="E96" s="63" t="str">
        <f>'II_Inkunabeln+'!E96</f>
        <v>II 2,5p</v>
      </c>
      <c r="F96" s="63" t="str">
        <f>'II_Inkunabeln+'!H96</f>
        <v>bis 35 cm</v>
      </c>
      <c r="G96" s="93">
        <f>'II_Inkunabeln+'!AG96</f>
        <v>0</v>
      </c>
      <c r="H96" s="93">
        <f>'II_Inkunabeln+'!AP96</f>
        <v>0</v>
      </c>
      <c r="I96" s="93">
        <f>'II_Inkunabeln+'!AQ96</f>
        <v>0</v>
      </c>
      <c r="J96" s="94"/>
      <c r="K96" s="93">
        <f>'II_Inkunabeln+'!AW96</f>
        <v>0</v>
      </c>
      <c r="L96" s="93">
        <f>'II_Inkunabeln+'!AX96</f>
        <v>0</v>
      </c>
      <c r="AA96" s="93">
        <f>'II_Inkunabeln+'!AY96</f>
        <v>0</v>
      </c>
      <c r="AB96" s="94">
        <f>'II_Inkunabeln+'!BA96</f>
        <v>0</v>
      </c>
      <c r="AC96" s="108"/>
      <c r="AD96" s="81">
        <f>'II_Inkunabeln+'!BJ96</f>
        <v>0</v>
      </c>
    </row>
    <row r="97" spans="1:30" x14ac:dyDescent="0.25">
      <c r="A97" s="63">
        <f>'II_Inkunabeln+'!A97</f>
        <v>96</v>
      </c>
      <c r="B97" s="63" t="str">
        <f>'II_Inkunabeln+'!B97</f>
        <v>L-1475-315498676</v>
      </c>
      <c r="C97" s="63" t="str">
        <f>'II_Inkunabeln+'!C97</f>
        <v>106696842X</v>
      </c>
      <c r="D97" s="84" t="str">
        <f>'II_Inkunabeln+'!D97</f>
        <v>https://portal.dnb.de/opac.htm?method=simpleSearch&amp;cqlMode=true&amp;query=idn%3D106696842X</v>
      </c>
      <c r="E97" s="63" t="str">
        <f>'II_Inkunabeln+'!E97</f>
        <v>II 2,6a</v>
      </c>
      <c r="F97" s="63" t="str">
        <f>'II_Inkunabeln+'!H97</f>
        <v>bis 35 cm</v>
      </c>
      <c r="G97" s="93">
        <f>'II_Inkunabeln+'!AG97</f>
        <v>0</v>
      </c>
      <c r="H97" s="93">
        <f>'II_Inkunabeln+'!AP97</f>
        <v>0</v>
      </c>
      <c r="I97" s="93">
        <f>'II_Inkunabeln+'!AQ97</f>
        <v>0</v>
      </c>
      <c r="J97" s="94"/>
      <c r="K97" s="93">
        <f>'II_Inkunabeln+'!AW97</f>
        <v>0</v>
      </c>
      <c r="L97" s="93">
        <f>'II_Inkunabeln+'!AX97</f>
        <v>0</v>
      </c>
      <c r="AA97" s="93">
        <f>'II_Inkunabeln+'!AY97</f>
        <v>0</v>
      </c>
      <c r="AB97" s="94">
        <f>'II_Inkunabeln+'!BA97</f>
        <v>0</v>
      </c>
      <c r="AC97" s="108"/>
      <c r="AD97" s="81">
        <f>'II_Inkunabeln+'!BJ97</f>
        <v>0</v>
      </c>
    </row>
    <row r="98" spans="1:30" x14ac:dyDescent="0.25">
      <c r="A98" s="63">
        <f>'II_Inkunabeln+'!A98</f>
        <v>97</v>
      </c>
      <c r="B98" s="63" t="str">
        <f>'II_Inkunabeln+'!B98</f>
        <v>L-1477-315499346</v>
      </c>
      <c r="C98" s="63">
        <f>'II_Inkunabeln+'!C98</f>
        <v>1066969051</v>
      </c>
      <c r="D98" s="84" t="str">
        <f>'II_Inkunabeln+'!D98</f>
        <v>https://portal.dnb.de/opac.htm?method=simpleSearch&amp;cqlMode=true&amp;query=idn%3D1066969051</v>
      </c>
      <c r="E98" s="63" t="str">
        <f>'II_Inkunabeln+'!E98</f>
        <v>II 2,7a</v>
      </c>
      <c r="F98" s="63" t="str">
        <f>'II_Inkunabeln+'!H98</f>
        <v>bis 35 cm</v>
      </c>
      <c r="G98" s="93">
        <f>'II_Inkunabeln+'!AG98</f>
        <v>0</v>
      </c>
      <c r="H98" s="93">
        <f>'II_Inkunabeln+'!AP98</f>
        <v>0</v>
      </c>
      <c r="I98" s="93">
        <f>'II_Inkunabeln+'!AQ98</f>
        <v>0</v>
      </c>
      <c r="J98" s="94"/>
      <c r="K98" s="93">
        <f>'II_Inkunabeln+'!AW98</f>
        <v>0</v>
      </c>
      <c r="L98" s="93">
        <f>'II_Inkunabeln+'!AX98</f>
        <v>0</v>
      </c>
      <c r="AA98" s="93">
        <f>'II_Inkunabeln+'!AY98</f>
        <v>0</v>
      </c>
      <c r="AB98" s="94">
        <f>'II_Inkunabeln+'!BA98</f>
        <v>0</v>
      </c>
      <c r="AC98" s="108"/>
      <c r="AD98" s="81">
        <f>'II_Inkunabeln+'!BJ98</f>
        <v>0</v>
      </c>
    </row>
    <row r="99" spans="1:30" x14ac:dyDescent="0.25">
      <c r="A99" s="63">
        <f>'II_Inkunabeln+'!A99</f>
        <v>0</v>
      </c>
      <c r="B99" s="63">
        <f>'II_Inkunabeln+'!B99</f>
        <v>0</v>
      </c>
      <c r="C99" s="63">
        <f>'II_Inkunabeln+'!C99</f>
        <v>0</v>
      </c>
      <c r="D99" s="84">
        <f>'II_Inkunabeln+'!D99</f>
        <v>0</v>
      </c>
      <c r="E99" s="63" t="str">
        <f>'II_Inkunabeln+'!E99</f>
        <v>II 2,7a - 1</v>
      </c>
      <c r="F99" s="63" t="str">
        <f>'II_Inkunabeln+'!H99</f>
        <v>bis 35 cm</v>
      </c>
      <c r="G99" s="93">
        <f>'II_Inkunabeln+'!AG99</f>
        <v>0</v>
      </c>
      <c r="H99" s="93">
        <f>'II_Inkunabeln+'!AP99</f>
        <v>0</v>
      </c>
      <c r="I99" s="93">
        <f>'II_Inkunabeln+'!AQ99</f>
        <v>0</v>
      </c>
      <c r="J99" s="94"/>
      <c r="K99" s="93">
        <f>'II_Inkunabeln+'!AW99</f>
        <v>0</v>
      </c>
      <c r="L99" s="93">
        <f>'II_Inkunabeln+'!AX99</f>
        <v>0</v>
      </c>
      <c r="AA99" s="93">
        <f>'II_Inkunabeln+'!AY99</f>
        <v>0</v>
      </c>
      <c r="AB99" s="94">
        <f>'II_Inkunabeln+'!BA99</f>
        <v>0</v>
      </c>
      <c r="AC99" s="108"/>
      <c r="AD99" s="81">
        <f>'II_Inkunabeln+'!BJ99</f>
        <v>0</v>
      </c>
    </row>
    <row r="100" spans="1:30" x14ac:dyDescent="0.25">
      <c r="A100" s="63">
        <f>'II_Inkunabeln+'!A100</f>
        <v>0</v>
      </c>
      <c r="B100" s="63">
        <f>'II_Inkunabeln+'!B100</f>
        <v>0</v>
      </c>
      <c r="C100" s="63">
        <f>'II_Inkunabeln+'!C100</f>
        <v>0</v>
      </c>
      <c r="D100" s="84">
        <f>'II_Inkunabeln+'!D100</f>
        <v>0</v>
      </c>
      <c r="E100" s="63" t="str">
        <f>'II_Inkunabeln+'!E100</f>
        <v>II 2,7a - 2</v>
      </c>
      <c r="F100" s="63" t="str">
        <f>'II_Inkunabeln+'!H100</f>
        <v>bis 35 cm</v>
      </c>
      <c r="G100" s="93" t="str">
        <f>'II_Inkunabeln+'!AG100</f>
        <v>Pa</v>
      </c>
      <c r="H100" s="93">
        <f>'II_Inkunabeln+'!AP100</f>
        <v>0</v>
      </c>
      <c r="I100" s="93" t="str">
        <f>'II_Inkunabeln+'!AQ100</f>
        <v>I/R</v>
      </c>
      <c r="J100" s="94"/>
      <c r="K100" s="93">
        <f>'II_Inkunabeln+'!AW100</f>
        <v>0</v>
      </c>
      <c r="L100" s="93">
        <f>'II_Inkunabeln+'!AX100</f>
        <v>0</v>
      </c>
      <c r="AA100" s="93">
        <f>'II_Inkunabeln+'!AY100</f>
        <v>0</v>
      </c>
      <c r="AB100" s="94" t="str">
        <f>'II_Inkunabeln+'!BA100</f>
        <v>n</v>
      </c>
      <c r="AC100" s="108"/>
      <c r="AD100" s="81" t="str">
        <f>'II_Inkunabeln+'!BJ100</f>
        <v>Originaleinband</v>
      </c>
    </row>
    <row r="101" spans="1:30" ht="23" x14ac:dyDescent="0.25">
      <c r="A101" s="63">
        <f>'II_Inkunabeln+'!A101</f>
        <v>0</v>
      </c>
      <c r="B101" s="63">
        <f>'II_Inkunabeln+'!B101</f>
        <v>0</v>
      </c>
      <c r="C101" s="63">
        <f>'II_Inkunabeln+'!C101</f>
        <v>0</v>
      </c>
      <c r="D101" s="84">
        <f>'II_Inkunabeln+'!D101</f>
        <v>0</v>
      </c>
      <c r="E101" s="63" t="str">
        <f>'II_Inkunabeln+'!E101</f>
        <v>II 2,7a - 5</v>
      </c>
      <c r="F101" s="63" t="str">
        <f>'II_Inkunabeln+'!H101</f>
        <v>bis 35 cm</v>
      </c>
      <c r="G101" s="93" t="str">
        <f>'II_Inkunabeln+'!AG101</f>
        <v>Pa</v>
      </c>
      <c r="H101" s="93">
        <f>'II_Inkunabeln+'!AP101</f>
        <v>0</v>
      </c>
      <c r="I101" s="93" t="str">
        <f>'II_Inkunabeln+'!AQ101</f>
        <v>I/R</v>
      </c>
      <c r="J101" s="94"/>
      <c r="K101" s="93">
        <f>'II_Inkunabeln+'!AW101</f>
        <v>0</v>
      </c>
      <c r="L101" s="93">
        <f>'II_Inkunabeln+'!AX101</f>
        <v>0</v>
      </c>
      <c r="AA101" s="93">
        <f>'II_Inkunabeln+'!AY101</f>
        <v>0</v>
      </c>
      <c r="AB101" s="94" t="str">
        <f>'II_Inkunabeln+'!BA101</f>
        <v>ja vor</v>
      </c>
      <c r="AC101" s="108"/>
      <c r="AD101" s="81" t="str">
        <f>'II_Inkunabeln+'!BJ101</f>
        <v>Originaleinband; es gibt 2 Bücher unter dieser Signatur</v>
      </c>
    </row>
    <row r="102" spans="1:30" ht="23" x14ac:dyDescent="0.25">
      <c r="A102" s="63">
        <f>'II_Inkunabeln+'!A102</f>
        <v>0</v>
      </c>
      <c r="B102" s="63">
        <f>'II_Inkunabeln+'!B102</f>
        <v>0</v>
      </c>
      <c r="C102" s="63">
        <f>'II_Inkunabeln+'!C102</f>
        <v>0</v>
      </c>
      <c r="D102" s="84">
        <f>'II_Inkunabeln+'!D102</f>
        <v>0</v>
      </c>
      <c r="E102" s="63" t="str">
        <f>'II_Inkunabeln+'!E102</f>
        <v>II 2,7a - 5</v>
      </c>
      <c r="F102" s="63" t="str">
        <f>'II_Inkunabeln+'!H102</f>
        <v>bis 35 cm</v>
      </c>
      <c r="G102" s="93" t="str">
        <f>'II_Inkunabeln+'!AG102</f>
        <v>Pa</v>
      </c>
      <c r="H102" s="93">
        <f>'II_Inkunabeln+'!AP102</f>
        <v>0</v>
      </c>
      <c r="I102" s="93" t="str">
        <f>'II_Inkunabeln+'!AQ102</f>
        <v>I/R</v>
      </c>
      <c r="J102" s="94"/>
      <c r="K102" s="93">
        <f>'II_Inkunabeln+'!AW102</f>
        <v>0</v>
      </c>
      <c r="L102" s="93">
        <f>'II_Inkunabeln+'!AX102</f>
        <v>0</v>
      </c>
      <c r="AA102" s="93">
        <f>'II_Inkunabeln+'!AY102</f>
        <v>0</v>
      </c>
      <c r="AB102" s="94" t="str">
        <f>'II_Inkunabeln+'!BA102</f>
        <v>n</v>
      </c>
      <c r="AC102" s="108"/>
      <c r="AD102" s="81" t="str">
        <f>'II_Inkunabeln+'!BJ102</f>
        <v>Originaleinband; es gibt 2 Bücher unter dieser Signatur</v>
      </c>
    </row>
    <row r="103" spans="1:30" x14ac:dyDescent="0.25">
      <c r="A103" s="63">
        <f>'II_Inkunabeln+'!A103</f>
        <v>98</v>
      </c>
      <c r="B103" s="63" t="str">
        <f>'II_Inkunabeln+'!B103</f>
        <v>L-1477-315497076</v>
      </c>
      <c r="C103" s="63">
        <f>'II_Inkunabeln+'!C103</f>
        <v>1066966761</v>
      </c>
      <c r="D103" s="84" t="str">
        <f>'II_Inkunabeln+'!D103</f>
        <v>https://portal.dnb.de/opac.htm?method=simpleSearch&amp;cqlMode=true&amp;query=idn%3D1066966761</v>
      </c>
      <c r="E103" s="63" t="str">
        <f>'II_Inkunabeln+'!E103</f>
        <v>II 2,7b</v>
      </c>
      <c r="F103" s="63" t="str">
        <f>'II_Inkunabeln+'!H103</f>
        <v>bis 35 cm</v>
      </c>
      <c r="G103" s="93" t="str">
        <f>'II_Inkunabeln+'!AG103</f>
        <v>Pa</v>
      </c>
      <c r="H103" s="93">
        <f>'II_Inkunabeln+'!AP103</f>
        <v>0</v>
      </c>
      <c r="I103" s="93" t="str">
        <f>'II_Inkunabeln+'!AQ103</f>
        <v>K/I</v>
      </c>
      <c r="J103" s="94"/>
      <c r="K103" s="93">
        <f>'II_Inkunabeln+'!AW103</f>
        <v>0</v>
      </c>
      <c r="L103" s="93">
        <f>'II_Inkunabeln+'!AX103</f>
        <v>0</v>
      </c>
      <c r="AA103" s="93">
        <f>'II_Inkunabeln+'!AY103</f>
        <v>0</v>
      </c>
      <c r="AB103" s="94" t="str">
        <f>'II_Inkunabeln+'!BA103</f>
        <v>ja vor</v>
      </c>
      <c r="AC103" s="108"/>
      <c r="AD103" s="81">
        <f>'II_Inkunabeln+'!BJ103</f>
        <v>0</v>
      </c>
    </row>
    <row r="104" spans="1:30" x14ac:dyDescent="0.25">
      <c r="A104" s="63">
        <f>'II_Inkunabeln+'!A104</f>
        <v>99</v>
      </c>
      <c r="B104" s="63" t="str">
        <f>'II_Inkunabeln+'!B104</f>
        <v>L-1478-31550353X</v>
      </c>
      <c r="C104" s="63">
        <f>'II_Inkunabeln+'!C104</f>
        <v>1066973148</v>
      </c>
      <c r="D104" s="84" t="str">
        <f>'II_Inkunabeln+'!D104</f>
        <v>https://portal.dnb.de/opac.htm?method=simpleSearch&amp;cqlMode=true&amp;query=idn%3D1066973148</v>
      </c>
      <c r="E104" s="63" t="str">
        <f>'II_Inkunabeln+'!E104</f>
        <v>II 2,9a</v>
      </c>
      <c r="F104" s="63" t="str">
        <f>'II_Inkunabeln+'!H104</f>
        <v>bis 35 cm</v>
      </c>
      <c r="G104" s="93" t="str">
        <f>'II_Inkunabeln+'!AG104</f>
        <v>Pa</v>
      </c>
      <c r="H104" s="93">
        <f>'II_Inkunabeln+'!AP104</f>
        <v>0</v>
      </c>
      <c r="I104" s="93">
        <f>'II_Inkunabeln+'!AQ104</f>
        <v>0</v>
      </c>
      <c r="J104" s="94"/>
      <c r="K104" s="93">
        <f>'II_Inkunabeln+'!AW104</f>
        <v>0</v>
      </c>
      <c r="L104" s="93">
        <f>'II_Inkunabeln+'!AX104</f>
        <v>0</v>
      </c>
      <c r="AA104" s="93">
        <f>'II_Inkunabeln+'!AY104</f>
        <v>0</v>
      </c>
      <c r="AB104" s="94" t="str">
        <f>'II_Inkunabeln+'!BA104</f>
        <v>n</v>
      </c>
      <c r="AC104" s="108"/>
      <c r="AD104" s="81">
        <f>'II_Inkunabeln+'!BJ104</f>
        <v>0</v>
      </c>
    </row>
    <row r="105" spans="1:30" x14ac:dyDescent="0.25">
      <c r="A105" s="63">
        <f>'II_Inkunabeln+'!A105</f>
        <v>100</v>
      </c>
      <c r="B105" s="63" t="str">
        <f>'II_Inkunabeln+'!B105</f>
        <v>L-1484-315500123</v>
      </c>
      <c r="C105" s="63">
        <f>'II_Inkunabeln+'!C105</f>
        <v>1066969787</v>
      </c>
      <c r="D105" s="84" t="str">
        <f>'II_Inkunabeln+'!D105</f>
        <v>https://portal.dnb.de/opac.htm?method=simpleSearch&amp;cqlMode=true&amp;query=idn%3D1066969787</v>
      </c>
      <c r="E105" s="63" t="str">
        <f>'II_Inkunabeln+'!E105</f>
        <v>II 2,10a</v>
      </c>
      <c r="F105" s="63" t="str">
        <f>'II_Inkunabeln+'!H105</f>
        <v>bis 35 cm</v>
      </c>
      <c r="G105" s="93" t="str">
        <f>'II_Inkunabeln+'!AG105</f>
        <v>Pa</v>
      </c>
      <c r="H105" s="93">
        <f>'II_Inkunabeln+'!AP105</f>
        <v>0</v>
      </c>
      <c r="I105" s="93">
        <f>'II_Inkunabeln+'!AQ105</f>
        <v>0</v>
      </c>
      <c r="J105" s="94"/>
      <c r="K105" s="93">
        <f>'II_Inkunabeln+'!AW105</f>
        <v>0</v>
      </c>
      <c r="L105" s="93">
        <f>'II_Inkunabeln+'!AX105</f>
        <v>0</v>
      </c>
      <c r="AA105" s="93">
        <f>'II_Inkunabeln+'!AY105</f>
        <v>0</v>
      </c>
      <c r="AB105" s="94" t="str">
        <f>'II_Inkunabeln+'!BA105</f>
        <v>n</v>
      </c>
      <c r="AC105" s="108"/>
      <c r="AD105" s="81">
        <f>'II_Inkunabeln+'!BJ105</f>
        <v>0</v>
      </c>
    </row>
    <row r="106" spans="1:30" x14ac:dyDescent="0.25">
      <c r="A106" s="63">
        <f>'II_Inkunabeln+'!A106</f>
        <v>101</v>
      </c>
      <c r="B106" s="63" t="str">
        <f>'II_Inkunabeln+'!B106</f>
        <v>L-1495-315497416</v>
      </c>
      <c r="C106" s="63">
        <f>'II_Inkunabeln+'!C106</f>
        <v>1066967156</v>
      </c>
      <c r="D106" s="84" t="str">
        <f>'II_Inkunabeln+'!D106</f>
        <v>https://portal.dnb.de/opac.htm?method=simpleSearch&amp;cqlMode=true&amp;query=idn%3D1066967156</v>
      </c>
      <c r="E106" s="63" t="str">
        <f>'II_Inkunabeln+'!E106</f>
        <v>II 2,11a</v>
      </c>
      <c r="F106" s="63" t="str">
        <f>'II_Inkunabeln+'!H106</f>
        <v>bis 25 cm</v>
      </c>
      <c r="G106" s="93" t="str">
        <f>'II_Inkunabeln+'!AG106</f>
        <v>Pa</v>
      </c>
      <c r="H106" s="93">
        <f>'II_Inkunabeln+'!AP106</f>
        <v>0</v>
      </c>
      <c r="I106" s="93">
        <f>'II_Inkunabeln+'!AQ106</f>
        <v>0</v>
      </c>
      <c r="J106" s="94"/>
      <c r="K106" s="93">
        <f>'II_Inkunabeln+'!AW106</f>
        <v>0</v>
      </c>
      <c r="L106" s="93">
        <f>'II_Inkunabeln+'!AX106</f>
        <v>0</v>
      </c>
      <c r="AA106" s="93">
        <f>'II_Inkunabeln+'!AY106</f>
        <v>0</v>
      </c>
      <c r="AB106" s="94" t="str">
        <f>'II_Inkunabeln+'!BA106</f>
        <v>n</v>
      </c>
      <c r="AC106" s="108"/>
      <c r="AD106" s="81">
        <f>'II_Inkunabeln+'!BJ106</f>
        <v>0</v>
      </c>
    </row>
    <row r="107" spans="1:30" x14ac:dyDescent="0.25">
      <c r="A107" s="63">
        <f>'II_Inkunabeln+'!A107</f>
        <v>102</v>
      </c>
      <c r="B107" s="63" t="str">
        <f>'II_Inkunabeln+'!B107</f>
        <v>L-1497-315502525</v>
      </c>
      <c r="C107" s="63">
        <f>'II_Inkunabeln+'!C107</f>
        <v>1066972109</v>
      </c>
      <c r="D107" s="84" t="str">
        <f>'II_Inkunabeln+'!D107</f>
        <v>https://portal.dnb.de/opac.htm?method=simpleSearch&amp;cqlMode=true&amp;query=idn%3D1066972109</v>
      </c>
      <c r="E107" s="63" t="str">
        <f>'II_Inkunabeln+'!E107</f>
        <v>II 2,11d</v>
      </c>
      <c r="F107" s="63" t="str">
        <f>'II_Inkunabeln+'!H107</f>
        <v>bis 35 cm</v>
      </c>
      <c r="G107" s="93" t="str">
        <f>'II_Inkunabeln+'!AG107</f>
        <v>Pa</v>
      </c>
      <c r="H107" s="93">
        <f>'II_Inkunabeln+'!AP107</f>
        <v>0</v>
      </c>
      <c r="I107" s="93" t="str">
        <f>'II_Inkunabeln+'!AQ107</f>
        <v>K</v>
      </c>
      <c r="J107" s="94"/>
      <c r="K107" s="93">
        <f>'II_Inkunabeln+'!AW107</f>
        <v>0</v>
      </c>
      <c r="L107" s="93">
        <f>'II_Inkunabeln+'!AX107</f>
        <v>0</v>
      </c>
      <c r="AA107" s="93">
        <f>'II_Inkunabeln+'!AY107</f>
        <v>0</v>
      </c>
      <c r="AB107" s="94" t="str">
        <f>'II_Inkunabeln+'!BA107</f>
        <v>n</v>
      </c>
      <c r="AC107" s="108"/>
      <c r="AD107" s="81">
        <f>'II_Inkunabeln+'!BJ107</f>
        <v>0</v>
      </c>
    </row>
    <row r="108" spans="1:30" x14ac:dyDescent="0.25">
      <c r="A108" s="63">
        <f>'II_Inkunabeln+'!A108</f>
        <v>103</v>
      </c>
      <c r="B108" s="63" t="str">
        <f>'II_Inkunabeln+'!B108</f>
        <v>L-1491-326852190</v>
      </c>
      <c r="C108" s="63" t="str">
        <f>'II_Inkunabeln+'!C108</f>
        <v>107205194X</v>
      </c>
      <c r="D108" s="84" t="str">
        <f>'II_Inkunabeln+'!D108</f>
        <v>https://portal.dnb.de/opac.htm?method=simpleSearch&amp;cqlMode=true&amp;query=idn%3D107205194X</v>
      </c>
      <c r="E108" s="63" t="str">
        <f>'II_Inkunabeln+'!E108</f>
        <v>II 2,15c</v>
      </c>
      <c r="F108" s="63">
        <f>'II_Inkunabeln+'!H108</f>
        <v>0</v>
      </c>
      <c r="G108" s="93">
        <f>'II_Inkunabeln+'!AG108</f>
        <v>0</v>
      </c>
      <c r="H108" s="93">
        <f>'II_Inkunabeln+'!AP108</f>
        <v>0</v>
      </c>
      <c r="I108" s="93">
        <f>'II_Inkunabeln+'!AQ108</f>
        <v>0</v>
      </c>
      <c r="J108" s="94"/>
      <c r="K108" s="93">
        <f>'II_Inkunabeln+'!AW108</f>
        <v>0</v>
      </c>
      <c r="L108" s="93">
        <f>'II_Inkunabeln+'!AX108</f>
        <v>0</v>
      </c>
      <c r="AA108" s="93">
        <f>'II_Inkunabeln+'!AY108</f>
        <v>0</v>
      </c>
      <c r="AB108" s="94">
        <f>'II_Inkunabeln+'!BA108</f>
        <v>0</v>
      </c>
      <c r="AC108" s="108"/>
      <c r="AD108" s="81">
        <f>'II_Inkunabeln+'!BJ108</f>
        <v>0</v>
      </c>
    </row>
    <row r="109" spans="1:30" x14ac:dyDescent="0.25">
      <c r="A109" s="63">
        <f>'II_Inkunabeln+'!A109</f>
        <v>104</v>
      </c>
      <c r="B109" s="63" t="str">
        <f>'II_Inkunabeln+'!B109</f>
        <v>L-1499-315502207</v>
      </c>
      <c r="C109" s="63">
        <f>'II_Inkunabeln+'!C109</f>
        <v>1066971803</v>
      </c>
      <c r="D109" s="84" t="str">
        <f>'II_Inkunabeln+'!D109</f>
        <v>https://portal.dnb.de/opac.htm?method=simpleSearch&amp;cqlMode=true&amp;query=idn%3D1066971803</v>
      </c>
      <c r="E109" s="63" t="str">
        <f>'II_Inkunabeln+'!E109</f>
        <v>II 2,15d</v>
      </c>
      <c r="F109" s="63" t="str">
        <f>'II_Inkunabeln+'!H109</f>
        <v>bis 25 cm</v>
      </c>
      <c r="G109" s="93" t="str">
        <f>'II_Inkunabeln+'!AG109</f>
        <v>Pa</v>
      </c>
      <c r="H109" s="93">
        <f>'II_Inkunabeln+'!AP109</f>
        <v>0</v>
      </c>
      <c r="I109" s="93" t="str">
        <f>'II_Inkunabeln+'!AQ109</f>
        <v>I/R</v>
      </c>
      <c r="J109" s="94"/>
      <c r="K109" s="93">
        <f>'II_Inkunabeln+'!AW109</f>
        <v>0</v>
      </c>
      <c r="L109" s="93">
        <f>'II_Inkunabeln+'!AX109</f>
        <v>0</v>
      </c>
      <c r="AA109" s="93">
        <f>'II_Inkunabeln+'!AY109</f>
        <v>0</v>
      </c>
      <c r="AB109" s="94" t="str">
        <f>'II_Inkunabeln+'!BA109</f>
        <v>n</v>
      </c>
      <c r="AC109" s="108"/>
      <c r="AD109" s="81">
        <f>'II_Inkunabeln+'!BJ109</f>
        <v>0</v>
      </c>
    </row>
    <row r="110" spans="1:30" x14ac:dyDescent="0.25">
      <c r="A110" s="63">
        <f>'II_Inkunabeln+'!A110</f>
        <v>105</v>
      </c>
      <c r="B110" s="63" t="str">
        <f>'II_Inkunabeln+'!B110</f>
        <v>L-1488-315500735</v>
      </c>
      <c r="C110" s="63">
        <f>'II_Inkunabeln+'!C110</f>
        <v>1066970394</v>
      </c>
      <c r="D110" s="84" t="str">
        <f>'II_Inkunabeln+'!D110</f>
        <v>https://portal.dnb.de/opac.htm?method=simpleSearch&amp;cqlMode=true&amp;query=idn%3D1066970394</v>
      </c>
      <c r="E110" s="63" t="str">
        <f>'II_Inkunabeln+'!E110</f>
        <v>II 2,16b</v>
      </c>
      <c r="F110" s="63" t="str">
        <f>'II_Inkunabeln+'!H110</f>
        <v>bis 25 cm</v>
      </c>
      <c r="G110" s="93" t="str">
        <f>'II_Inkunabeln+'!AG110</f>
        <v>Pa</v>
      </c>
      <c r="H110" s="93">
        <f>'II_Inkunabeln+'!AP110</f>
        <v>0</v>
      </c>
      <c r="I110" s="93" t="str">
        <f>'II_Inkunabeln+'!AQ110</f>
        <v>I/R</v>
      </c>
      <c r="J110" s="94"/>
      <c r="K110" s="93">
        <f>'II_Inkunabeln+'!AW110</f>
        <v>0</v>
      </c>
      <c r="L110" s="93">
        <f>'II_Inkunabeln+'!AX110</f>
        <v>0</v>
      </c>
      <c r="AA110" s="93">
        <f>'II_Inkunabeln+'!AY110</f>
        <v>0</v>
      </c>
      <c r="AB110" s="94" t="str">
        <f>'II_Inkunabeln+'!BA110</f>
        <v>n</v>
      </c>
      <c r="AC110" s="108"/>
      <c r="AD110" s="81">
        <f>'II_Inkunabeln+'!BJ110</f>
        <v>0</v>
      </c>
    </row>
    <row r="111" spans="1:30" x14ac:dyDescent="0.25">
      <c r="A111" s="63">
        <f>'II_Inkunabeln+'!A111</f>
        <v>106</v>
      </c>
      <c r="B111" s="63" t="str">
        <f>'II_Inkunabeln+'!B111</f>
        <v>L-1488-315500743</v>
      </c>
      <c r="C111" s="63">
        <f>'II_Inkunabeln+'!C111</f>
        <v>1066970394</v>
      </c>
      <c r="D111" s="84" t="str">
        <f>'II_Inkunabeln+'!D111</f>
        <v>https://portal.dnb.de/opac.htm?method=simpleSearch&amp;cqlMode=true&amp;query=idn%3D1066970394</v>
      </c>
      <c r="E111" s="63" t="str">
        <f>'II_Inkunabeln+'!E111</f>
        <v>II 2,16ba</v>
      </c>
      <c r="F111" s="63" t="str">
        <f>'II_Inkunabeln+'!H111</f>
        <v>bis 35 cm</v>
      </c>
      <c r="G111" s="93" t="str">
        <f>'II_Inkunabeln+'!AG111</f>
        <v>Pa</v>
      </c>
      <c r="H111" s="93">
        <f>'II_Inkunabeln+'!AP111</f>
        <v>0</v>
      </c>
      <c r="I111" s="93">
        <f>'II_Inkunabeln+'!AQ111</f>
        <v>0</v>
      </c>
      <c r="J111" s="94"/>
      <c r="K111" s="93">
        <f>'II_Inkunabeln+'!AW111</f>
        <v>0</v>
      </c>
      <c r="L111" s="93">
        <f>'II_Inkunabeln+'!AX111</f>
        <v>0</v>
      </c>
      <c r="AA111" s="93">
        <f>'II_Inkunabeln+'!AY111</f>
        <v>0</v>
      </c>
      <c r="AB111" s="94" t="str">
        <f>'II_Inkunabeln+'!BA111</f>
        <v>n</v>
      </c>
      <c r="AC111" s="108"/>
      <c r="AD111" s="81" t="str">
        <f>'II_Inkunabeln+'!BJ111</f>
        <v>Buch riecht extrem nach Chemie</v>
      </c>
    </row>
    <row r="112" spans="1:30" x14ac:dyDescent="0.25">
      <c r="A112" s="63">
        <f>'II_Inkunabeln+'!A112</f>
        <v>107</v>
      </c>
      <c r="B112" s="63" t="str">
        <f>'II_Inkunabeln+'!B112</f>
        <v>L-1495-326852484</v>
      </c>
      <c r="C112" s="63">
        <f>'II_Inkunabeln+'!C112</f>
        <v>1072052393</v>
      </c>
      <c r="D112" s="84" t="str">
        <f>'II_Inkunabeln+'!D112</f>
        <v>https://portal.dnb.de/opac.htm?method=simpleSearch&amp;cqlMode=true&amp;query=idn%3D1072052393</v>
      </c>
      <c r="E112" s="63" t="str">
        <f>'II_Inkunabeln+'!E112</f>
        <v>II 2,17a</v>
      </c>
      <c r="F112" s="63" t="str">
        <f>'II_Inkunabeln+'!H112</f>
        <v>bis 25 cm</v>
      </c>
      <c r="G112" s="93" t="str">
        <f>'II_Inkunabeln+'!AG112</f>
        <v>Pa</v>
      </c>
      <c r="H112" s="93">
        <f>'II_Inkunabeln+'!AP112</f>
        <v>0</v>
      </c>
      <c r="I112" s="93">
        <f>'II_Inkunabeln+'!AQ112</f>
        <v>0</v>
      </c>
      <c r="J112" s="94"/>
      <c r="K112" s="93">
        <f>'II_Inkunabeln+'!AW112</f>
        <v>0</v>
      </c>
      <c r="L112" s="93">
        <f>'II_Inkunabeln+'!AX112</f>
        <v>0</v>
      </c>
      <c r="AA112" s="93">
        <f>'II_Inkunabeln+'!AY112</f>
        <v>0</v>
      </c>
      <c r="AB112" s="94" t="str">
        <f>'II_Inkunabeln+'!BA112</f>
        <v>n</v>
      </c>
      <c r="AC112" s="108"/>
      <c r="AD112" s="81">
        <f>'II_Inkunabeln+'!BJ112</f>
        <v>0</v>
      </c>
    </row>
    <row r="113" spans="1:31" x14ac:dyDescent="0.25">
      <c r="A113" s="63">
        <f>'II_Inkunabeln+'!A113</f>
        <v>108</v>
      </c>
      <c r="B113" s="63" t="str">
        <f>'II_Inkunabeln+'!B113</f>
        <v>L-1496-315501251</v>
      </c>
      <c r="C113" s="63">
        <f>'II_Inkunabeln+'!C113</f>
        <v>1066970890</v>
      </c>
      <c r="D113" s="84" t="str">
        <f>'II_Inkunabeln+'!D113</f>
        <v>https://portal.dnb.de/opac.htm?method=simpleSearch&amp;cqlMode=true&amp;query=idn%3D1066970890</v>
      </c>
      <c r="E113" s="63" t="str">
        <f>'II_Inkunabeln+'!E113</f>
        <v>II 2,18a</v>
      </c>
      <c r="F113" s="63" t="str">
        <f>'II_Inkunabeln+'!H113</f>
        <v>bis 25 cm</v>
      </c>
      <c r="G113" s="93" t="str">
        <f>'II_Inkunabeln+'!AG113</f>
        <v>Pa</v>
      </c>
      <c r="H113" s="93">
        <f>'II_Inkunabeln+'!AP113</f>
        <v>0</v>
      </c>
      <c r="I113" s="93" t="str">
        <f>'II_Inkunabeln+'!AQ113</f>
        <v>R</v>
      </c>
      <c r="J113" s="94"/>
      <c r="K113" s="93">
        <f>'II_Inkunabeln+'!AW113</f>
        <v>0</v>
      </c>
      <c r="L113" s="93">
        <f>'II_Inkunabeln+'!AX113</f>
        <v>0</v>
      </c>
      <c r="AA113" s="93">
        <f>'II_Inkunabeln+'!AY113</f>
        <v>0</v>
      </c>
      <c r="AB113" s="94" t="str">
        <f>'II_Inkunabeln+'!BA113</f>
        <v>n</v>
      </c>
      <c r="AC113" s="108"/>
      <c r="AD113" s="81">
        <f>'II_Inkunabeln+'!BJ113</f>
        <v>0</v>
      </c>
    </row>
    <row r="114" spans="1:31" x14ac:dyDescent="0.25">
      <c r="A114" s="63">
        <f>'II_Inkunabeln+'!A114</f>
        <v>109</v>
      </c>
      <c r="B114" s="63" t="str">
        <f>'II_Inkunabeln+'!B114</f>
        <v>L-1461-315496819</v>
      </c>
      <c r="C114" s="63">
        <f>'II_Inkunabeln+'!C114</f>
        <v>1066966524</v>
      </c>
      <c r="D114" s="84" t="str">
        <f>'II_Inkunabeln+'!D114</f>
        <v>https://portal.dnb.de/opac.htm?method=simpleSearch&amp;cqlMode=true&amp;query=idn%3D1066966524</v>
      </c>
      <c r="E114" s="63" t="str">
        <f>'II_Inkunabeln+'!E114</f>
        <v>II 3,1a - Fragm.</v>
      </c>
      <c r="F114" s="63">
        <f>'II_Inkunabeln+'!H114</f>
        <v>0</v>
      </c>
      <c r="G114" s="93">
        <f>'II_Inkunabeln+'!AG114</f>
        <v>0</v>
      </c>
      <c r="H114" s="93">
        <f>'II_Inkunabeln+'!AP114</f>
        <v>0</v>
      </c>
      <c r="I114" s="93">
        <f>'II_Inkunabeln+'!AQ114</f>
        <v>0</v>
      </c>
      <c r="J114" s="94"/>
      <c r="K114" s="93">
        <f>'II_Inkunabeln+'!AW114</f>
        <v>0</v>
      </c>
      <c r="L114" s="93">
        <f>'II_Inkunabeln+'!AX114</f>
        <v>0</v>
      </c>
      <c r="AA114" s="93">
        <f>'II_Inkunabeln+'!AY114</f>
        <v>0</v>
      </c>
      <c r="AB114" s="94">
        <f>'II_Inkunabeln+'!BA114</f>
        <v>0</v>
      </c>
      <c r="AC114" s="108"/>
      <c r="AD114" s="81">
        <f>'II_Inkunabeln+'!BJ114</f>
        <v>0</v>
      </c>
    </row>
    <row r="115" spans="1:31" x14ac:dyDescent="0.25">
      <c r="A115" s="63">
        <f>'II_Inkunabeln+'!A115</f>
        <v>110</v>
      </c>
      <c r="B115" s="63" t="str">
        <f>'II_Inkunabeln+'!B115</f>
        <v>L-1488-315501332</v>
      </c>
      <c r="C115" s="63">
        <f>'II_Inkunabeln+'!C115</f>
        <v>1066970971</v>
      </c>
      <c r="D115" s="84" t="str">
        <f>'II_Inkunabeln+'!D115</f>
        <v>https://portal.dnb.de/opac.htm?method=simpleSearch&amp;cqlMode=true&amp;query=idn%3D1066970971</v>
      </c>
      <c r="E115" s="63" t="str">
        <f>'II_Inkunabeln+'!E115</f>
        <v>II 3,2b</v>
      </c>
      <c r="F115" s="63" t="str">
        <f>'II_Inkunabeln+'!H115</f>
        <v>bis 42 cm</v>
      </c>
      <c r="G115" s="93" t="str">
        <f>'II_Inkunabeln+'!AG115</f>
        <v>Pa</v>
      </c>
      <c r="H115" s="93">
        <f>'II_Inkunabeln+'!AP115</f>
        <v>0</v>
      </c>
      <c r="I115" s="93" t="str">
        <f>'II_Inkunabeln+'!AQ115</f>
        <v>I/R</v>
      </c>
      <c r="J115" s="94"/>
      <c r="K115" s="93">
        <f>'II_Inkunabeln+'!AW115</f>
        <v>0</v>
      </c>
      <c r="L115" s="93">
        <f>'II_Inkunabeln+'!AX115</f>
        <v>0</v>
      </c>
      <c r="S115" s="93" t="s">
        <v>1775</v>
      </c>
      <c r="U115" s="93" t="s">
        <v>1776</v>
      </c>
      <c r="AA115" s="93">
        <f>'II_Inkunabeln+'!AY115</f>
        <v>0</v>
      </c>
      <c r="AB115" s="94" t="str">
        <f>'II_Inkunabeln+'!BA115</f>
        <v>ja vor</v>
      </c>
      <c r="AC115" s="108">
        <v>3</v>
      </c>
      <c r="AD115" s="81">
        <f>'II_Inkunabeln+'!BJ115</f>
        <v>0</v>
      </c>
    </row>
    <row r="116" spans="1:31" x14ac:dyDescent="0.25">
      <c r="A116" s="63">
        <f>'II_Inkunabeln+'!A116</f>
        <v>111</v>
      </c>
      <c r="B116" s="63" t="str">
        <f>'II_Inkunabeln+'!B116</f>
        <v>L-1483-343703483</v>
      </c>
      <c r="C116" s="63">
        <f>'II_Inkunabeln+'!C116</f>
        <v>1079552596</v>
      </c>
      <c r="D116" s="84" t="str">
        <f>'II_Inkunabeln+'!D116</f>
        <v>https://portal.dnb.de/opac.htm?method=simpleSearch&amp;cqlMode=true&amp;query=idn%3D1079552596</v>
      </c>
      <c r="E116" s="63" t="str">
        <f>'II_Inkunabeln+'!E116</f>
        <v>II 3,2d</v>
      </c>
      <c r="F116" s="63" t="str">
        <f>'II_Inkunabeln+'!H116</f>
        <v>bis 35 cm</v>
      </c>
      <c r="G116" s="93" t="str">
        <f>'II_Inkunabeln+'!AG116</f>
        <v>Pa</v>
      </c>
      <c r="H116" s="93">
        <f>'II_Inkunabeln+'!AP116</f>
        <v>0</v>
      </c>
      <c r="I116" s="93" t="str">
        <f>'II_Inkunabeln+'!AQ116</f>
        <v>B/I/R</v>
      </c>
      <c r="J116" s="94"/>
      <c r="K116" s="93">
        <f>'II_Inkunabeln+'!AW116</f>
        <v>0</v>
      </c>
      <c r="L116" s="93">
        <f>'II_Inkunabeln+'!AX116</f>
        <v>0</v>
      </c>
      <c r="Y116" s="93" t="s">
        <v>1633</v>
      </c>
      <c r="AA116" s="93">
        <f>'II_Inkunabeln+'!AY116</f>
        <v>0</v>
      </c>
      <c r="AB116" s="94" t="str">
        <f>'II_Inkunabeln+'!BA116</f>
        <v>ja vor</v>
      </c>
      <c r="AC116" s="108">
        <v>0.5</v>
      </c>
      <c r="AD116" s="81">
        <f>'II_Inkunabeln+'!BJ116</f>
        <v>0</v>
      </c>
    </row>
    <row r="117" spans="1:31" x14ac:dyDescent="0.25">
      <c r="A117" s="63">
        <f>'II_Inkunabeln+'!A117</f>
        <v>112</v>
      </c>
      <c r="B117" s="63" t="str">
        <f>'II_Inkunabeln+'!B117</f>
        <v>L-1474-31549672X</v>
      </c>
      <c r="C117" s="63">
        <f>'II_Inkunabeln+'!C117</f>
        <v>1077047398</v>
      </c>
      <c r="D117" s="84" t="str">
        <f>'II_Inkunabeln+'!D117</f>
        <v>https://portal.dnb.de/opac.htm?method=simpleSearch&amp;cqlMode=true&amp;query=idn%3D1077047398</v>
      </c>
      <c r="E117" s="63" t="str">
        <f>'II_Inkunabeln+'!E117</f>
        <v>II 4,1a</v>
      </c>
      <c r="F117" s="63" t="str">
        <f>'II_Inkunabeln+'!H117</f>
        <v>bis 42 cm</v>
      </c>
      <c r="G117" s="93" t="str">
        <f>'II_Inkunabeln+'!AG117</f>
        <v>Pa</v>
      </c>
      <c r="H117" s="93">
        <f>'II_Inkunabeln+'!AP117</f>
        <v>0</v>
      </c>
      <c r="I117" s="93" t="str">
        <f>'II_Inkunabeln+'!AQ117</f>
        <v>I/R</v>
      </c>
      <c r="J117" s="94"/>
      <c r="K117" s="93">
        <f>'II_Inkunabeln+'!AW117</f>
        <v>0</v>
      </c>
      <c r="L117" s="93">
        <f>'II_Inkunabeln+'!AX117</f>
        <v>0</v>
      </c>
      <c r="AA117" s="93">
        <f>'II_Inkunabeln+'!AY117</f>
        <v>0</v>
      </c>
      <c r="AB117" s="94" t="str">
        <f>'II_Inkunabeln+'!BA117</f>
        <v>n</v>
      </c>
      <c r="AC117" s="108"/>
      <c r="AD117" s="81">
        <f>'II_Inkunabeln+'!BJ117</f>
        <v>0</v>
      </c>
    </row>
    <row r="118" spans="1:31" x14ac:dyDescent="0.25">
      <c r="A118" s="63">
        <f>'II_Inkunabeln+'!A118</f>
        <v>113</v>
      </c>
      <c r="B118" s="63" t="str">
        <f>'II_Inkunabeln+'!B118</f>
        <v>L-1472-315498900</v>
      </c>
      <c r="C118" s="63">
        <f>'II_Inkunabeln+'!C118</f>
        <v>1066968667</v>
      </c>
      <c r="D118" s="84" t="str">
        <f>'II_Inkunabeln+'!D118</f>
        <v>https://portal.dnb.de/opac.htm?method=simpleSearch&amp;cqlMode=true&amp;query=idn%3D1066968667</v>
      </c>
      <c r="E118" s="63" t="str">
        <f>'II_Inkunabeln+'!E118</f>
        <v>II 4,1b</v>
      </c>
      <c r="F118" s="63" t="str">
        <f>'II_Inkunabeln+'!H118</f>
        <v>bis 42 cm</v>
      </c>
      <c r="G118" s="93" t="str">
        <f>'II_Inkunabeln+'!AG118</f>
        <v>Pa</v>
      </c>
      <c r="H118" s="93">
        <f>'II_Inkunabeln+'!AP118</f>
        <v>0</v>
      </c>
      <c r="I118" s="93" t="str">
        <f>'II_Inkunabeln+'!AQ118</f>
        <v>I/R</v>
      </c>
      <c r="J118" s="94"/>
      <c r="K118" s="93">
        <f>'II_Inkunabeln+'!AW118</f>
        <v>0</v>
      </c>
      <c r="L118" s="93">
        <f>'II_Inkunabeln+'!AX118</f>
        <v>0</v>
      </c>
      <c r="AA118" s="93">
        <f>'II_Inkunabeln+'!AY118</f>
        <v>0</v>
      </c>
      <c r="AB118" s="94" t="str">
        <f>'II_Inkunabeln+'!BA118</f>
        <v>n</v>
      </c>
      <c r="AC118" s="108"/>
      <c r="AD118" s="81">
        <f>'II_Inkunabeln+'!BJ118</f>
        <v>0</v>
      </c>
    </row>
    <row r="119" spans="1:31" x14ac:dyDescent="0.25">
      <c r="A119" s="63">
        <f>'II_Inkunabeln+'!A119</f>
        <v>114</v>
      </c>
      <c r="B119" s="63" t="str">
        <f>'II_Inkunabeln+'!B119</f>
        <v>L-1475-31549784X</v>
      </c>
      <c r="C119" s="63">
        <f>'II_Inkunabeln+'!C119</f>
        <v>1066967598</v>
      </c>
      <c r="D119" s="84" t="str">
        <f>'II_Inkunabeln+'!D119</f>
        <v>https://portal.dnb.de/opac.htm?method=simpleSearch&amp;cqlMode=true&amp;query=idn%3D1066967598</v>
      </c>
      <c r="E119" s="63" t="str">
        <f>'II_Inkunabeln+'!E119</f>
        <v>II 4,1c</v>
      </c>
      <c r="F119" s="63" t="str">
        <f>'II_Inkunabeln+'!H119</f>
        <v>bis 35 cm</v>
      </c>
      <c r="G119" s="93" t="str">
        <f>'II_Inkunabeln+'!AG119</f>
        <v>Pa</v>
      </c>
      <c r="H119" s="93">
        <f>'II_Inkunabeln+'!AP119</f>
        <v>0</v>
      </c>
      <c r="I119" s="93" t="str">
        <f>'II_Inkunabeln+'!AQ119</f>
        <v>B/I/R</v>
      </c>
      <c r="J119" s="94"/>
      <c r="K119" s="93">
        <f>'II_Inkunabeln+'!AW119</f>
        <v>0</v>
      </c>
      <c r="L119" s="93">
        <f>'II_Inkunabeln+'!AX119</f>
        <v>0</v>
      </c>
      <c r="AA119" s="93">
        <f>'II_Inkunabeln+'!AY119</f>
        <v>0</v>
      </c>
      <c r="AB119" s="94" t="str">
        <f>'II_Inkunabeln+'!BA119</f>
        <v>n</v>
      </c>
      <c r="AC119" s="108"/>
      <c r="AD119" s="81">
        <f>'II_Inkunabeln+'!BJ119</f>
        <v>0</v>
      </c>
    </row>
    <row r="120" spans="1:31" x14ac:dyDescent="0.25">
      <c r="A120" s="63">
        <f>'II_Inkunabeln+'!A120</f>
        <v>115</v>
      </c>
      <c r="B120" s="63" t="str">
        <f>'II_Inkunabeln+'!B120</f>
        <v>L-1489-315500468</v>
      </c>
      <c r="C120" s="63">
        <f>'II_Inkunabeln+'!C120</f>
        <v>1066970114</v>
      </c>
      <c r="D120" s="84" t="str">
        <f>'II_Inkunabeln+'!D120</f>
        <v>https://portal.dnb.de/opac.htm?method=simpleSearch&amp;cqlMode=true&amp;query=idn%3D1066970114</v>
      </c>
      <c r="E120" s="63" t="str">
        <f>'II_Inkunabeln+'!E120</f>
        <v>II 4,1d - 2</v>
      </c>
      <c r="F120" s="63" t="str">
        <f>'II_Inkunabeln+'!H120</f>
        <v>bis 25 cm</v>
      </c>
      <c r="G120" s="93" t="str">
        <f>'II_Inkunabeln+'!AG120</f>
        <v>Pa</v>
      </c>
      <c r="H120" s="93">
        <f>'II_Inkunabeln+'!AP120</f>
        <v>0</v>
      </c>
      <c r="I120" s="93" t="str">
        <f>'II_Inkunabeln+'!AQ120</f>
        <v>R</v>
      </c>
      <c r="J120" s="94"/>
      <c r="K120" s="93">
        <f>'II_Inkunabeln+'!AW120</f>
        <v>0</v>
      </c>
      <c r="L120" s="93">
        <f>'II_Inkunabeln+'!AX120</f>
        <v>0</v>
      </c>
      <c r="AA120" s="93">
        <f>'II_Inkunabeln+'!AY120</f>
        <v>0</v>
      </c>
      <c r="AB120" s="94" t="str">
        <f>'II_Inkunabeln+'!BA120</f>
        <v>ja vor</v>
      </c>
      <c r="AC120" s="108"/>
      <c r="AD120" s="81">
        <f>'II_Inkunabeln+'!BJ120</f>
        <v>0</v>
      </c>
    </row>
    <row r="121" spans="1:31" x14ac:dyDescent="0.25">
      <c r="A121" s="63">
        <f>'II_Inkunabeln+'!A121</f>
        <v>116</v>
      </c>
      <c r="B121" s="63" t="str">
        <f>'II_Inkunabeln+'!B121</f>
        <v>L-1479-315495901</v>
      </c>
      <c r="C121" s="63">
        <f>'II_Inkunabeln+'!C121</f>
        <v>1066965684</v>
      </c>
      <c r="D121" s="84" t="str">
        <f>'II_Inkunabeln+'!D121</f>
        <v>https://portal.dnb.de/opac.htm?method=simpleSearch&amp;cqlMode=true&amp;query=idn%3D1066965684</v>
      </c>
      <c r="E121" s="63" t="str">
        <f>'II_Inkunabeln+'!E121</f>
        <v>II 4,2b</v>
      </c>
      <c r="F121" s="63" t="str">
        <f>'II_Inkunabeln+'!H121</f>
        <v>&gt; 42 cm</v>
      </c>
      <c r="G121" s="93" t="str">
        <f>'II_Inkunabeln+'!AG121</f>
        <v>Pa</v>
      </c>
      <c r="H121" s="93">
        <f>'II_Inkunabeln+'!AP121</f>
        <v>0</v>
      </c>
      <c r="I121" s="93" t="str">
        <f>'II_Inkunabeln+'!AQ121</f>
        <v>I/R</v>
      </c>
      <c r="J121" s="94"/>
      <c r="K121" s="93">
        <f>'II_Inkunabeln+'!AW121</f>
        <v>0</v>
      </c>
      <c r="L121" s="93">
        <f>'II_Inkunabeln+'!AX121</f>
        <v>0</v>
      </c>
      <c r="AA121" s="93">
        <f>'II_Inkunabeln+'!AY121</f>
        <v>0</v>
      </c>
      <c r="AB121" s="94" t="str">
        <f>'II_Inkunabeln+'!BA121</f>
        <v>n</v>
      </c>
      <c r="AC121" s="108"/>
      <c r="AD121" s="81">
        <f>'II_Inkunabeln+'!BJ121</f>
        <v>0</v>
      </c>
    </row>
    <row r="122" spans="1:31" ht="23" x14ac:dyDescent="0.25">
      <c r="A122" s="63">
        <f>'II_Inkunabeln+'!A122</f>
        <v>117</v>
      </c>
      <c r="B122" s="63" t="str">
        <f>'II_Inkunabeln+'!B122</f>
        <v>L-1479-315501286</v>
      </c>
      <c r="C122" s="63">
        <f>'II_Inkunabeln+'!C122</f>
        <v>1066970920</v>
      </c>
      <c r="D122" s="84" t="str">
        <f>'II_Inkunabeln+'!D122</f>
        <v>https://portal.dnb.de/opac.htm?method=simpleSearch&amp;cqlMode=true&amp;query=idn%3D1066970920</v>
      </c>
      <c r="E122" s="63" t="str">
        <f>'II_Inkunabeln+'!E122</f>
        <v>II 4,2c</v>
      </c>
      <c r="F122" s="63" t="str">
        <f>'II_Inkunabeln+'!H122</f>
        <v>&gt; 42 cm</v>
      </c>
      <c r="G122" s="93" t="str">
        <f>'II_Inkunabeln+'!AG122</f>
        <v>Pa</v>
      </c>
      <c r="H122" s="93">
        <f>'II_Inkunabeln+'!AP122</f>
        <v>0</v>
      </c>
      <c r="I122" s="93" t="str">
        <f>'II_Inkunabeln+'!AQ122</f>
        <v>I/R</v>
      </c>
      <c r="J122" s="94"/>
      <c r="K122" s="93" t="str">
        <f>'II_Inkunabeln+'!AW122</f>
        <v>x</v>
      </c>
      <c r="L122" s="93">
        <f>'II_Inkunabeln+'!AX122</f>
        <v>0</v>
      </c>
      <c r="AA122" s="93">
        <f>'II_Inkunabeln+'!AY122</f>
        <v>0</v>
      </c>
      <c r="AB122" s="94" t="str">
        <f>'II_Inkunabeln+'!BA122</f>
        <v>ja vor</v>
      </c>
      <c r="AC122" s="108">
        <v>0.5</v>
      </c>
      <c r="AD122" s="81">
        <f>'II_Inkunabeln+'!BJ122</f>
        <v>0</v>
      </c>
      <c r="AE122" s="81" t="s">
        <v>1989</v>
      </c>
    </row>
    <row r="123" spans="1:31" x14ac:dyDescent="0.25">
      <c r="A123" s="63">
        <f>'II_Inkunabeln+'!A123</f>
        <v>118</v>
      </c>
      <c r="B123" s="63" t="str">
        <f>'II_Inkunabeln+'!B123</f>
        <v>L-1481-315498811</v>
      </c>
      <c r="C123" s="63" t="str">
        <f>'II_Inkunabeln+'!C123</f>
        <v>106696856X</v>
      </c>
      <c r="D123" s="84" t="str">
        <f>'II_Inkunabeln+'!D123</f>
        <v>https://portal.dnb.de/opac.htm?method=simpleSearch&amp;cqlMode=true&amp;query=idn%3D106696856X</v>
      </c>
      <c r="E123" s="63" t="str">
        <f>'II_Inkunabeln+'!E123</f>
        <v>II 4,2d</v>
      </c>
      <c r="F123" s="63" t="str">
        <f>'II_Inkunabeln+'!H123</f>
        <v>&gt; 42 cm</v>
      </c>
      <c r="G123" s="93" t="str">
        <f>'II_Inkunabeln+'!AG123</f>
        <v>Pa</v>
      </c>
      <c r="H123" s="93">
        <f>'II_Inkunabeln+'!AP123</f>
        <v>0</v>
      </c>
      <c r="I123" s="93" t="str">
        <f>'II_Inkunabeln+'!AQ123</f>
        <v>I/R</v>
      </c>
      <c r="J123" s="94"/>
      <c r="K123" s="93">
        <f>'II_Inkunabeln+'!AW123</f>
        <v>0</v>
      </c>
      <c r="L123" s="93">
        <f>'II_Inkunabeln+'!AX123</f>
        <v>0</v>
      </c>
      <c r="AA123" s="93">
        <f>'II_Inkunabeln+'!AY123</f>
        <v>0</v>
      </c>
      <c r="AB123" s="94" t="str">
        <f>'II_Inkunabeln+'!BA123</f>
        <v>ja vor</v>
      </c>
      <c r="AC123" s="108"/>
      <c r="AD123" s="81">
        <f>'II_Inkunabeln+'!BJ123</f>
        <v>0</v>
      </c>
    </row>
    <row r="124" spans="1:31" x14ac:dyDescent="0.25">
      <c r="A124" s="63">
        <f>'II_Inkunabeln+'!A124</f>
        <v>119</v>
      </c>
      <c r="B124" s="63" t="str">
        <f>'II_Inkunabeln+'!B124</f>
        <v>L-1472-315498579</v>
      </c>
      <c r="C124" s="63">
        <f>'II_Inkunabeln+'!C124</f>
        <v>1066968322</v>
      </c>
      <c r="D124" s="84" t="str">
        <f>'II_Inkunabeln+'!D124</f>
        <v>https://portal.dnb.de/opac.htm?method=simpleSearch&amp;cqlMode=true&amp;query=idn%3D1066968322</v>
      </c>
      <c r="E124" s="63" t="str">
        <f>'II_Inkunabeln+'!E124</f>
        <v>II 4,2e</v>
      </c>
      <c r="F124" s="63" t="str">
        <f>'II_Inkunabeln+'!H124</f>
        <v>bis 35 cm</v>
      </c>
      <c r="G124" s="93" t="str">
        <f>'II_Inkunabeln+'!AG124</f>
        <v>Pa</v>
      </c>
      <c r="H124" s="93">
        <f>'II_Inkunabeln+'!AP124</f>
        <v>0</v>
      </c>
      <c r="I124" s="93" t="str">
        <f>'II_Inkunabeln+'!AQ124</f>
        <v>I</v>
      </c>
      <c r="J124" s="94"/>
      <c r="K124" s="93">
        <f>'II_Inkunabeln+'!AW124</f>
        <v>0</v>
      </c>
      <c r="L124" s="93">
        <f>'II_Inkunabeln+'!AX124</f>
        <v>0</v>
      </c>
      <c r="AA124" s="93">
        <f>'II_Inkunabeln+'!AY124</f>
        <v>0</v>
      </c>
      <c r="AB124" s="94" t="str">
        <f>'II_Inkunabeln+'!BA124</f>
        <v>ja vor</v>
      </c>
      <c r="AC124" s="108"/>
      <c r="AD124" s="81">
        <f>'II_Inkunabeln+'!BJ124</f>
        <v>0</v>
      </c>
    </row>
    <row r="125" spans="1:31" x14ac:dyDescent="0.25">
      <c r="A125" s="63">
        <f>'II_Inkunabeln+'!A125</f>
        <v>120</v>
      </c>
      <c r="B125" s="63" t="str">
        <f>'II_Inkunabeln+'!B125</f>
        <v>L-1475-315497378</v>
      </c>
      <c r="C125" s="63">
        <f>'II_Inkunabeln+'!C125</f>
        <v>1066967113</v>
      </c>
      <c r="D125" s="84" t="str">
        <f>'II_Inkunabeln+'!D125</f>
        <v>https://portal.dnb.de/opac.htm?method=simpleSearch&amp;cqlMode=true&amp;query=idn%3D1066967113</v>
      </c>
      <c r="E125" s="63" t="str">
        <f>'II_Inkunabeln+'!E125</f>
        <v>II 4,2f</v>
      </c>
      <c r="F125" s="63" t="str">
        <f>'II_Inkunabeln+'!H125</f>
        <v>bis 35 cm</v>
      </c>
      <c r="G125" s="93" t="str">
        <f>'II_Inkunabeln+'!AG125</f>
        <v>Pa</v>
      </c>
      <c r="H125" s="93">
        <f>'II_Inkunabeln+'!AP125</f>
        <v>0</v>
      </c>
      <c r="I125" s="93" t="str">
        <f>'II_Inkunabeln+'!AQ125</f>
        <v>I/R</v>
      </c>
      <c r="J125" s="94"/>
      <c r="K125" s="93">
        <f>'II_Inkunabeln+'!AW125</f>
        <v>0</v>
      </c>
      <c r="L125" s="93">
        <f>'II_Inkunabeln+'!AX125</f>
        <v>0</v>
      </c>
      <c r="AA125" s="93">
        <f>'II_Inkunabeln+'!AY125</f>
        <v>0</v>
      </c>
      <c r="AB125" s="94" t="str">
        <f>'II_Inkunabeln+'!BA125</f>
        <v>n</v>
      </c>
      <c r="AC125" s="108"/>
      <c r="AD125" s="81">
        <f>'II_Inkunabeln+'!BJ125</f>
        <v>0</v>
      </c>
    </row>
    <row r="126" spans="1:31" x14ac:dyDescent="0.25">
      <c r="A126" s="63">
        <f>'II_Inkunabeln+'!A126</f>
        <v>121</v>
      </c>
      <c r="B126" s="63" t="str">
        <f>'II_Inkunabeln+'!B126</f>
        <v>L-1474-315503076</v>
      </c>
      <c r="C126" s="63">
        <f>'II_Inkunabeln+'!C126</f>
        <v>1066972656</v>
      </c>
      <c r="D126" s="84" t="str">
        <f>'II_Inkunabeln+'!D126</f>
        <v>https://portal.dnb.de/opac.htm?method=simpleSearch&amp;cqlMode=true&amp;query=idn%3D1066972656</v>
      </c>
      <c r="E126" s="63" t="str">
        <f>'II_Inkunabeln+'!E126</f>
        <v>II 4,2g</v>
      </c>
      <c r="F126" s="63" t="str">
        <f>'II_Inkunabeln+'!H126</f>
        <v>bis 42 cm</v>
      </c>
      <c r="G126" s="93" t="str">
        <f>'II_Inkunabeln+'!AG126</f>
        <v>Pa</v>
      </c>
      <c r="H126" s="93">
        <f>'II_Inkunabeln+'!AP126</f>
        <v>0</v>
      </c>
      <c r="I126" s="93" t="str">
        <f>'II_Inkunabeln+'!AQ126</f>
        <v>B/I/R</v>
      </c>
      <c r="J126" s="94"/>
      <c r="K126" s="93">
        <f>'II_Inkunabeln+'!AW126</f>
        <v>0</v>
      </c>
      <c r="L126" s="93">
        <f>'II_Inkunabeln+'!AX126</f>
        <v>0</v>
      </c>
      <c r="AA126" s="93">
        <f>'II_Inkunabeln+'!AY126</f>
        <v>0</v>
      </c>
      <c r="AB126" s="94" t="str">
        <f>'II_Inkunabeln+'!BA126</f>
        <v>n</v>
      </c>
      <c r="AC126" s="108"/>
      <c r="AD126" s="81" t="str">
        <f>'II_Inkunabeln+'!BJ126</f>
        <v>Schuber viel zu eng --&gt; auf keinen Fall wieder einschubern!!</v>
      </c>
    </row>
    <row r="127" spans="1:31" x14ac:dyDescent="0.25">
      <c r="A127" s="63">
        <f>'II_Inkunabeln+'!A127</f>
        <v>122</v>
      </c>
      <c r="B127" s="63" t="str">
        <f>'II_Inkunabeln+'!B127</f>
        <v>L-1474-315500131</v>
      </c>
      <c r="C127" s="63">
        <f>'II_Inkunabeln+'!C127</f>
        <v>1066969795</v>
      </c>
      <c r="D127" s="84" t="str">
        <f>'II_Inkunabeln+'!D127</f>
        <v>https://portal.dnb.de/opac.htm?method=simpleSearch&amp;cqlMode=true&amp;query=idn%3D1066969795</v>
      </c>
      <c r="E127" s="63" t="str">
        <f>'II_Inkunabeln+'!E127</f>
        <v>II 4,2h</v>
      </c>
      <c r="F127" s="63" t="str">
        <f>'II_Inkunabeln+'!H127</f>
        <v>bis 35 cm</v>
      </c>
      <c r="G127" s="93" t="str">
        <f>'II_Inkunabeln+'!AG127</f>
        <v>Pa</v>
      </c>
      <c r="H127" s="93">
        <f>'II_Inkunabeln+'!AP127</f>
        <v>0</v>
      </c>
      <c r="I127" s="93" t="str">
        <f>'II_Inkunabeln+'!AQ127</f>
        <v>I/R</v>
      </c>
      <c r="J127" s="94"/>
      <c r="K127" s="93">
        <f>'II_Inkunabeln+'!AW127</f>
        <v>0</v>
      </c>
      <c r="L127" s="93">
        <f>'II_Inkunabeln+'!AX127</f>
        <v>0</v>
      </c>
      <c r="AA127" s="93">
        <f>'II_Inkunabeln+'!AY127</f>
        <v>0</v>
      </c>
      <c r="AB127" s="94" t="str">
        <f>'II_Inkunabeln+'!BA127</f>
        <v>n</v>
      </c>
      <c r="AC127" s="108"/>
      <c r="AD127" s="81">
        <f>'II_Inkunabeln+'!BJ127</f>
        <v>0</v>
      </c>
    </row>
    <row r="128" spans="1:31" x14ac:dyDescent="0.25">
      <c r="A128" s="63">
        <f>'II_Inkunabeln+'!A128</f>
        <v>123</v>
      </c>
      <c r="B128" s="63" t="str">
        <f>'II_Inkunabeln+'!B128</f>
        <v>L-1476-315498803</v>
      </c>
      <c r="C128" s="63">
        <f>'II_Inkunabeln+'!C128</f>
        <v>1066968551</v>
      </c>
      <c r="D128" s="84" t="str">
        <f>'II_Inkunabeln+'!D128</f>
        <v>https://portal.dnb.de/opac.htm?method=simpleSearch&amp;cqlMode=true&amp;query=idn%3D1066968551</v>
      </c>
      <c r="E128" s="63" t="str">
        <f>'II_Inkunabeln+'!E128</f>
        <v>II 4,3a</v>
      </c>
      <c r="F128" s="63" t="str">
        <f>'II_Inkunabeln+'!H128</f>
        <v>&gt; 42 cm</v>
      </c>
      <c r="G128" s="93" t="str">
        <f>'II_Inkunabeln+'!AG128</f>
        <v>Pa</v>
      </c>
      <c r="H128" s="93">
        <f>'II_Inkunabeln+'!AP128</f>
        <v>0</v>
      </c>
      <c r="I128" s="93" t="str">
        <f>'II_Inkunabeln+'!AQ128</f>
        <v>I/R</v>
      </c>
      <c r="J128" s="94"/>
      <c r="K128" s="93">
        <f>'II_Inkunabeln+'!AW128</f>
        <v>0</v>
      </c>
      <c r="L128" s="93">
        <f>'II_Inkunabeln+'!AX128</f>
        <v>0</v>
      </c>
      <c r="AA128" s="93">
        <f>'II_Inkunabeln+'!AY128</f>
        <v>0</v>
      </c>
      <c r="AB128" s="94" t="str">
        <f>'II_Inkunabeln+'!BA128</f>
        <v>n</v>
      </c>
      <c r="AC128" s="108"/>
      <c r="AD128" s="81">
        <f>'II_Inkunabeln+'!BJ128</f>
        <v>0</v>
      </c>
    </row>
    <row r="129" spans="1:30" x14ac:dyDescent="0.25">
      <c r="A129" s="63">
        <f>'II_Inkunabeln+'!A129</f>
        <v>124</v>
      </c>
      <c r="B129" s="63" t="str">
        <f>'II_Inkunabeln+'!B129</f>
        <v>L-1482-315499648</v>
      </c>
      <c r="C129" s="63">
        <f>'II_Inkunabeln+'!C129</f>
        <v>1066969310</v>
      </c>
      <c r="D129" s="84" t="str">
        <f>'II_Inkunabeln+'!D129</f>
        <v>https://portal.dnb.de/opac.htm?method=simpleSearch&amp;cqlMode=true&amp;query=idn%3D1066969310</v>
      </c>
      <c r="E129" s="63" t="str">
        <f>'II_Inkunabeln+'!E129</f>
        <v>II 4,3c</v>
      </c>
      <c r="F129" s="63" t="str">
        <f>'II_Inkunabeln+'!H129</f>
        <v>&gt; 42 cm</v>
      </c>
      <c r="G129" s="93" t="str">
        <f>'II_Inkunabeln+'!AG129</f>
        <v>Pa</v>
      </c>
      <c r="H129" s="93">
        <f>'II_Inkunabeln+'!AP129</f>
        <v>0</v>
      </c>
      <c r="I129" s="93" t="str">
        <f>'II_Inkunabeln+'!AQ129</f>
        <v>I/R</v>
      </c>
      <c r="J129" s="94"/>
      <c r="K129" s="93">
        <f>'II_Inkunabeln+'!AW129</f>
        <v>0</v>
      </c>
      <c r="L129" s="93">
        <f>'II_Inkunabeln+'!AX129</f>
        <v>0</v>
      </c>
      <c r="AA129" s="93">
        <f>'II_Inkunabeln+'!AY129</f>
        <v>0</v>
      </c>
      <c r="AB129" s="94" t="str">
        <f>'II_Inkunabeln+'!BA129</f>
        <v>n</v>
      </c>
      <c r="AC129" s="108"/>
      <c r="AD129" s="81">
        <f>'II_Inkunabeln+'!BJ129</f>
        <v>0</v>
      </c>
    </row>
    <row r="130" spans="1:30" x14ac:dyDescent="0.25">
      <c r="A130" s="63">
        <f>'II_Inkunabeln+'!A130</f>
        <v>125</v>
      </c>
      <c r="B130" s="63" t="str">
        <f>'II_Inkunabeln+'!B130</f>
        <v>L-1482-315502479</v>
      </c>
      <c r="C130" s="63">
        <f>'II_Inkunabeln+'!C130</f>
        <v>1066972052</v>
      </c>
      <c r="D130" s="84" t="str">
        <f>'II_Inkunabeln+'!D130</f>
        <v>https://portal.dnb.de/opac.htm?method=simpleSearch&amp;cqlMode=true&amp;query=idn%3D1066972052</v>
      </c>
      <c r="E130" s="63" t="str">
        <f>'II_Inkunabeln+'!E130</f>
        <v>II 4,3d</v>
      </c>
      <c r="F130" s="63" t="str">
        <f>'II_Inkunabeln+'!H130</f>
        <v>bis 35 cm</v>
      </c>
      <c r="G130" s="93" t="str">
        <f>'II_Inkunabeln+'!AG130</f>
        <v>Pa</v>
      </c>
      <c r="H130" s="93">
        <f>'II_Inkunabeln+'!AP130</f>
        <v>0</v>
      </c>
      <c r="I130" s="93">
        <f>'II_Inkunabeln+'!AQ130</f>
        <v>0</v>
      </c>
      <c r="J130" s="94"/>
      <c r="K130" s="93">
        <f>'II_Inkunabeln+'!AW130</f>
        <v>0</v>
      </c>
      <c r="L130" s="93">
        <f>'II_Inkunabeln+'!AX130</f>
        <v>0</v>
      </c>
      <c r="AA130" s="93">
        <f>'II_Inkunabeln+'!AY130</f>
        <v>0</v>
      </c>
      <c r="AB130" s="94" t="str">
        <f>'II_Inkunabeln+'!BA130</f>
        <v>n</v>
      </c>
      <c r="AC130" s="108"/>
      <c r="AD130" s="81">
        <f>'II_Inkunabeln+'!BJ130</f>
        <v>0</v>
      </c>
    </row>
    <row r="131" spans="1:30" x14ac:dyDescent="0.25">
      <c r="A131" s="63">
        <f>'II_Inkunabeln+'!A131</f>
        <v>126</v>
      </c>
      <c r="B131" s="63" t="str">
        <f>'II_Inkunabeln+'!B131</f>
        <v>L-1474-315496940</v>
      </c>
      <c r="C131" s="63">
        <f>'II_Inkunabeln+'!C131</f>
        <v>1066966656</v>
      </c>
      <c r="D131" s="84" t="str">
        <f>'II_Inkunabeln+'!D131</f>
        <v>https://portal.dnb.de/opac.htm?method=simpleSearch&amp;cqlMode=true&amp;query=idn%3D1066966656</v>
      </c>
      <c r="E131" s="63" t="str">
        <f>'II_Inkunabeln+'!E131</f>
        <v>II 4,3e -1</v>
      </c>
      <c r="F131" s="63" t="str">
        <f>'II_Inkunabeln+'!H131</f>
        <v>bis 42 cm</v>
      </c>
      <c r="G131" s="93" t="str">
        <f>'II_Inkunabeln+'!AG131</f>
        <v>Pa</v>
      </c>
      <c r="H131" s="93">
        <f>'II_Inkunabeln+'!AP131</f>
        <v>0</v>
      </c>
      <c r="I131" s="93" t="str">
        <f>'II_Inkunabeln+'!AQ131</f>
        <v>I/R</v>
      </c>
      <c r="J131" s="94"/>
      <c r="K131" s="93">
        <f>'II_Inkunabeln+'!AW131</f>
        <v>0</v>
      </c>
      <c r="L131" s="93">
        <f>'II_Inkunabeln+'!AX131</f>
        <v>0</v>
      </c>
      <c r="AA131" s="93">
        <f>'II_Inkunabeln+'!AY131</f>
        <v>0</v>
      </c>
      <c r="AB131" s="94" t="str">
        <f>'II_Inkunabeln+'!BA131</f>
        <v>n</v>
      </c>
      <c r="AC131" s="108"/>
      <c r="AD131" s="81">
        <f>'II_Inkunabeln+'!BJ131</f>
        <v>0</v>
      </c>
    </row>
    <row r="132" spans="1:30" x14ac:dyDescent="0.25">
      <c r="A132" s="63">
        <f>'II_Inkunabeln+'!A132</f>
        <v>0</v>
      </c>
      <c r="B132" s="63">
        <f>'II_Inkunabeln+'!B132</f>
        <v>0</v>
      </c>
      <c r="C132" s="63">
        <f>'II_Inkunabeln+'!C132</f>
        <v>0</v>
      </c>
      <c r="D132" s="84">
        <f>'II_Inkunabeln+'!D132</f>
        <v>0</v>
      </c>
      <c r="E132" s="63" t="str">
        <f>'II_Inkunabeln+'!E132</f>
        <v>II 4,3e -2</v>
      </c>
      <c r="F132" s="63" t="str">
        <f>'II_Inkunabeln+'!H132</f>
        <v>bis 42 cm</v>
      </c>
      <c r="G132" s="93" t="str">
        <f>'II_Inkunabeln+'!AG132</f>
        <v>Pa</v>
      </c>
      <c r="H132" s="93">
        <f>'II_Inkunabeln+'!AP132</f>
        <v>0</v>
      </c>
      <c r="I132" s="93" t="str">
        <f>'II_Inkunabeln+'!AQ132</f>
        <v>I/R</v>
      </c>
      <c r="J132" s="94"/>
      <c r="K132" s="93">
        <f>'II_Inkunabeln+'!AW132</f>
        <v>0</v>
      </c>
      <c r="L132" s="93">
        <f>'II_Inkunabeln+'!AX132</f>
        <v>0</v>
      </c>
      <c r="AA132" s="93">
        <f>'II_Inkunabeln+'!AY132</f>
        <v>0</v>
      </c>
      <c r="AB132" s="94" t="str">
        <f>'II_Inkunabeln+'!BA132</f>
        <v>n</v>
      </c>
      <c r="AC132" s="108"/>
      <c r="AD132" s="81">
        <f>'II_Inkunabeln+'!BJ132</f>
        <v>0</v>
      </c>
    </row>
    <row r="133" spans="1:30" x14ac:dyDescent="0.25">
      <c r="A133" s="63">
        <f>'II_Inkunabeln+'!A133</f>
        <v>127</v>
      </c>
      <c r="B133" s="63" t="str">
        <f>'II_Inkunabeln+'!B133</f>
        <v>L-1474-336752105</v>
      </c>
      <c r="C133" s="63">
        <f>'II_Inkunabeln+'!C133</f>
        <v>1077047428</v>
      </c>
      <c r="D133" s="84" t="str">
        <f>'II_Inkunabeln+'!D133</f>
        <v>https://portal.dnb.de/opac.htm?method=simpleSearch&amp;cqlMode=true&amp;query=idn%3D1077047428</v>
      </c>
      <c r="E133" s="63" t="str">
        <f>'II_Inkunabeln+'!E133</f>
        <v>II 4,3f</v>
      </c>
      <c r="F133" s="63">
        <f>'II_Inkunabeln+'!H133</f>
        <v>0</v>
      </c>
      <c r="G133" s="93">
        <f>'II_Inkunabeln+'!AG133</f>
        <v>0</v>
      </c>
      <c r="H133" s="93">
        <f>'II_Inkunabeln+'!AP133</f>
        <v>0</v>
      </c>
      <c r="I133" s="93">
        <f>'II_Inkunabeln+'!AQ133</f>
        <v>0</v>
      </c>
      <c r="J133" s="94"/>
      <c r="K133" s="93">
        <f>'II_Inkunabeln+'!AW133</f>
        <v>0</v>
      </c>
      <c r="L133" s="93">
        <f>'II_Inkunabeln+'!AX133</f>
        <v>0</v>
      </c>
      <c r="AA133" s="93">
        <f>'II_Inkunabeln+'!AY133</f>
        <v>0</v>
      </c>
      <c r="AB133" s="94">
        <f>'II_Inkunabeln+'!BA133</f>
        <v>0</v>
      </c>
      <c r="AC133" s="108"/>
      <c r="AD133" s="81">
        <f>'II_Inkunabeln+'!BJ133</f>
        <v>0</v>
      </c>
    </row>
    <row r="134" spans="1:30" x14ac:dyDescent="0.25">
      <c r="A134" s="63">
        <f>'II_Inkunabeln+'!A134</f>
        <v>128</v>
      </c>
      <c r="B134" s="63" t="str">
        <f>'II_Inkunabeln+'!B134</f>
        <v>L-1475-315502444</v>
      </c>
      <c r="C134" s="63">
        <f>'II_Inkunabeln+'!C134</f>
        <v>1066972028</v>
      </c>
      <c r="D134" s="84" t="str">
        <f>'II_Inkunabeln+'!D134</f>
        <v>https://portal.dnb.de/opac.htm?method=simpleSearch&amp;cqlMode=true&amp;query=idn%3D1066972028</v>
      </c>
      <c r="E134" s="63" t="str">
        <f>'II_Inkunabeln+'!E134</f>
        <v>II 4,4a</v>
      </c>
      <c r="F134" s="63" t="str">
        <f>'II_Inkunabeln+'!H134</f>
        <v>bis 35 cm</v>
      </c>
      <c r="G134" s="93" t="str">
        <f>'II_Inkunabeln+'!AG134</f>
        <v>Pa</v>
      </c>
      <c r="H134" s="93">
        <f>'II_Inkunabeln+'!AP134</f>
        <v>0</v>
      </c>
      <c r="I134" s="93" t="str">
        <f>'II_Inkunabeln+'!AQ134</f>
        <v>I/R</v>
      </c>
      <c r="J134" s="94"/>
      <c r="K134" s="93">
        <f>'II_Inkunabeln+'!AW134</f>
        <v>0</v>
      </c>
      <c r="L134" s="93">
        <f>'II_Inkunabeln+'!AX134</f>
        <v>0</v>
      </c>
      <c r="AA134" s="93">
        <f>'II_Inkunabeln+'!AY134</f>
        <v>0</v>
      </c>
      <c r="AB134" s="94" t="str">
        <f>'II_Inkunabeln+'!BA134</f>
        <v>n</v>
      </c>
      <c r="AC134" s="108"/>
      <c r="AD134" s="81">
        <f>'II_Inkunabeln+'!BJ134</f>
        <v>0</v>
      </c>
    </row>
    <row r="135" spans="1:30" x14ac:dyDescent="0.25">
      <c r="A135" s="63">
        <f>'II_Inkunabeln+'!A135</f>
        <v>129</v>
      </c>
      <c r="B135" s="63" t="str">
        <f>'II_Inkunabeln+'!B135</f>
        <v>L-1472-315494921</v>
      </c>
      <c r="C135" s="63" t="str">
        <f>'II_Inkunabeln+'!C135</f>
        <v>106696470X</v>
      </c>
      <c r="D135" s="84" t="str">
        <f>'II_Inkunabeln+'!D135</f>
        <v>https://portal.dnb.de/opac.htm?method=simpleSearch&amp;cqlMode=true&amp;query=idn%3D106696470X</v>
      </c>
      <c r="E135" s="63" t="str">
        <f>'II_Inkunabeln+'!E135</f>
        <v>II 4,4b</v>
      </c>
      <c r="F135" s="63" t="str">
        <f>'II_Inkunabeln+'!H135</f>
        <v>bis 35 cm</v>
      </c>
      <c r="G135" s="93" t="str">
        <f>'II_Inkunabeln+'!AG135</f>
        <v>Pa</v>
      </c>
      <c r="H135" s="93">
        <f>'II_Inkunabeln+'!AP135</f>
        <v>0</v>
      </c>
      <c r="I135" s="93" t="str">
        <f>'II_Inkunabeln+'!AQ135</f>
        <v>I/R</v>
      </c>
      <c r="J135" s="94"/>
      <c r="K135" s="93">
        <f>'II_Inkunabeln+'!AW135</f>
        <v>0</v>
      </c>
      <c r="L135" s="93">
        <f>'II_Inkunabeln+'!AX135</f>
        <v>0</v>
      </c>
      <c r="AA135" s="93">
        <f>'II_Inkunabeln+'!AY135</f>
        <v>0</v>
      </c>
      <c r="AB135" s="94" t="str">
        <f>'II_Inkunabeln+'!BA135</f>
        <v>n</v>
      </c>
      <c r="AC135" s="108"/>
      <c r="AD135" s="81">
        <f>'II_Inkunabeln+'!BJ135</f>
        <v>0</v>
      </c>
    </row>
    <row r="136" spans="1:30" x14ac:dyDescent="0.25">
      <c r="A136" s="63">
        <f>'II_Inkunabeln+'!A136</f>
        <v>130</v>
      </c>
      <c r="B136" s="63" t="str">
        <f>'II_Inkunabeln+'!B136</f>
        <v>L-1473-315500190</v>
      </c>
      <c r="C136" s="63">
        <f>'II_Inkunabeln+'!C136</f>
        <v>1066969868</v>
      </c>
      <c r="D136" s="84" t="str">
        <f>'II_Inkunabeln+'!D136</f>
        <v>https://portal.dnb.de/opac.htm?method=simpleSearch&amp;cqlMode=true&amp;query=idn%3D1066969868</v>
      </c>
      <c r="E136" s="63" t="str">
        <f>'II_Inkunabeln+'!E136</f>
        <v>II 4,4c</v>
      </c>
      <c r="F136" s="63" t="str">
        <f>'II_Inkunabeln+'!H136</f>
        <v>bis 35 cm</v>
      </c>
      <c r="G136" s="93" t="str">
        <f>'II_Inkunabeln+'!AG136</f>
        <v>Pa</v>
      </c>
      <c r="H136" s="93">
        <f>'II_Inkunabeln+'!AP136</f>
        <v>0</v>
      </c>
      <c r="I136" s="93" t="str">
        <f>'II_Inkunabeln+'!AQ136</f>
        <v>I/R</v>
      </c>
      <c r="J136" s="94"/>
      <c r="K136" s="93">
        <f>'II_Inkunabeln+'!AW136</f>
        <v>0</v>
      </c>
      <c r="L136" s="93">
        <f>'II_Inkunabeln+'!AX136</f>
        <v>0</v>
      </c>
      <c r="AA136" s="93">
        <f>'II_Inkunabeln+'!AY136</f>
        <v>0</v>
      </c>
      <c r="AB136" s="94" t="str">
        <f>'II_Inkunabeln+'!BA136</f>
        <v>ja vor</v>
      </c>
      <c r="AC136" s="108"/>
      <c r="AD136" s="81">
        <f>'II_Inkunabeln+'!BJ136</f>
        <v>0</v>
      </c>
    </row>
    <row r="137" spans="1:30" x14ac:dyDescent="0.25">
      <c r="A137" s="63">
        <f>'II_Inkunabeln+'!A137</f>
        <v>131</v>
      </c>
      <c r="B137" s="63" t="str">
        <f>'II_Inkunabeln+'!B137</f>
        <v>L-1474-315498587</v>
      </c>
      <c r="C137" s="63">
        <f>'II_Inkunabeln+'!C137</f>
        <v>1066968330</v>
      </c>
      <c r="D137" s="84" t="str">
        <f>'II_Inkunabeln+'!D137</f>
        <v>https://portal.dnb.de/opac.htm?method=simpleSearch&amp;cqlMode=true&amp;query=idn%3D1066968330</v>
      </c>
      <c r="E137" s="63" t="str">
        <f>'II_Inkunabeln+'!E137</f>
        <v>II 4,4d</v>
      </c>
      <c r="F137" s="63" t="str">
        <f>'II_Inkunabeln+'!H137</f>
        <v>bis 35 cm</v>
      </c>
      <c r="G137" s="93" t="str">
        <f>'II_Inkunabeln+'!AG137</f>
        <v>Pa</v>
      </c>
      <c r="H137" s="93">
        <f>'II_Inkunabeln+'!AP137</f>
        <v>0</v>
      </c>
      <c r="I137" s="93" t="str">
        <f>'II_Inkunabeln+'!AQ137</f>
        <v>I/R</v>
      </c>
      <c r="J137" s="94"/>
      <c r="K137" s="93">
        <f>'II_Inkunabeln+'!AW137</f>
        <v>0</v>
      </c>
      <c r="L137" s="93">
        <f>'II_Inkunabeln+'!AX137</f>
        <v>0</v>
      </c>
      <c r="AA137" s="93">
        <f>'II_Inkunabeln+'!AY137</f>
        <v>0</v>
      </c>
      <c r="AB137" s="94" t="str">
        <f>'II_Inkunabeln+'!BA137</f>
        <v>ja vor</v>
      </c>
      <c r="AC137" s="108"/>
      <c r="AD137" s="81">
        <f>'II_Inkunabeln+'!BJ137</f>
        <v>0</v>
      </c>
    </row>
    <row r="138" spans="1:30" x14ac:dyDescent="0.25">
      <c r="A138" s="63">
        <f>'II_Inkunabeln+'!A138</f>
        <v>132</v>
      </c>
      <c r="B138" s="63" t="str">
        <f>'II_Inkunabeln+'!B138</f>
        <v>L-1472-315496614</v>
      </c>
      <c r="C138" s="63">
        <f>'II_Inkunabeln+'!C138</f>
        <v>1066966338</v>
      </c>
      <c r="D138" s="84" t="str">
        <f>'II_Inkunabeln+'!D138</f>
        <v>https://portal.dnb.de/opac.htm?method=simpleSearch&amp;cqlMode=true&amp;query=idn%3D1066966338</v>
      </c>
      <c r="E138" s="63" t="str">
        <f>'II_Inkunabeln+'!E138</f>
        <v>II 4,4e</v>
      </c>
      <c r="F138" s="63" t="str">
        <f>'II_Inkunabeln+'!H138</f>
        <v>bis 25 cm</v>
      </c>
      <c r="G138" s="93" t="str">
        <f>'II_Inkunabeln+'!AG138</f>
        <v>Pa</v>
      </c>
      <c r="H138" s="93">
        <f>'II_Inkunabeln+'!AP138</f>
        <v>0</v>
      </c>
      <c r="I138" s="93" t="str">
        <f>'II_Inkunabeln+'!AQ138</f>
        <v>I/R</v>
      </c>
      <c r="J138" s="94"/>
      <c r="K138" s="93">
        <f>'II_Inkunabeln+'!AW138</f>
        <v>0</v>
      </c>
      <c r="L138" s="93">
        <f>'II_Inkunabeln+'!AX138</f>
        <v>0</v>
      </c>
      <c r="AA138" s="93">
        <f>'II_Inkunabeln+'!AY138</f>
        <v>0</v>
      </c>
      <c r="AB138" s="94" t="str">
        <f>'II_Inkunabeln+'!BA138</f>
        <v>n</v>
      </c>
      <c r="AC138" s="108"/>
      <c r="AD138" s="81">
        <f>'II_Inkunabeln+'!BJ138</f>
        <v>0</v>
      </c>
    </row>
    <row r="139" spans="1:30" x14ac:dyDescent="0.25">
      <c r="A139" s="63">
        <f>'II_Inkunabeln+'!A139</f>
        <v>133</v>
      </c>
      <c r="B139" s="63" t="str">
        <f>'II_Inkunabeln+'!B139</f>
        <v>L-1475-326852794</v>
      </c>
      <c r="C139" s="63">
        <f>'II_Inkunabeln+'!C139</f>
        <v>1072053101</v>
      </c>
      <c r="D139" s="84" t="str">
        <f>'II_Inkunabeln+'!D139</f>
        <v>https://portal.dnb.de/opac.htm?method=simpleSearch&amp;cqlMode=true&amp;query=idn%3D1072053101</v>
      </c>
      <c r="E139" s="63" t="str">
        <f>'II_Inkunabeln+'!E139</f>
        <v>II 4,4f</v>
      </c>
      <c r="F139" s="63" t="str">
        <f>'II_Inkunabeln+'!H139</f>
        <v>bis 25 cm</v>
      </c>
      <c r="G139" s="93" t="str">
        <f>'II_Inkunabeln+'!AG139</f>
        <v>Pa</v>
      </c>
      <c r="H139" s="93">
        <f>'II_Inkunabeln+'!AP139</f>
        <v>0</v>
      </c>
      <c r="I139" s="93" t="str">
        <f>'II_Inkunabeln+'!AQ139</f>
        <v>I/R</v>
      </c>
      <c r="J139" s="94"/>
      <c r="K139" s="93">
        <f>'II_Inkunabeln+'!AW139</f>
        <v>0</v>
      </c>
      <c r="L139" s="93">
        <f>'II_Inkunabeln+'!AX139</f>
        <v>0</v>
      </c>
      <c r="AA139" s="93">
        <f>'II_Inkunabeln+'!AY139</f>
        <v>0</v>
      </c>
      <c r="AB139" s="94" t="str">
        <f>'II_Inkunabeln+'!BA139</f>
        <v>n</v>
      </c>
      <c r="AC139" s="108"/>
      <c r="AD139" s="81">
        <f>'II_Inkunabeln+'!BJ139</f>
        <v>0</v>
      </c>
    </row>
    <row r="140" spans="1:30" x14ac:dyDescent="0.25">
      <c r="A140" s="63">
        <f>'II_Inkunabeln+'!A140</f>
        <v>134</v>
      </c>
      <c r="B140" s="63" t="str">
        <f>'II_Inkunabeln+'!B140</f>
        <v>L-1472-315498978</v>
      </c>
      <c r="C140" s="63">
        <f>'II_Inkunabeln+'!C140</f>
        <v>1066968721</v>
      </c>
      <c r="D140" s="84" t="str">
        <f>'II_Inkunabeln+'!D140</f>
        <v>https://portal.dnb.de/opac.htm?method=simpleSearch&amp;cqlMode=true&amp;query=idn%3D1066968721</v>
      </c>
      <c r="E140" s="63" t="str">
        <f>'II_Inkunabeln+'!E140</f>
        <v>II 4,4g</v>
      </c>
      <c r="F140" s="63" t="str">
        <f>'II_Inkunabeln+'!H140</f>
        <v>bis 25 cm</v>
      </c>
      <c r="G140" s="93" t="str">
        <f>'II_Inkunabeln+'!AG140</f>
        <v>Pa</v>
      </c>
      <c r="H140" s="93">
        <f>'II_Inkunabeln+'!AP140</f>
        <v>0</v>
      </c>
      <c r="I140" s="93" t="str">
        <f>'II_Inkunabeln+'!AQ140</f>
        <v>I/R</v>
      </c>
      <c r="J140" s="94"/>
      <c r="K140" s="93">
        <f>'II_Inkunabeln+'!AW140</f>
        <v>0</v>
      </c>
      <c r="L140" s="93">
        <f>'II_Inkunabeln+'!AX140</f>
        <v>0</v>
      </c>
      <c r="AA140" s="93">
        <f>'II_Inkunabeln+'!AY140</f>
        <v>0</v>
      </c>
      <c r="AB140" s="94" t="str">
        <f>'II_Inkunabeln+'!BA140</f>
        <v>n</v>
      </c>
      <c r="AC140" s="108"/>
      <c r="AD140" s="81">
        <f>'II_Inkunabeln+'!BJ140</f>
        <v>0</v>
      </c>
    </row>
    <row r="141" spans="1:30" x14ac:dyDescent="0.25">
      <c r="A141" s="63">
        <f>'II_Inkunabeln+'!A141</f>
        <v>135</v>
      </c>
      <c r="B141" s="63" t="str">
        <f>'II_Inkunabeln+'!B141</f>
        <v>L-1474-315500018</v>
      </c>
      <c r="C141" s="63">
        <f>'II_Inkunabeln+'!C141</f>
        <v>1066969671</v>
      </c>
      <c r="D141" s="84" t="str">
        <f>'II_Inkunabeln+'!D141</f>
        <v>https://portal.dnb.de/opac.htm?method=simpleSearch&amp;cqlMode=true&amp;query=idn%3D1066969671</v>
      </c>
      <c r="E141" s="63" t="str">
        <f>'II_Inkunabeln+'!E141</f>
        <v>II 4,4h</v>
      </c>
      <c r="F141" s="63" t="str">
        <f>'II_Inkunabeln+'!H141</f>
        <v>bis 35 cm</v>
      </c>
      <c r="G141" s="93" t="str">
        <f>'II_Inkunabeln+'!AG141</f>
        <v>Pa</v>
      </c>
      <c r="H141" s="93">
        <f>'II_Inkunabeln+'!AP141</f>
        <v>0</v>
      </c>
      <c r="I141" s="93" t="str">
        <f>'II_Inkunabeln+'!AQ141</f>
        <v>I/R</v>
      </c>
      <c r="J141" s="94"/>
      <c r="K141" s="93">
        <f>'II_Inkunabeln+'!AW141</f>
        <v>0</v>
      </c>
      <c r="L141" s="93">
        <f>'II_Inkunabeln+'!AX141</f>
        <v>0</v>
      </c>
      <c r="AA141" s="93">
        <f>'II_Inkunabeln+'!AY141</f>
        <v>0</v>
      </c>
      <c r="AB141" s="94" t="str">
        <f>'II_Inkunabeln+'!BA141</f>
        <v>ja vor</v>
      </c>
      <c r="AC141" s="108"/>
      <c r="AD141" s="81">
        <f>'II_Inkunabeln+'!BJ141</f>
        <v>0</v>
      </c>
    </row>
    <row r="142" spans="1:30" x14ac:dyDescent="0.25">
      <c r="A142" s="63">
        <f>'II_Inkunabeln+'!A142</f>
        <v>136</v>
      </c>
      <c r="B142" s="63" t="str">
        <f>'II_Inkunabeln+'!B142</f>
        <v>L-1489-31549610X</v>
      </c>
      <c r="C142" s="63">
        <f>'II_Inkunabeln+'!C142</f>
        <v>1066965838</v>
      </c>
      <c r="D142" s="84" t="str">
        <f>'II_Inkunabeln+'!D142</f>
        <v>https://portal.dnb.de/opac.htm?method=simpleSearch&amp;cqlMode=true&amp;query=idn%3D1066965838</v>
      </c>
      <c r="E142" s="63" t="str">
        <f>'II_Inkunabeln+'!E142</f>
        <v>II 4,5a</v>
      </c>
      <c r="F142" s="63" t="str">
        <f>'II_Inkunabeln+'!H142</f>
        <v>bis 35 cm</v>
      </c>
      <c r="G142" s="93" t="str">
        <f>'II_Inkunabeln+'!AG142</f>
        <v>Pa</v>
      </c>
      <c r="H142" s="93">
        <f>'II_Inkunabeln+'!AP142</f>
        <v>0</v>
      </c>
      <c r="I142" s="93">
        <f>'II_Inkunabeln+'!AQ142</f>
        <v>0</v>
      </c>
      <c r="J142" s="94"/>
      <c r="K142" s="93">
        <f>'II_Inkunabeln+'!AW142</f>
        <v>0</v>
      </c>
      <c r="L142" s="93">
        <f>'II_Inkunabeln+'!AX142</f>
        <v>0</v>
      </c>
      <c r="AA142" s="93">
        <f>'II_Inkunabeln+'!AY142</f>
        <v>0</v>
      </c>
      <c r="AB142" s="94" t="str">
        <f>'II_Inkunabeln+'!BA142</f>
        <v>n</v>
      </c>
      <c r="AC142" s="108"/>
      <c r="AD142" s="81">
        <f>'II_Inkunabeln+'!BJ142</f>
        <v>0</v>
      </c>
    </row>
    <row r="143" spans="1:30" x14ac:dyDescent="0.25">
      <c r="A143" s="63">
        <f>'II_Inkunabeln+'!A143</f>
        <v>137</v>
      </c>
      <c r="B143" s="63" t="str">
        <f>'II_Inkunabeln+'!B143</f>
        <v>L-1490-31549591X</v>
      </c>
      <c r="C143" s="63">
        <f>'II_Inkunabeln+'!C143</f>
        <v>1066965692</v>
      </c>
      <c r="D143" s="84" t="str">
        <f>'II_Inkunabeln+'!D143</f>
        <v>https://portal.dnb.de/opac.htm?method=simpleSearch&amp;cqlMode=true&amp;query=idn%3D1066965692</v>
      </c>
      <c r="E143" s="63" t="str">
        <f>'II_Inkunabeln+'!E143</f>
        <v>II 4,5b</v>
      </c>
      <c r="F143" s="63" t="str">
        <f>'II_Inkunabeln+'!H143</f>
        <v>bis 35 cm</v>
      </c>
      <c r="G143" s="93" t="str">
        <f>'II_Inkunabeln+'!AG143</f>
        <v>Pa</v>
      </c>
      <c r="H143" s="93">
        <f>'II_Inkunabeln+'!AP143</f>
        <v>0</v>
      </c>
      <c r="I143" s="93" t="str">
        <f>'II_Inkunabeln+'!AQ143</f>
        <v>I</v>
      </c>
      <c r="J143" s="94"/>
      <c r="K143" s="93">
        <f>'II_Inkunabeln+'!AW143</f>
        <v>0</v>
      </c>
      <c r="L143" s="93">
        <f>'II_Inkunabeln+'!AX143</f>
        <v>0</v>
      </c>
      <c r="AA143" s="93">
        <f>'II_Inkunabeln+'!AY143</f>
        <v>0</v>
      </c>
      <c r="AB143" s="94" t="str">
        <f>'II_Inkunabeln+'!BA143</f>
        <v>ja vor</v>
      </c>
      <c r="AC143" s="108"/>
      <c r="AD143" s="81">
        <f>'II_Inkunabeln+'!BJ143</f>
        <v>0</v>
      </c>
    </row>
    <row r="144" spans="1:30" x14ac:dyDescent="0.25">
      <c r="A144" s="63">
        <f>'II_Inkunabeln+'!A144</f>
        <v>138</v>
      </c>
      <c r="B144" s="63" t="str">
        <f>'II_Inkunabeln+'!B144</f>
        <v>L-1490-315496010</v>
      </c>
      <c r="C144" s="63">
        <f>'II_Inkunabeln+'!C144</f>
        <v>1066965773</v>
      </c>
      <c r="D144" s="84" t="str">
        <f>'II_Inkunabeln+'!D144</f>
        <v>https://portal.dnb.de/opac.htm?method=simpleSearch&amp;cqlMode=true&amp;query=idn%3D1066965773</v>
      </c>
      <c r="E144" s="63" t="str">
        <f>'II_Inkunabeln+'!E144</f>
        <v>II 4,5c (angebunden an II 4,5b)</v>
      </c>
      <c r="F144" s="63" t="str">
        <f>'II_Inkunabeln+'!H144</f>
        <v>bis 35 cm</v>
      </c>
      <c r="G144" s="93" t="str">
        <f>'II_Inkunabeln+'!AG144</f>
        <v>Pa</v>
      </c>
      <c r="H144" s="93">
        <f>'II_Inkunabeln+'!AP144</f>
        <v>0</v>
      </c>
      <c r="I144" s="93" t="str">
        <f>'II_Inkunabeln+'!AQ144</f>
        <v>I/R</v>
      </c>
      <c r="J144" s="94"/>
      <c r="K144" s="93">
        <f>'II_Inkunabeln+'!AW144</f>
        <v>0</v>
      </c>
      <c r="L144" s="93">
        <f>'II_Inkunabeln+'!AX144</f>
        <v>0</v>
      </c>
      <c r="AA144" s="93">
        <f>'II_Inkunabeln+'!AY144</f>
        <v>0</v>
      </c>
      <c r="AB144" s="94" t="str">
        <f>'II_Inkunabeln+'!BA144</f>
        <v>ja vor</v>
      </c>
      <c r="AC144" s="108"/>
      <c r="AD144" s="81">
        <f>'II_Inkunabeln+'!BJ144</f>
        <v>0</v>
      </c>
    </row>
    <row r="145" spans="1:30" x14ac:dyDescent="0.25">
      <c r="A145" s="63">
        <f>'II_Inkunabeln+'!A145</f>
        <v>139</v>
      </c>
      <c r="B145" s="63" t="str">
        <f>'II_Inkunabeln+'!B145</f>
        <v>L-1491-315497661</v>
      </c>
      <c r="C145" s="63">
        <f>'II_Inkunabeln+'!C145</f>
        <v>1066967407</v>
      </c>
      <c r="D145" s="84" t="str">
        <f>'II_Inkunabeln+'!D145</f>
        <v>https://portal.dnb.de/opac.htm?method=simpleSearch&amp;cqlMode=true&amp;query=idn%3D1066967407</v>
      </c>
      <c r="E145" s="63" t="str">
        <f>'II_Inkunabeln+'!E145</f>
        <v>II 4,5d</v>
      </c>
      <c r="F145" s="63" t="str">
        <f>'II_Inkunabeln+'!H145</f>
        <v>bis 35 cm</v>
      </c>
      <c r="G145" s="93" t="str">
        <f>'II_Inkunabeln+'!AG145</f>
        <v>Pa</v>
      </c>
      <c r="H145" s="93">
        <f>'II_Inkunabeln+'!AP145</f>
        <v>0</v>
      </c>
      <c r="I145" s="93" t="str">
        <f>'II_Inkunabeln+'!AQ145</f>
        <v xml:space="preserve">I/R </v>
      </c>
      <c r="J145" s="94"/>
      <c r="K145" s="93">
        <f>'II_Inkunabeln+'!AW145</f>
        <v>0</v>
      </c>
      <c r="L145" s="93">
        <f>'II_Inkunabeln+'!AX145</f>
        <v>0</v>
      </c>
      <c r="AA145" s="93">
        <f>'II_Inkunabeln+'!AY145</f>
        <v>0</v>
      </c>
      <c r="AB145" s="94" t="str">
        <f>'II_Inkunabeln+'!BA145</f>
        <v>n</v>
      </c>
      <c r="AC145" s="108"/>
      <c r="AD145" s="81">
        <f>'II_Inkunabeln+'!BJ145</f>
        <v>0</v>
      </c>
    </row>
    <row r="146" spans="1:30" ht="23" x14ac:dyDescent="0.25">
      <c r="A146" s="63">
        <f>'II_Inkunabeln+'!A146</f>
        <v>140</v>
      </c>
      <c r="B146" s="63" t="str">
        <f>'II_Inkunabeln+'!B146</f>
        <v>L-1492-329246070</v>
      </c>
      <c r="C146" s="63">
        <f>'II_Inkunabeln+'!C146</f>
        <v>1085177637</v>
      </c>
      <c r="D146" s="84" t="str">
        <f>'II_Inkunabeln+'!D146</f>
        <v>https://portal.dnb.de/opac.htm?method=simpleSearch&amp;cqlMode=true&amp;query=idn%3D1085177637</v>
      </c>
      <c r="E146" s="63" t="str">
        <f>'II_Inkunabeln+'!E146</f>
        <v>II 4,5e - 2</v>
      </c>
      <c r="F146" s="63" t="str">
        <f>'II_Inkunabeln+'!H146</f>
        <v>bis 35 cm</v>
      </c>
      <c r="G146" s="93" t="str">
        <f>'II_Inkunabeln+'!AG146</f>
        <v>Pa</v>
      </c>
      <c r="H146" s="93">
        <f>'II_Inkunabeln+'!AP146</f>
        <v>0</v>
      </c>
      <c r="I146" s="93" t="str">
        <f>'II_Inkunabeln+'!AQ146</f>
        <v xml:space="preserve">I/R </v>
      </c>
      <c r="J146" s="94"/>
      <c r="K146" s="93">
        <f>'II_Inkunabeln+'!AW146</f>
        <v>0</v>
      </c>
      <c r="L146" s="93">
        <f>'II_Inkunabeln+'!AX146</f>
        <v>0</v>
      </c>
      <c r="AA146" s="93">
        <f>'II_Inkunabeln+'!AY146</f>
        <v>0</v>
      </c>
      <c r="AB146" s="94" t="str">
        <f>'II_Inkunabeln+'!BA146</f>
        <v>n</v>
      </c>
      <c r="AC146" s="108"/>
      <c r="AD146" s="81" t="str">
        <f>'II_Inkunabeln+'!BJ146</f>
        <v>trotzt 180° Öffnungswinkel Textverlust (Marginalien)</v>
      </c>
    </row>
    <row r="147" spans="1:30" ht="23" x14ac:dyDescent="0.25">
      <c r="A147" s="63">
        <f>'II_Inkunabeln+'!A147</f>
        <v>141</v>
      </c>
      <c r="B147" s="63" t="str">
        <f>'II_Inkunabeln+'!B147</f>
        <v>L-1492-352777192</v>
      </c>
      <c r="C147" s="63">
        <f>'II_Inkunabeln+'!C147</f>
        <v>1085177750</v>
      </c>
      <c r="D147" s="84" t="str">
        <f>'II_Inkunabeln+'!D147</f>
        <v>https://portal.dnb.de/opac.htm?method=simpleSearch&amp;cqlMode=true&amp;query=idn%3D1085177750</v>
      </c>
      <c r="E147" s="63" t="str">
        <f>'II_Inkunabeln+'!E147</f>
        <v>II 4,5e - 3</v>
      </c>
      <c r="F147" s="63" t="str">
        <f>'II_Inkunabeln+'!H147</f>
        <v>bis 35 cm</v>
      </c>
      <c r="G147" s="93" t="str">
        <f>'II_Inkunabeln+'!AG147</f>
        <v>Pa</v>
      </c>
      <c r="H147" s="93">
        <f>'II_Inkunabeln+'!AP147</f>
        <v>0</v>
      </c>
      <c r="I147" s="93" t="str">
        <f>'II_Inkunabeln+'!AQ147</f>
        <v>I/R</v>
      </c>
      <c r="J147" s="94"/>
      <c r="K147" s="93">
        <f>'II_Inkunabeln+'!AW147</f>
        <v>0</v>
      </c>
      <c r="L147" s="93">
        <f>'II_Inkunabeln+'!AX147</f>
        <v>0</v>
      </c>
      <c r="AA147" s="93">
        <f>'II_Inkunabeln+'!AY147</f>
        <v>0</v>
      </c>
      <c r="AB147" s="94" t="str">
        <f>'II_Inkunabeln+'!BA147</f>
        <v>n</v>
      </c>
      <c r="AC147" s="108"/>
      <c r="AD147" s="81" t="str">
        <f>'II_Inkunabeln+'!BJ147</f>
        <v>trotzt 180° Öffnungswinkel Textverlust (Marginalien)</v>
      </c>
    </row>
    <row r="148" spans="1:30" x14ac:dyDescent="0.25">
      <c r="A148" s="63">
        <f>'II_Inkunabeln+'!A148</f>
        <v>142</v>
      </c>
      <c r="B148" s="63" t="str">
        <f>'II_Inkunabeln+'!B148</f>
        <v>L-1492-315495448</v>
      </c>
      <c r="C148" s="63">
        <f>'II_Inkunabeln+'!C148</f>
        <v>1085177238</v>
      </c>
      <c r="D148" s="84" t="str">
        <f>'II_Inkunabeln+'!D148</f>
        <v>https://portal.dnb.de/opac.htm?method=simpleSearch&amp;cqlMode=true&amp;query=idn%3D1085177238</v>
      </c>
      <c r="E148" s="63" t="str">
        <f>'II_Inkunabeln+'!E148</f>
        <v>II 4,5ea - Fragm.</v>
      </c>
      <c r="F148" s="63">
        <f>'II_Inkunabeln+'!H148</f>
        <v>0</v>
      </c>
      <c r="G148" s="93">
        <f>'II_Inkunabeln+'!AG148</f>
        <v>0</v>
      </c>
      <c r="H148" s="93">
        <f>'II_Inkunabeln+'!AP148</f>
        <v>0</v>
      </c>
      <c r="I148" s="93">
        <f>'II_Inkunabeln+'!AQ148</f>
        <v>0</v>
      </c>
      <c r="J148" s="94"/>
      <c r="K148" s="93">
        <f>'II_Inkunabeln+'!AW148</f>
        <v>0</v>
      </c>
      <c r="L148" s="93">
        <f>'II_Inkunabeln+'!AX148</f>
        <v>0</v>
      </c>
      <c r="AA148" s="93">
        <f>'II_Inkunabeln+'!AY148</f>
        <v>0</v>
      </c>
      <c r="AB148" s="94">
        <f>'II_Inkunabeln+'!BA148</f>
        <v>0</v>
      </c>
      <c r="AC148" s="108"/>
      <c r="AD148" s="81">
        <f>'II_Inkunabeln+'!BJ148</f>
        <v>0</v>
      </c>
    </row>
    <row r="149" spans="1:30" ht="23" x14ac:dyDescent="0.25">
      <c r="A149" s="63">
        <f>'II_Inkunabeln+'!A149</f>
        <v>143</v>
      </c>
      <c r="B149" s="63" t="str">
        <f>'II_Inkunabeln+'!B149</f>
        <v>L-1493-31549493X</v>
      </c>
      <c r="C149" s="63">
        <f>'II_Inkunabeln+'!C149</f>
        <v>1066964734</v>
      </c>
      <c r="D149" s="84" t="str">
        <f>'II_Inkunabeln+'!D149</f>
        <v>https://portal.dnb.de/opac.htm?method=simpleSearch&amp;cqlMode=true&amp;query=idn%3D1066964734</v>
      </c>
      <c r="E149" s="63" t="str">
        <f>'II_Inkunabeln+'!E149</f>
        <v>II 4,5f</v>
      </c>
      <c r="F149" s="63" t="str">
        <f>'II_Inkunabeln+'!H149</f>
        <v>bis 35 cm</v>
      </c>
      <c r="G149" s="93" t="str">
        <f>'II_Inkunabeln+'!AG149</f>
        <v>Pa</v>
      </c>
      <c r="H149" s="93">
        <f>'II_Inkunabeln+'!AP149</f>
        <v>0</v>
      </c>
      <c r="I149" s="93">
        <f>'II_Inkunabeln+'!AQ149</f>
        <v>0</v>
      </c>
      <c r="J149" s="94"/>
      <c r="K149" s="93">
        <f>'II_Inkunabeln+'!AW149</f>
        <v>0</v>
      </c>
      <c r="L149" s="93">
        <f>'II_Inkunabeln+'!AX149</f>
        <v>0</v>
      </c>
      <c r="AA149" s="93">
        <f>'II_Inkunabeln+'!AY149</f>
        <v>0</v>
      </c>
      <c r="AB149" s="94" t="str">
        <f>'II_Inkunabeln+'!BA149</f>
        <v>n</v>
      </c>
      <c r="AC149" s="108"/>
      <c r="AD149" s="81" t="str">
        <f>'II_Inkunabeln+'!BJ149</f>
        <v>Klemmeinband in separater Box erhalten</v>
      </c>
    </row>
    <row r="150" spans="1:30" x14ac:dyDescent="0.25">
      <c r="A150" s="63">
        <f>'II_Inkunabeln+'!A150</f>
        <v>144</v>
      </c>
      <c r="B150" s="63" t="str">
        <f>'II_Inkunabeln+'!B150</f>
        <v>L-1496-315501774</v>
      </c>
      <c r="C150" s="63">
        <f>'II_Inkunabeln+'!C150</f>
        <v>1066971404</v>
      </c>
      <c r="D150" s="84" t="str">
        <f>'II_Inkunabeln+'!D150</f>
        <v>https://portal.dnb.de/opac.htm?method=simpleSearch&amp;cqlMode=true&amp;query=idn%3D1066971404</v>
      </c>
      <c r="E150" s="63" t="str">
        <f>'II_Inkunabeln+'!E150</f>
        <v>II 4,5g</v>
      </c>
      <c r="F150" s="63" t="str">
        <f>'II_Inkunabeln+'!H150</f>
        <v>bis 35 cm</v>
      </c>
      <c r="G150" s="93" t="str">
        <f>'II_Inkunabeln+'!AG150</f>
        <v>Pa</v>
      </c>
      <c r="H150" s="93">
        <f>'II_Inkunabeln+'!AP150</f>
        <v>0</v>
      </c>
      <c r="I150" s="93" t="str">
        <f>'II_Inkunabeln+'!AQ150</f>
        <v>I/R</v>
      </c>
      <c r="J150" s="94"/>
      <c r="K150" s="93">
        <f>'II_Inkunabeln+'!AW150</f>
        <v>0</v>
      </c>
      <c r="L150" s="93">
        <f>'II_Inkunabeln+'!AX150</f>
        <v>0</v>
      </c>
      <c r="AA150" s="93">
        <f>'II_Inkunabeln+'!AY150</f>
        <v>0</v>
      </c>
      <c r="AB150" s="94" t="str">
        <f>'II_Inkunabeln+'!BA150</f>
        <v>ja vor</v>
      </c>
      <c r="AC150" s="108"/>
      <c r="AD150" s="81">
        <f>'II_Inkunabeln+'!BJ150</f>
        <v>0</v>
      </c>
    </row>
    <row r="151" spans="1:30" x14ac:dyDescent="0.25">
      <c r="A151" s="63">
        <f>'II_Inkunabeln+'!A151</f>
        <v>145</v>
      </c>
      <c r="B151" s="63" t="str">
        <f>'II_Inkunabeln+'!B151</f>
        <v>L-1483-315501367</v>
      </c>
      <c r="C151" s="63">
        <f>'II_Inkunabeln+'!C151</f>
        <v>1066971005</v>
      </c>
      <c r="D151" s="84" t="str">
        <f>'II_Inkunabeln+'!D151</f>
        <v>https://portal.dnb.de/opac.htm?method=simpleSearch&amp;cqlMode=true&amp;query=idn%3D1066971005</v>
      </c>
      <c r="E151" s="63" t="str">
        <f>'II_Inkunabeln+'!E151</f>
        <v>II 4,6a</v>
      </c>
      <c r="F151" s="63" t="str">
        <f>'II_Inkunabeln+'!H151</f>
        <v>bis 25 cm</v>
      </c>
      <c r="G151" s="93" t="str">
        <f>'II_Inkunabeln+'!AG151</f>
        <v>Pa</v>
      </c>
      <c r="H151" s="93">
        <f>'II_Inkunabeln+'!AP151</f>
        <v>0</v>
      </c>
      <c r="I151" s="93" t="str">
        <f>'II_Inkunabeln+'!AQ151</f>
        <v>I/R</v>
      </c>
      <c r="J151" s="94"/>
      <c r="K151" s="93">
        <f>'II_Inkunabeln+'!AW151</f>
        <v>0</v>
      </c>
      <c r="L151" s="93">
        <f>'II_Inkunabeln+'!AX151</f>
        <v>0</v>
      </c>
      <c r="AA151" s="93">
        <f>'II_Inkunabeln+'!AY151</f>
        <v>0</v>
      </c>
      <c r="AB151" s="94" t="str">
        <f>'II_Inkunabeln+'!BA151</f>
        <v>n</v>
      </c>
      <c r="AC151" s="108"/>
      <c r="AD151" s="81">
        <f>'II_Inkunabeln+'!BJ151</f>
        <v>0</v>
      </c>
    </row>
    <row r="152" spans="1:30" x14ac:dyDescent="0.25">
      <c r="A152" s="63">
        <f>'II_Inkunabeln+'!A152</f>
        <v>146</v>
      </c>
      <c r="B152" s="63" t="str">
        <f>'II_Inkunabeln+'!B152</f>
        <v>L-1486-315501936</v>
      </c>
      <c r="C152" s="63">
        <f>'II_Inkunabeln+'!C152</f>
        <v>1066971552</v>
      </c>
      <c r="D152" s="84" t="str">
        <f>'II_Inkunabeln+'!D152</f>
        <v>https://portal.dnb.de/opac.htm?method=simpleSearch&amp;cqlMode=true&amp;query=idn%3D1066971552</v>
      </c>
      <c r="E152" s="63" t="str">
        <f>'II_Inkunabeln+'!E152</f>
        <v>II 4,7a</v>
      </c>
      <c r="F152" s="63" t="str">
        <f>'II_Inkunabeln+'!H152</f>
        <v>bis 35 cm</v>
      </c>
      <c r="G152" s="93" t="str">
        <f>'II_Inkunabeln+'!AG152</f>
        <v>Pa</v>
      </c>
      <c r="H152" s="93">
        <f>'II_Inkunabeln+'!AP152</f>
        <v>0</v>
      </c>
      <c r="I152" s="93">
        <f>'II_Inkunabeln+'!AQ152</f>
        <v>0</v>
      </c>
      <c r="J152" s="94"/>
      <c r="K152" s="93">
        <f>'II_Inkunabeln+'!AW152</f>
        <v>0</v>
      </c>
      <c r="L152" s="93">
        <f>'II_Inkunabeln+'!AX152</f>
        <v>0</v>
      </c>
      <c r="AA152" s="93">
        <f>'II_Inkunabeln+'!AY152</f>
        <v>0</v>
      </c>
      <c r="AB152" s="94" t="str">
        <f>'II_Inkunabeln+'!BA152</f>
        <v>ja vor</v>
      </c>
      <c r="AC152" s="108"/>
      <c r="AD152" s="81">
        <f>'II_Inkunabeln+'!BJ152</f>
        <v>0</v>
      </c>
    </row>
    <row r="153" spans="1:30" x14ac:dyDescent="0.25">
      <c r="A153" s="63">
        <f>'II_Inkunabeln+'!A153</f>
        <v>147</v>
      </c>
      <c r="B153" s="63" t="str">
        <f>'II_Inkunabeln+'!B153</f>
        <v>L-1487-315500654</v>
      </c>
      <c r="C153" s="63">
        <f>'II_Inkunabeln+'!C153</f>
        <v>1066970319</v>
      </c>
      <c r="D153" s="84" t="str">
        <f>'II_Inkunabeln+'!D153</f>
        <v>https://portal.dnb.de/opac.htm?method=simpleSearch&amp;cqlMode=true&amp;query=idn%3D1066970319</v>
      </c>
      <c r="E153" s="63" t="str">
        <f>'II_Inkunabeln+'!E153</f>
        <v>II 4,7b</v>
      </c>
      <c r="F153" s="63" t="str">
        <f>'II_Inkunabeln+'!H153</f>
        <v>bis 35 cm</v>
      </c>
      <c r="G153" s="93" t="str">
        <f>'II_Inkunabeln+'!AG153</f>
        <v>Pa</v>
      </c>
      <c r="H153" s="93">
        <f>'II_Inkunabeln+'!AP153</f>
        <v>0</v>
      </c>
      <c r="I153" s="93" t="str">
        <f>'II_Inkunabeln+'!AQ153</f>
        <v>I/R</v>
      </c>
      <c r="J153" s="94"/>
      <c r="K153" s="93">
        <f>'II_Inkunabeln+'!AW153</f>
        <v>0</v>
      </c>
      <c r="L153" s="93">
        <f>'II_Inkunabeln+'!AX153</f>
        <v>0</v>
      </c>
      <c r="AA153" s="93">
        <f>'II_Inkunabeln+'!AY153</f>
        <v>0</v>
      </c>
      <c r="AB153" s="94" t="str">
        <f>'II_Inkunabeln+'!BA153</f>
        <v>ja vor</v>
      </c>
      <c r="AC153" s="108"/>
      <c r="AD153" s="81">
        <f>'II_Inkunabeln+'!BJ153</f>
        <v>0</v>
      </c>
    </row>
    <row r="154" spans="1:30" x14ac:dyDescent="0.25">
      <c r="A154" s="63">
        <f>'II_Inkunabeln+'!A154</f>
        <v>148</v>
      </c>
      <c r="B154" s="63" t="str">
        <f>'II_Inkunabeln+'!B154</f>
        <v>L-1486-465330959</v>
      </c>
      <c r="C154" s="63">
        <f>'II_Inkunabeln+'!C154</f>
        <v>1168282241</v>
      </c>
      <c r="D154" s="84" t="str">
        <f>'II_Inkunabeln+'!D154</f>
        <v>https://portal.dnb.de/opac.htm?method=simpleSearch&amp;cqlMode=true&amp;query=idn%3D1168282241</v>
      </c>
      <c r="E154" s="63" t="str">
        <f>'II_Inkunabeln+'!E154</f>
        <v>II 4,7b (angebunden)</v>
      </c>
      <c r="F154" s="63">
        <f>'II_Inkunabeln+'!H154</f>
        <v>0</v>
      </c>
      <c r="G154" s="93">
        <f>'II_Inkunabeln+'!AG154</f>
        <v>0</v>
      </c>
      <c r="H154" s="93">
        <f>'II_Inkunabeln+'!AP154</f>
        <v>0</v>
      </c>
      <c r="I154" s="93">
        <f>'II_Inkunabeln+'!AQ154</f>
        <v>0</v>
      </c>
      <c r="J154" s="94"/>
      <c r="K154" s="93">
        <f>'II_Inkunabeln+'!AW154</f>
        <v>0</v>
      </c>
      <c r="L154" s="93">
        <f>'II_Inkunabeln+'!AX154</f>
        <v>0</v>
      </c>
      <c r="AA154" s="93">
        <f>'II_Inkunabeln+'!AY154</f>
        <v>0</v>
      </c>
      <c r="AB154" s="94">
        <f>'II_Inkunabeln+'!BA154</f>
        <v>0</v>
      </c>
      <c r="AC154" s="108"/>
      <c r="AD154" s="81">
        <f>'II_Inkunabeln+'!BJ154</f>
        <v>0</v>
      </c>
    </row>
    <row r="155" spans="1:30" x14ac:dyDescent="0.25">
      <c r="A155" s="63">
        <f>'II_Inkunabeln+'!A155</f>
        <v>149</v>
      </c>
      <c r="B155" s="63" t="str">
        <f>'II_Inkunabeln+'!B155</f>
        <v>L-1487-315496770</v>
      </c>
      <c r="C155" s="63">
        <f>'II_Inkunabeln+'!C155</f>
        <v>1066966486</v>
      </c>
      <c r="D155" s="84" t="str">
        <f>'II_Inkunabeln+'!D155</f>
        <v>https://portal.dnb.de/opac.htm?method=simpleSearch&amp;cqlMode=true&amp;query=idn%3D1066966486</v>
      </c>
      <c r="E155" s="63" t="str">
        <f>'II_Inkunabeln+'!E155</f>
        <v>II 4,7c</v>
      </c>
      <c r="F155" s="63" t="str">
        <f>'II_Inkunabeln+'!H155</f>
        <v>bis 35 cm</v>
      </c>
      <c r="G155" s="93" t="str">
        <f>'II_Inkunabeln+'!AG155</f>
        <v>Pa</v>
      </c>
      <c r="H155" s="93">
        <f>'II_Inkunabeln+'!AP155</f>
        <v>0</v>
      </c>
      <c r="I155" s="93" t="str">
        <f>'II_Inkunabeln+'!AQ155</f>
        <v>I</v>
      </c>
      <c r="J155" s="94"/>
      <c r="K155" s="93">
        <f>'II_Inkunabeln+'!AW155</f>
        <v>0</v>
      </c>
      <c r="L155" s="93">
        <f>'II_Inkunabeln+'!AX155</f>
        <v>0</v>
      </c>
      <c r="AA155" s="93">
        <f>'II_Inkunabeln+'!AY155</f>
        <v>0</v>
      </c>
      <c r="AB155" s="94" t="str">
        <f>'II_Inkunabeln+'!BA155</f>
        <v>n</v>
      </c>
      <c r="AC155" s="108"/>
      <c r="AD155" s="81">
        <f>'II_Inkunabeln+'!BJ155</f>
        <v>0</v>
      </c>
    </row>
    <row r="156" spans="1:30" x14ac:dyDescent="0.25">
      <c r="A156" s="63">
        <f>'II_Inkunabeln+'!A156</f>
        <v>150</v>
      </c>
      <c r="B156" s="63" t="str">
        <f>'II_Inkunabeln+'!B156</f>
        <v>L-1489-315496363</v>
      </c>
      <c r="C156" s="63">
        <f>'II_Inkunabeln+'!C156</f>
        <v>1066966060</v>
      </c>
      <c r="D156" s="84" t="str">
        <f>'II_Inkunabeln+'!D156</f>
        <v>https://portal.dnb.de/opac.htm?method=simpleSearch&amp;cqlMode=true&amp;query=idn%3D1066966060</v>
      </c>
      <c r="E156" s="63" t="str">
        <f>'II_Inkunabeln+'!E156</f>
        <v>II 4,7d</v>
      </c>
      <c r="F156" s="63" t="str">
        <f>'II_Inkunabeln+'!H156</f>
        <v>bis 35 cm</v>
      </c>
      <c r="G156" s="93" t="str">
        <f>'II_Inkunabeln+'!AG156</f>
        <v>Pa</v>
      </c>
      <c r="H156" s="93">
        <f>'II_Inkunabeln+'!AP156</f>
        <v>0</v>
      </c>
      <c r="I156" s="93" t="str">
        <f>'II_Inkunabeln+'!AQ156</f>
        <v>I/R</v>
      </c>
      <c r="J156" s="94"/>
      <c r="K156" s="93">
        <f>'II_Inkunabeln+'!AW156</f>
        <v>0</v>
      </c>
      <c r="L156" s="93">
        <f>'II_Inkunabeln+'!AX156</f>
        <v>0</v>
      </c>
      <c r="AA156" s="93">
        <f>'II_Inkunabeln+'!AY156</f>
        <v>0</v>
      </c>
      <c r="AB156" s="94" t="str">
        <f>'II_Inkunabeln+'!BA156</f>
        <v>ja vor</v>
      </c>
      <c r="AC156" s="108"/>
      <c r="AD156" s="81">
        <f>'II_Inkunabeln+'!BJ156</f>
        <v>0</v>
      </c>
    </row>
    <row r="157" spans="1:30" x14ac:dyDescent="0.25">
      <c r="A157" s="63">
        <f>'II_Inkunabeln+'!A157</f>
        <v>151</v>
      </c>
      <c r="B157" s="63" t="str">
        <f>'II_Inkunabeln+'!B157</f>
        <v>L-1489-315501944</v>
      </c>
      <c r="C157" s="63">
        <f>'II_Inkunabeln+'!C157</f>
        <v>1066971560</v>
      </c>
      <c r="D157" s="84" t="str">
        <f>'II_Inkunabeln+'!D157</f>
        <v>https://portal.dnb.de/opac.htm?method=simpleSearch&amp;cqlMode=true&amp;query=idn%3D1066971560</v>
      </c>
      <c r="E157" s="63" t="str">
        <f>'II_Inkunabeln+'!E157</f>
        <v>II 4,7e</v>
      </c>
      <c r="F157" s="63" t="str">
        <f>'II_Inkunabeln+'!H157</f>
        <v>bis 35 cm</v>
      </c>
      <c r="G157" s="93" t="str">
        <f>'II_Inkunabeln+'!AG157</f>
        <v>Pa</v>
      </c>
      <c r="H157" s="93">
        <f>'II_Inkunabeln+'!AP157</f>
        <v>0</v>
      </c>
      <c r="I157" s="93" t="str">
        <f>'II_Inkunabeln+'!AQ157</f>
        <v>I/R</v>
      </c>
      <c r="J157" s="94"/>
      <c r="K157" s="93">
        <f>'II_Inkunabeln+'!AW157</f>
        <v>0</v>
      </c>
      <c r="L157" s="93">
        <f>'II_Inkunabeln+'!AX157</f>
        <v>0</v>
      </c>
      <c r="AA157" s="93">
        <f>'II_Inkunabeln+'!AY157</f>
        <v>0</v>
      </c>
      <c r="AB157" s="94" t="str">
        <f>'II_Inkunabeln+'!BA157</f>
        <v>n</v>
      </c>
      <c r="AC157" s="108"/>
      <c r="AD157" s="81">
        <f>'II_Inkunabeln+'!BJ157</f>
        <v>0</v>
      </c>
    </row>
    <row r="158" spans="1:30" x14ac:dyDescent="0.25">
      <c r="A158" s="63">
        <f>'II_Inkunabeln+'!A158</f>
        <v>152</v>
      </c>
      <c r="B158" s="63" t="str">
        <f>'II_Inkunabeln+'!B158</f>
        <v>L-1492-315502975</v>
      </c>
      <c r="C158" s="63">
        <f>'II_Inkunabeln+'!C158</f>
        <v>1066972559</v>
      </c>
      <c r="D158" s="84" t="str">
        <f>'II_Inkunabeln+'!D158</f>
        <v>https://portal.dnb.de/opac.htm?method=simpleSearch&amp;cqlMode=true&amp;query=idn%3D1066972559</v>
      </c>
      <c r="E158" s="63" t="str">
        <f>'II_Inkunabeln+'!E158</f>
        <v>II 4,7f</v>
      </c>
      <c r="F158" s="63" t="str">
        <f>'II_Inkunabeln+'!H158</f>
        <v>bis 35 cm</v>
      </c>
      <c r="G158" s="93" t="str">
        <f>'II_Inkunabeln+'!AG158</f>
        <v>Pa</v>
      </c>
      <c r="H158" s="93">
        <f>'II_Inkunabeln+'!AP158</f>
        <v>0</v>
      </c>
      <c r="I158" s="93">
        <f>'II_Inkunabeln+'!AQ158</f>
        <v>0</v>
      </c>
      <c r="J158" s="94"/>
      <c r="K158" s="93">
        <f>'II_Inkunabeln+'!AW158</f>
        <v>0</v>
      </c>
      <c r="L158" s="93">
        <f>'II_Inkunabeln+'!AX158</f>
        <v>0</v>
      </c>
      <c r="AA158" s="93">
        <f>'II_Inkunabeln+'!AY158</f>
        <v>0</v>
      </c>
      <c r="AB158" s="94" t="str">
        <f>'II_Inkunabeln+'!BA158</f>
        <v>ja vor</v>
      </c>
      <c r="AC158" s="108"/>
      <c r="AD158" s="81">
        <f>'II_Inkunabeln+'!BJ158</f>
        <v>0</v>
      </c>
    </row>
    <row r="159" spans="1:30" x14ac:dyDescent="0.25">
      <c r="A159" s="63">
        <f>'II_Inkunabeln+'!A159</f>
        <v>153</v>
      </c>
      <c r="B159" s="63" t="str">
        <f>'II_Inkunabeln+'!B159</f>
        <v>L-1495-315496568</v>
      </c>
      <c r="C159" s="63">
        <f>'II_Inkunabeln+'!C159</f>
        <v>1066966273</v>
      </c>
      <c r="D159" s="84" t="str">
        <f>'II_Inkunabeln+'!D159</f>
        <v>https://portal.dnb.de/opac.htm?method=simpleSearch&amp;cqlMode=true&amp;query=idn%3D1066966273</v>
      </c>
      <c r="E159" s="63" t="str">
        <f>'II_Inkunabeln+'!E159</f>
        <v>II 4,7g</v>
      </c>
      <c r="F159" s="63" t="str">
        <f>'II_Inkunabeln+'!H159</f>
        <v>bis 35 cm</v>
      </c>
      <c r="G159" s="93" t="str">
        <f>'II_Inkunabeln+'!AG159</f>
        <v>Pa</v>
      </c>
      <c r="H159" s="93">
        <f>'II_Inkunabeln+'!AP159</f>
        <v>0</v>
      </c>
      <c r="I159" s="93">
        <f>'II_Inkunabeln+'!AQ159</f>
        <v>0</v>
      </c>
      <c r="J159" s="94"/>
      <c r="K159" s="93">
        <f>'II_Inkunabeln+'!AW159</f>
        <v>0</v>
      </c>
      <c r="L159" s="93">
        <f>'II_Inkunabeln+'!AX159</f>
        <v>0</v>
      </c>
      <c r="AA159" s="93">
        <f>'II_Inkunabeln+'!AY159</f>
        <v>0</v>
      </c>
      <c r="AB159" s="94" t="str">
        <f>'II_Inkunabeln+'!BA159</f>
        <v>ja vor</v>
      </c>
      <c r="AC159" s="108"/>
      <c r="AD159" s="81">
        <f>'II_Inkunabeln+'!BJ159</f>
        <v>0</v>
      </c>
    </row>
    <row r="160" spans="1:30" x14ac:dyDescent="0.25">
      <c r="A160" s="63">
        <f>'II_Inkunabeln+'!A160</f>
        <v>154</v>
      </c>
      <c r="B160" s="63" t="str">
        <f>'II_Inkunabeln+'!B160</f>
        <v>L-1496-315498986</v>
      </c>
      <c r="C160" s="63" t="str">
        <f>'II_Inkunabeln+'!C160</f>
        <v>106696873X</v>
      </c>
      <c r="D160" s="84" t="str">
        <f>'II_Inkunabeln+'!D160</f>
        <v>https://portal.dnb.de/opac.htm?method=simpleSearch&amp;cqlMode=true&amp;query=idn%3D106696873X</v>
      </c>
      <c r="E160" s="63" t="str">
        <f>'II_Inkunabeln+'!E160</f>
        <v>II 4,8a</v>
      </c>
      <c r="F160" s="63" t="str">
        <f>'II_Inkunabeln+'!H160</f>
        <v>bis 25 cm</v>
      </c>
      <c r="G160" s="93" t="str">
        <f>'II_Inkunabeln+'!AG160</f>
        <v>Pa</v>
      </c>
      <c r="H160" s="93">
        <f>'II_Inkunabeln+'!AP160</f>
        <v>0</v>
      </c>
      <c r="I160" s="93">
        <f>'II_Inkunabeln+'!AQ160</f>
        <v>0</v>
      </c>
      <c r="J160" s="94"/>
      <c r="K160" s="93">
        <f>'II_Inkunabeln+'!AW160</f>
        <v>0</v>
      </c>
      <c r="L160" s="93">
        <f>'II_Inkunabeln+'!AX160</f>
        <v>0</v>
      </c>
      <c r="AA160" s="93">
        <f>'II_Inkunabeln+'!AY160</f>
        <v>0</v>
      </c>
      <c r="AB160" s="94" t="str">
        <f>'II_Inkunabeln+'!BA160</f>
        <v>ja vor</v>
      </c>
      <c r="AC160" s="108"/>
      <c r="AD160" s="81">
        <f>'II_Inkunabeln+'!BJ160</f>
        <v>0</v>
      </c>
    </row>
    <row r="161" spans="1:30" x14ac:dyDescent="0.25">
      <c r="A161" s="63">
        <f>'II_Inkunabeln+'!A161</f>
        <v>155</v>
      </c>
      <c r="B161" s="63" t="str">
        <f>'II_Inkunabeln+'!B161</f>
        <v>L-1496-315498897</v>
      </c>
      <c r="C161" s="63">
        <f>'II_Inkunabeln+'!C161</f>
        <v>1066968632</v>
      </c>
      <c r="D161" s="84" t="str">
        <f>'II_Inkunabeln+'!D161</f>
        <v>https://portal.dnb.de/opac.htm?method=simpleSearch&amp;cqlMode=true&amp;query=idn%3D1066968632</v>
      </c>
      <c r="E161" s="63" t="str">
        <f>'II_Inkunabeln+'!E161</f>
        <v>II 4,8c</v>
      </c>
      <c r="F161" s="63" t="str">
        <f>'II_Inkunabeln+'!H161</f>
        <v>bis 25 cm</v>
      </c>
      <c r="G161" s="93" t="str">
        <f>'II_Inkunabeln+'!AG161</f>
        <v>Pa</v>
      </c>
      <c r="H161" s="93">
        <f>'II_Inkunabeln+'!AP161</f>
        <v>0</v>
      </c>
      <c r="I161" s="93">
        <f>'II_Inkunabeln+'!AQ161</f>
        <v>0</v>
      </c>
      <c r="J161" s="94"/>
      <c r="K161" s="93">
        <f>'II_Inkunabeln+'!AW161</f>
        <v>0</v>
      </c>
      <c r="L161" s="93">
        <f>'II_Inkunabeln+'!AX161</f>
        <v>0</v>
      </c>
      <c r="AA161" s="93">
        <f>'II_Inkunabeln+'!AY161</f>
        <v>0</v>
      </c>
      <c r="AB161" s="94" t="str">
        <f>'II_Inkunabeln+'!BA161</f>
        <v>n</v>
      </c>
      <c r="AC161" s="108"/>
      <c r="AD161" s="81" t="str">
        <f>'II_Inkunabeln+'!BJ161</f>
        <v>Kleimmeinband liegt der Kassette bei</v>
      </c>
    </row>
    <row r="162" spans="1:30" x14ac:dyDescent="0.25">
      <c r="A162" s="63">
        <f>'II_Inkunabeln+'!A162</f>
        <v>156</v>
      </c>
      <c r="B162" s="63" t="str">
        <f>'II_Inkunabeln+'!B162</f>
        <v>L-1490-315502339</v>
      </c>
      <c r="C162" s="63">
        <f>'II_Inkunabeln+'!C162</f>
        <v>1066971935</v>
      </c>
      <c r="D162" s="84" t="str">
        <f>'II_Inkunabeln+'!D162</f>
        <v>https://portal.dnb.de/opac.htm?method=simpleSearch&amp;cqlMode=true&amp;query=idn%3D1066971935</v>
      </c>
      <c r="E162" s="63" t="str">
        <f>'II_Inkunabeln+'!E162</f>
        <v>II 4,8d</v>
      </c>
      <c r="F162" s="63" t="str">
        <f>'II_Inkunabeln+'!H162</f>
        <v>bis 25 cm</v>
      </c>
      <c r="G162" s="93" t="str">
        <f>'II_Inkunabeln+'!AG162</f>
        <v>Pa</v>
      </c>
      <c r="H162" s="93">
        <f>'II_Inkunabeln+'!AP162</f>
        <v>0</v>
      </c>
      <c r="I162" s="93">
        <f>'II_Inkunabeln+'!AQ162</f>
        <v>0</v>
      </c>
      <c r="J162" s="94"/>
      <c r="K162" s="93">
        <f>'II_Inkunabeln+'!AW162</f>
        <v>0</v>
      </c>
      <c r="L162" s="93">
        <f>'II_Inkunabeln+'!AX162</f>
        <v>0</v>
      </c>
      <c r="AA162" s="93">
        <f>'II_Inkunabeln+'!AY162</f>
        <v>0</v>
      </c>
      <c r="AB162" s="94" t="str">
        <f>'II_Inkunabeln+'!BA162</f>
        <v>n</v>
      </c>
      <c r="AC162" s="108"/>
      <c r="AD162" s="81">
        <f>'II_Inkunabeln+'!BJ162</f>
        <v>0</v>
      </c>
    </row>
    <row r="163" spans="1:30" x14ac:dyDescent="0.25">
      <c r="A163" s="63">
        <f>'II_Inkunabeln+'!A163</f>
        <v>157</v>
      </c>
      <c r="B163" s="63" t="str">
        <f>'II_Inkunabeln+'!B163</f>
        <v>L-1495-315496983</v>
      </c>
      <c r="C163" s="63">
        <f>'II_Inkunabeln+'!C163</f>
        <v>1066966680</v>
      </c>
      <c r="D163" s="84" t="str">
        <f>'II_Inkunabeln+'!D163</f>
        <v>https://portal.dnb.de/opac.htm?method=simpleSearch&amp;cqlMode=true&amp;query=idn%3D1066966680</v>
      </c>
      <c r="E163" s="63" t="str">
        <f>'II_Inkunabeln+'!E163</f>
        <v>II 4,9a</v>
      </c>
      <c r="F163" s="63" t="str">
        <f>'II_Inkunabeln+'!H163</f>
        <v>bis 25 cm</v>
      </c>
      <c r="G163" s="93" t="str">
        <f>'II_Inkunabeln+'!AG163</f>
        <v>Pa</v>
      </c>
      <c r="H163" s="93">
        <f>'II_Inkunabeln+'!AP163</f>
        <v>0</v>
      </c>
      <c r="I163" s="93">
        <f>'II_Inkunabeln+'!AQ163</f>
        <v>0</v>
      </c>
      <c r="J163" s="94"/>
      <c r="K163" s="93">
        <f>'II_Inkunabeln+'!AW163</f>
        <v>0</v>
      </c>
      <c r="L163" s="93">
        <f>'II_Inkunabeln+'!AX163</f>
        <v>0</v>
      </c>
      <c r="AA163" s="93">
        <f>'II_Inkunabeln+'!AY163</f>
        <v>0</v>
      </c>
      <c r="AB163" s="94" t="str">
        <f>'II_Inkunabeln+'!BA163</f>
        <v>ja vor</v>
      </c>
      <c r="AC163" s="108"/>
      <c r="AD163" s="81">
        <f>'II_Inkunabeln+'!BJ163</f>
        <v>0</v>
      </c>
    </row>
    <row r="164" spans="1:30" x14ac:dyDescent="0.25">
      <c r="A164" s="63">
        <f>'II_Inkunabeln+'!A164</f>
        <v>158</v>
      </c>
      <c r="B164" s="63" t="str">
        <f>'II_Inkunabeln+'!B164</f>
        <v>L-1499-315500395</v>
      </c>
      <c r="C164" s="63">
        <f>'II_Inkunabeln+'!C164</f>
        <v>1066970041</v>
      </c>
      <c r="D164" s="84" t="str">
        <f>'II_Inkunabeln+'!D164</f>
        <v>https://portal.dnb.de/opac.htm?method=simpleSearch&amp;cqlMode=true&amp;query=idn%3D1066970041</v>
      </c>
      <c r="E164" s="63" t="str">
        <f>'II_Inkunabeln+'!E164</f>
        <v>II 4,9b</v>
      </c>
      <c r="F164" s="63" t="str">
        <f>'II_Inkunabeln+'!H164</f>
        <v>bis 25 cm</v>
      </c>
      <c r="G164" s="93" t="str">
        <f>'II_Inkunabeln+'!AG164</f>
        <v>Pa</v>
      </c>
      <c r="H164" s="93">
        <f>'II_Inkunabeln+'!AP164</f>
        <v>0</v>
      </c>
      <c r="I164" s="93">
        <f>'II_Inkunabeln+'!AQ164</f>
        <v>0</v>
      </c>
      <c r="J164" s="94"/>
      <c r="K164" s="93">
        <f>'II_Inkunabeln+'!AW164</f>
        <v>0</v>
      </c>
      <c r="L164" s="93">
        <f>'II_Inkunabeln+'!AX164</f>
        <v>0</v>
      </c>
      <c r="AA164" s="93">
        <f>'II_Inkunabeln+'!AY164</f>
        <v>0</v>
      </c>
      <c r="AB164" s="94" t="str">
        <f>'II_Inkunabeln+'!BA164</f>
        <v>ja vor</v>
      </c>
      <c r="AC164" s="108"/>
      <c r="AD164" s="81">
        <f>'II_Inkunabeln+'!BJ164</f>
        <v>0</v>
      </c>
    </row>
    <row r="165" spans="1:30" x14ac:dyDescent="0.25">
      <c r="A165" s="63">
        <f>'II_Inkunabeln+'!A165</f>
        <v>0</v>
      </c>
      <c r="B165" s="63">
        <f>'II_Inkunabeln+'!B165</f>
        <v>0</v>
      </c>
      <c r="C165" s="63">
        <f>'II_Inkunabeln+'!C165</f>
        <v>0</v>
      </c>
      <c r="D165" s="84">
        <f>'II_Inkunabeln+'!D165</f>
        <v>0</v>
      </c>
      <c r="E165" s="63" t="str">
        <f>'II_Inkunabeln+'!E165</f>
        <v>II 4,9c</v>
      </c>
      <c r="F165" s="63" t="str">
        <f>'II_Inkunabeln+'!H165</f>
        <v>bis 35 cm</v>
      </c>
      <c r="G165" s="93">
        <f>'II_Inkunabeln+'!AG165</f>
        <v>0</v>
      </c>
      <c r="H165" s="93">
        <f>'II_Inkunabeln+'!AP165</f>
        <v>0</v>
      </c>
      <c r="I165" s="93">
        <f>'II_Inkunabeln+'!AQ165</f>
        <v>0</v>
      </c>
      <c r="J165" s="94"/>
      <c r="K165" s="93">
        <f>'II_Inkunabeln+'!AW165</f>
        <v>0</v>
      </c>
      <c r="L165" s="93">
        <f>'II_Inkunabeln+'!AX165</f>
        <v>0</v>
      </c>
      <c r="AA165" s="93">
        <f>'II_Inkunabeln+'!AY165</f>
        <v>0</v>
      </c>
      <c r="AB165" s="94">
        <f>'II_Inkunabeln+'!BA165</f>
        <v>0</v>
      </c>
      <c r="AC165" s="108"/>
      <c r="AD165" s="81">
        <f>'II_Inkunabeln+'!BJ165</f>
        <v>0</v>
      </c>
    </row>
    <row r="166" spans="1:30" x14ac:dyDescent="0.25">
      <c r="A166" s="63">
        <f>'II_Inkunabeln+'!A166</f>
        <v>159</v>
      </c>
      <c r="B166" s="63" t="str">
        <f>'II_Inkunabeln+'!B166</f>
        <v>L-1497-315501030</v>
      </c>
      <c r="C166" s="63">
        <f>'II_Inkunabeln+'!C166</f>
        <v>1066970688</v>
      </c>
      <c r="D166" s="84" t="str">
        <f>'II_Inkunabeln+'!D166</f>
        <v>https://portal.dnb.de/opac.htm?method=simpleSearch&amp;cqlMode=true&amp;query=idn%3D1066970688</v>
      </c>
      <c r="E166" s="63" t="str">
        <f>'II_Inkunabeln+'!E166</f>
        <v>II 4,10a</v>
      </c>
      <c r="F166" s="63" t="str">
        <f>'II_Inkunabeln+'!H166</f>
        <v>bis 35 cm</v>
      </c>
      <c r="G166" s="93">
        <f>'II_Inkunabeln+'!AG166</f>
        <v>0</v>
      </c>
      <c r="H166" s="93">
        <f>'II_Inkunabeln+'!AP166</f>
        <v>0</v>
      </c>
      <c r="I166" s="93">
        <f>'II_Inkunabeln+'!AQ166</f>
        <v>0</v>
      </c>
      <c r="J166" s="94"/>
      <c r="K166" s="93">
        <f>'II_Inkunabeln+'!AW166</f>
        <v>0</v>
      </c>
      <c r="L166" s="93">
        <f>'II_Inkunabeln+'!AX166</f>
        <v>0</v>
      </c>
      <c r="AA166" s="93">
        <f>'II_Inkunabeln+'!AY166</f>
        <v>0</v>
      </c>
      <c r="AB166" s="94">
        <f>'II_Inkunabeln+'!BA166</f>
        <v>0</v>
      </c>
      <c r="AC166" s="108"/>
      <c r="AD166" s="81">
        <f>'II_Inkunabeln+'!BJ166</f>
        <v>0</v>
      </c>
    </row>
    <row r="167" spans="1:30" x14ac:dyDescent="0.25">
      <c r="A167" s="63">
        <f>'II_Inkunabeln+'!A167</f>
        <v>0</v>
      </c>
      <c r="B167" s="63">
        <f>'II_Inkunabeln+'!B167</f>
        <v>0</v>
      </c>
      <c r="C167" s="63">
        <f>'II_Inkunabeln+'!C167</f>
        <v>0</v>
      </c>
      <c r="D167" s="84">
        <f>'II_Inkunabeln+'!D167</f>
        <v>0</v>
      </c>
      <c r="E167" s="63" t="str">
        <f>'II_Inkunabeln+'!E167</f>
        <v>II 4,10b</v>
      </c>
      <c r="F167" s="63" t="str">
        <f>'II_Inkunabeln+'!H167</f>
        <v>bis 35 cm</v>
      </c>
      <c r="G167" s="93">
        <f>'II_Inkunabeln+'!AG167</f>
        <v>0</v>
      </c>
      <c r="H167" s="93">
        <f>'II_Inkunabeln+'!AP167</f>
        <v>0</v>
      </c>
      <c r="I167" s="93">
        <f>'II_Inkunabeln+'!AQ167</f>
        <v>0</v>
      </c>
      <c r="J167" s="94"/>
      <c r="K167" s="93">
        <f>'II_Inkunabeln+'!AW167</f>
        <v>0</v>
      </c>
      <c r="L167" s="93">
        <f>'II_Inkunabeln+'!AX167</f>
        <v>0</v>
      </c>
      <c r="AA167" s="93">
        <f>'II_Inkunabeln+'!AY167</f>
        <v>0</v>
      </c>
      <c r="AB167" s="94">
        <f>'II_Inkunabeln+'!BA167</f>
        <v>0</v>
      </c>
      <c r="AC167" s="108"/>
      <c r="AD167" s="81">
        <f>'II_Inkunabeln+'!BJ167</f>
        <v>0</v>
      </c>
    </row>
    <row r="168" spans="1:30" x14ac:dyDescent="0.25">
      <c r="A168" s="63">
        <f>'II_Inkunabeln+'!A168</f>
        <v>160</v>
      </c>
      <c r="B168" s="63" t="str">
        <f>'II_Inkunabeln+'!B168</f>
        <v>L-1497-315497432</v>
      </c>
      <c r="C168" s="63">
        <f>'II_Inkunabeln+'!C168</f>
        <v>1066967172</v>
      </c>
      <c r="D168" s="84" t="str">
        <f>'II_Inkunabeln+'!D168</f>
        <v>https://portal.dnb.de/opac.htm?method=simpleSearch&amp;cqlMode=true&amp;query=idn%3D1066967172</v>
      </c>
      <c r="E168" s="63" t="str">
        <f>'II_Inkunabeln+'!E168</f>
        <v>II 4,10c</v>
      </c>
      <c r="F168" s="63" t="str">
        <f>'II_Inkunabeln+'!H168</f>
        <v>bis 25 cm</v>
      </c>
      <c r="G168" s="93">
        <f>'II_Inkunabeln+'!AG168</f>
        <v>0</v>
      </c>
      <c r="H168" s="93">
        <f>'II_Inkunabeln+'!AP168</f>
        <v>0</v>
      </c>
      <c r="I168" s="93">
        <f>'II_Inkunabeln+'!AQ168</f>
        <v>0</v>
      </c>
      <c r="J168" s="94"/>
      <c r="K168" s="93">
        <f>'II_Inkunabeln+'!AW168</f>
        <v>0</v>
      </c>
      <c r="L168" s="93">
        <f>'II_Inkunabeln+'!AX168</f>
        <v>0</v>
      </c>
      <c r="AA168" s="93">
        <f>'II_Inkunabeln+'!AY168</f>
        <v>0</v>
      </c>
      <c r="AB168" s="94">
        <f>'II_Inkunabeln+'!BA168</f>
        <v>0</v>
      </c>
      <c r="AC168" s="108"/>
      <c r="AD168" s="81">
        <f>'II_Inkunabeln+'!BJ168</f>
        <v>0</v>
      </c>
    </row>
    <row r="169" spans="1:30" x14ac:dyDescent="0.25">
      <c r="A169" s="63">
        <f>'II_Inkunabeln+'!A169</f>
        <v>161</v>
      </c>
      <c r="B169" s="63" t="str">
        <f>'II_Inkunabeln+'!B169</f>
        <v>L-1475-315500026</v>
      </c>
      <c r="C169" s="63" t="str">
        <f>'II_Inkunabeln+'!C169</f>
        <v>106696968X</v>
      </c>
      <c r="D169" s="84" t="str">
        <f>'II_Inkunabeln+'!D169</f>
        <v>https://portal.dnb.de/opac.htm?method=simpleSearch&amp;cqlMode=true&amp;query=idn%3D106696968X</v>
      </c>
      <c r="E169" s="63" t="str">
        <f>'II_Inkunabeln+'!E169</f>
        <v>II 6,1a</v>
      </c>
      <c r="F169" s="63" t="str">
        <f>'II_Inkunabeln+'!H169</f>
        <v>bis 35 cm</v>
      </c>
      <c r="G169" s="93">
        <f>'II_Inkunabeln+'!AG169</f>
        <v>0</v>
      </c>
      <c r="H169" s="93">
        <f>'II_Inkunabeln+'!AP169</f>
        <v>0</v>
      </c>
      <c r="I169" s="93">
        <f>'II_Inkunabeln+'!AQ169</f>
        <v>0</v>
      </c>
      <c r="J169" s="94"/>
      <c r="K169" s="93">
        <f>'II_Inkunabeln+'!AW169</f>
        <v>0</v>
      </c>
      <c r="L169" s="93">
        <f>'II_Inkunabeln+'!AX169</f>
        <v>0</v>
      </c>
      <c r="AA169" s="93">
        <f>'II_Inkunabeln+'!AY169</f>
        <v>0</v>
      </c>
      <c r="AB169" s="94">
        <f>'II_Inkunabeln+'!BA169</f>
        <v>0</v>
      </c>
      <c r="AC169" s="108"/>
      <c r="AD169" s="81">
        <f>'II_Inkunabeln+'!BJ169</f>
        <v>0</v>
      </c>
    </row>
    <row r="170" spans="1:30" x14ac:dyDescent="0.25">
      <c r="A170" s="63">
        <f>'II_Inkunabeln+'!A170</f>
        <v>162</v>
      </c>
      <c r="B170" s="63" t="str">
        <f>'II_Inkunabeln+'!B170</f>
        <v>L-1477-315503505</v>
      </c>
      <c r="C170" s="63">
        <f>'II_Inkunabeln+'!C170</f>
        <v>1066973121</v>
      </c>
      <c r="D170" s="84" t="str">
        <f>'II_Inkunabeln+'!D170</f>
        <v>https://portal.dnb.de/opac.htm?method=simpleSearch&amp;cqlMode=true&amp;query=idn%3D1066973121</v>
      </c>
      <c r="E170" s="63" t="str">
        <f>'II_Inkunabeln+'!E170</f>
        <v>II 6,1b</v>
      </c>
      <c r="F170" s="63" t="str">
        <f>'II_Inkunabeln+'!H170</f>
        <v>bis 35 cm</v>
      </c>
      <c r="G170" s="93">
        <f>'II_Inkunabeln+'!AG170</f>
        <v>0</v>
      </c>
      <c r="H170" s="93">
        <f>'II_Inkunabeln+'!AP170</f>
        <v>0</v>
      </c>
      <c r="I170" s="93">
        <f>'II_Inkunabeln+'!AQ170</f>
        <v>0</v>
      </c>
      <c r="J170" s="94"/>
      <c r="K170" s="93">
        <f>'II_Inkunabeln+'!AW170</f>
        <v>0</v>
      </c>
      <c r="L170" s="93">
        <f>'II_Inkunabeln+'!AX170</f>
        <v>0</v>
      </c>
      <c r="AA170" s="93">
        <f>'II_Inkunabeln+'!AY170</f>
        <v>0</v>
      </c>
      <c r="AB170" s="94">
        <f>'II_Inkunabeln+'!BA170</f>
        <v>0</v>
      </c>
      <c r="AC170" s="108"/>
      <c r="AD170" s="81">
        <f>'II_Inkunabeln+'!BJ170</f>
        <v>0</v>
      </c>
    </row>
    <row r="171" spans="1:30" x14ac:dyDescent="0.25">
      <c r="A171" s="63">
        <f>'II_Inkunabeln+'!A171</f>
        <v>163</v>
      </c>
      <c r="B171" s="63" t="str">
        <f>'II_Inkunabeln+'!B171</f>
        <v>L-1477-315503513</v>
      </c>
      <c r="C171" s="63">
        <f>'II_Inkunabeln+'!C171</f>
        <v>1066973121</v>
      </c>
      <c r="D171" s="84" t="str">
        <f>'II_Inkunabeln+'!D171</f>
        <v>https://portal.dnb.de/opac.htm?method=simpleSearch&amp;cqlMode=true&amp;query=idn%3D1066973121</v>
      </c>
      <c r="E171" s="63" t="str">
        <f>'II_Inkunabeln+'!E171</f>
        <v>II 6,1ba - Fragm.</v>
      </c>
      <c r="F171" s="63">
        <f>'II_Inkunabeln+'!H171</f>
        <v>0</v>
      </c>
      <c r="G171" s="93">
        <f>'II_Inkunabeln+'!AG171</f>
        <v>0</v>
      </c>
      <c r="H171" s="93">
        <f>'II_Inkunabeln+'!AP171</f>
        <v>0</v>
      </c>
      <c r="I171" s="93">
        <f>'II_Inkunabeln+'!AQ171</f>
        <v>0</v>
      </c>
      <c r="J171" s="94"/>
      <c r="K171" s="93">
        <f>'II_Inkunabeln+'!AW171</f>
        <v>0</v>
      </c>
      <c r="L171" s="93">
        <f>'II_Inkunabeln+'!AX171</f>
        <v>0</v>
      </c>
      <c r="AA171" s="93">
        <f>'II_Inkunabeln+'!AY171</f>
        <v>0</v>
      </c>
      <c r="AB171" s="94">
        <f>'II_Inkunabeln+'!BA171</f>
        <v>0</v>
      </c>
      <c r="AC171" s="108"/>
      <c r="AD171" s="81">
        <f>'II_Inkunabeln+'!BJ171</f>
        <v>0</v>
      </c>
    </row>
    <row r="172" spans="1:30" x14ac:dyDescent="0.25">
      <c r="A172" s="63">
        <f>'II_Inkunabeln+'!A172</f>
        <v>164</v>
      </c>
      <c r="B172" s="63" t="str">
        <f>'II_Inkunabeln+'!B172</f>
        <v>L-1474-326853480</v>
      </c>
      <c r="C172" s="63">
        <f>'II_Inkunabeln+'!C172</f>
        <v>1072054698</v>
      </c>
      <c r="D172" s="84" t="str">
        <f>'II_Inkunabeln+'!D172</f>
        <v>https://portal.dnb.de/opac.htm?method=simpleSearch&amp;cqlMode=true&amp;query=idn%3D1072054698</v>
      </c>
      <c r="E172" s="63" t="str">
        <f>'II_Inkunabeln+'!E172</f>
        <v>II 7,1a</v>
      </c>
      <c r="F172" s="63" t="str">
        <f>'II_Inkunabeln+'!H172</f>
        <v>bis 25 cm</v>
      </c>
      <c r="G172" s="93">
        <f>'II_Inkunabeln+'!AG172</f>
        <v>0</v>
      </c>
      <c r="H172" s="93">
        <f>'II_Inkunabeln+'!AP172</f>
        <v>0</v>
      </c>
      <c r="I172" s="93">
        <f>'II_Inkunabeln+'!AQ172</f>
        <v>0</v>
      </c>
      <c r="J172" s="94"/>
      <c r="K172" s="93">
        <f>'II_Inkunabeln+'!AW172</f>
        <v>0</v>
      </c>
      <c r="L172" s="93">
        <f>'II_Inkunabeln+'!AX172</f>
        <v>0</v>
      </c>
      <c r="AA172" s="93">
        <f>'II_Inkunabeln+'!AY172</f>
        <v>0</v>
      </c>
      <c r="AB172" s="94">
        <f>'II_Inkunabeln+'!BA172</f>
        <v>0</v>
      </c>
      <c r="AC172" s="108"/>
      <c r="AD172" s="81">
        <f>'II_Inkunabeln+'!BJ172</f>
        <v>0</v>
      </c>
    </row>
    <row r="173" spans="1:30" x14ac:dyDescent="0.25">
      <c r="A173" s="63">
        <f>'II_Inkunabeln+'!A173</f>
        <v>165</v>
      </c>
      <c r="B173" s="63" t="str">
        <f>'II_Inkunabeln+'!B173</f>
        <v>L-1467-315496061</v>
      </c>
      <c r="C173" s="63">
        <f>'II_Inkunabeln+'!C173</f>
        <v>1066965811</v>
      </c>
      <c r="D173" s="84" t="str">
        <f>'II_Inkunabeln+'!D173</f>
        <v>https://portal.dnb.de/opac.htm?method=simpleSearch&amp;cqlMode=true&amp;query=idn%3D1066965811</v>
      </c>
      <c r="E173" s="63" t="str">
        <f>'II_Inkunabeln+'!E173</f>
        <v>II 8,1a</v>
      </c>
      <c r="F173" s="63" t="str">
        <f>'II_Inkunabeln+'!H173</f>
        <v>bis 25 cm</v>
      </c>
      <c r="G173" s="93">
        <f>'II_Inkunabeln+'!AG173</f>
        <v>0</v>
      </c>
      <c r="H173" s="93">
        <f>'II_Inkunabeln+'!AP173</f>
        <v>0</v>
      </c>
      <c r="I173" s="93">
        <f>'II_Inkunabeln+'!AQ173</f>
        <v>0</v>
      </c>
      <c r="J173" s="94"/>
      <c r="K173" s="93">
        <f>'II_Inkunabeln+'!AW173</f>
        <v>0</v>
      </c>
      <c r="L173" s="93">
        <f>'II_Inkunabeln+'!AX173</f>
        <v>0</v>
      </c>
      <c r="AA173" s="93">
        <f>'II_Inkunabeln+'!AY173</f>
        <v>0</v>
      </c>
      <c r="AB173" s="94">
        <f>'II_Inkunabeln+'!BA173</f>
        <v>0</v>
      </c>
      <c r="AC173" s="108"/>
      <c r="AD173" s="81">
        <f>'II_Inkunabeln+'!BJ173</f>
        <v>0</v>
      </c>
    </row>
    <row r="174" spans="1:30" x14ac:dyDescent="0.25">
      <c r="A174" s="63">
        <f>'II_Inkunabeln+'!A174</f>
        <v>166</v>
      </c>
      <c r="B174" s="63" t="str">
        <f>'II_Inkunabeln+'!B174</f>
        <v>L-1477-31549509X</v>
      </c>
      <c r="C174" s="63">
        <f>'II_Inkunabeln+'!C174</f>
        <v>1066964939</v>
      </c>
      <c r="D174" s="84" t="str">
        <f>'II_Inkunabeln+'!D174</f>
        <v>https://portal.dnb.de/opac.htm?method=simpleSearch&amp;cqlMode=true&amp;query=idn%3D1066964939</v>
      </c>
      <c r="E174" s="63" t="str">
        <f>'II_Inkunabeln+'!E174</f>
        <v>II 8,1b</v>
      </c>
      <c r="F174" s="63" t="str">
        <f>'II_Inkunabeln+'!H174</f>
        <v>bis 35 cm</v>
      </c>
      <c r="G174" s="93">
        <f>'II_Inkunabeln+'!AG174</f>
        <v>0</v>
      </c>
      <c r="H174" s="93">
        <f>'II_Inkunabeln+'!AP174</f>
        <v>0</v>
      </c>
      <c r="I174" s="93">
        <f>'II_Inkunabeln+'!AQ174</f>
        <v>0</v>
      </c>
      <c r="J174" s="94"/>
      <c r="K174" s="93">
        <f>'II_Inkunabeln+'!AW174</f>
        <v>0</v>
      </c>
      <c r="L174" s="93">
        <f>'II_Inkunabeln+'!AX174</f>
        <v>0</v>
      </c>
      <c r="AA174" s="93">
        <f>'II_Inkunabeln+'!AY174</f>
        <v>0</v>
      </c>
      <c r="AB174" s="94">
        <f>'II_Inkunabeln+'!BA174</f>
        <v>0</v>
      </c>
      <c r="AC174" s="108"/>
      <c r="AD174" s="81">
        <f>'II_Inkunabeln+'!BJ174</f>
        <v>0</v>
      </c>
    </row>
    <row r="175" spans="1:30" x14ac:dyDescent="0.25">
      <c r="A175" s="63">
        <f>'II_Inkunabeln+'!A175</f>
        <v>167</v>
      </c>
      <c r="B175" s="63" t="str">
        <f>'II_Inkunabeln+'!B175</f>
        <v>L-1482-315499265</v>
      </c>
      <c r="C175" s="63">
        <f>'II_Inkunabeln+'!C175</f>
        <v>1066968993</v>
      </c>
      <c r="D175" s="84" t="str">
        <f>'II_Inkunabeln+'!D175</f>
        <v>https://portal.dnb.de/opac.htm?method=simpleSearch&amp;cqlMode=true&amp;query=idn%3D1066968993</v>
      </c>
      <c r="E175" s="63" t="str">
        <f>'II_Inkunabeln+'!E175</f>
        <v>II 8,1c</v>
      </c>
      <c r="F175" s="63" t="str">
        <f>'II_Inkunabeln+'!H175</f>
        <v>bis 35 cm</v>
      </c>
      <c r="G175" s="93">
        <f>'II_Inkunabeln+'!AG175</f>
        <v>0</v>
      </c>
      <c r="H175" s="93">
        <f>'II_Inkunabeln+'!AP175</f>
        <v>0</v>
      </c>
      <c r="I175" s="93">
        <f>'II_Inkunabeln+'!AQ175</f>
        <v>0</v>
      </c>
      <c r="J175" s="94"/>
      <c r="K175" s="93">
        <f>'II_Inkunabeln+'!AW175</f>
        <v>0</v>
      </c>
      <c r="L175" s="93">
        <f>'II_Inkunabeln+'!AX175</f>
        <v>0</v>
      </c>
      <c r="AA175" s="93">
        <f>'II_Inkunabeln+'!AY175</f>
        <v>0</v>
      </c>
      <c r="AB175" s="94">
        <f>'II_Inkunabeln+'!BA175</f>
        <v>0</v>
      </c>
      <c r="AC175" s="108"/>
      <c r="AD175" s="81">
        <f>'II_Inkunabeln+'!BJ175</f>
        <v>0</v>
      </c>
    </row>
    <row r="176" spans="1:30" x14ac:dyDescent="0.25">
      <c r="A176" s="63">
        <f>'II_Inkunabeln+'!A176</f>
        <v>168</v>
      </c>
      <c r="B176" s="63" t="str">
        <f>'II_Inkunabeln+'!B176</f>
        <v>L-1473-315495227</v>
      </c>
      <c r="C176" s="63">
        <f>'II_Inkunabeln+'!C176</f>
        <v>1066965080</v>
      </c>
      <c r="D176" s="84" t="str">
        <f>'II_Inkunabeln+'!D176</f>
        <v>https://portal.dnb.de/opac.htm?method=simpleSearch&amp;cqlMode=true&amp;query=idn%3D1066965080</v>
      </c>
      <c r="E176" s="63" t="str">
        <f>'II_Inkunabeln+'!E176</f>
        <v>II 8,1d</v>
      </c>
      <c r="F176" s="63" t="str">
        <f>'II_Inkunabeln+'!H176</f>
        <v>bis 25 cm</v>
      </c>
      <c r="G176" s="93">
        <f>'II_Inkunabeln+'!AG176</f>
        <v>0</v>
      </c>
      <c r="H176" s="93">
        <f>'II_Inkunabeln+'!AP176</f>
        <v>0</v>
      </c>
      <c r="I176" s="93">
        <f>'II_Inkunabeln+'!AQ176</f>
        <v>0</v>
      </c>
      <c r="J176" s="94"/>
      <c r="K176" s="93">
        <f>'II_Inkunabeln+'!AW176</f>
        <v>0</v>
      </c>
      <c r="L176" s="93">
        <f>'II_Inkunabeln+'!AX176</f>
        <v>0</v>
      </c>
      <c r="AA176" s="93">
        <f>'II_Inkunabeln+'!AY176</f>
        <v>0</v>
      </c>
      <c r="AB176" s="94">
        <f>'II_Inkunabeln+'!BA176</f>
        <v>0</v>
      </c>
      <c r="AC176" s="108"/>
      <c r="AD176" s="81">
        <f>'II_Inkunabeln+'!BJ176</f>
        <v>0</v>
      </c>
    </row>
    <row r="177" spans="1:30" x14ac:dyDescent="0.25">
      <c r="A177" s="63">
        <f>'II_Inkunabeln+'!A177</f>
        <v>169</v>
      </c>
      <c r="B177" s="63" t="str">
        <f>'II_Inkunabeln+'!B177</f>
        <v>L-1470-315496525</v>
      </c>
      <c r="C177" s="63">
        <f>'II_Inkunabeln+'!C177</f>
        <v>1066966230</v>
      </c>
      <c r="D177" s="84" t="str">
        <f>'II_Inkunabeln+'!D177</f>
        <v>https://portal.dnb.de/opac.htm?method=simpleSearch&amp;cqlMode=true&amp;query=idn%3D1066966230</v>
      </c>
      <c r="E177" s="63" t="str">
        <f>'II_Inkunabeln+'!E177</f>
        <v>II 8,1e</v>
      </c>
      <c r="F177" s="63" t="str">
        <f>'II_Inkunabeln+'!H177</f>
        <v>bis 25 cm</v>
      </c>
      <c r="G177" s="93">
        <f>'II_Inkunabeln+'!AG177</f>
        <v>0</v>
      </c>
      <c r="H177" s="93">
        <f>'II_Inkunabeln+'!AP177</f>
        <v>0</v>
      </c>
      <c r="I177" s="93">
        <f>'II_Inkunabeln+'!AQ177</f>
        <v>0</v>
      </c>
      <c r="J177" s="94"/>
      <c r="K177" s="93">
        <f>'II_Inkunabeln+'!AW177</f>
        <v>0</v>
      </c>
      <c r="L177" s="93">
        <f>'II_Inkunabeln+'!AX177</f>
        <v>0</v>
      </c>
      <c r="AA177" s="93">
        <f>'II_Inkunabeln+'!AY177</f>
        <v>0</v>
      </c>
      <c r="AB177" s="94">
        <f>'II_Inkunabeln+'!BA177</f>
        <v>0</v>
      </c>
      <c r="AC177" s="108"/>
      <c r="AD177" s="81">
        <f>'II_Inkunabeln+'!BJ177</f>
        <v>0</v>
      </c>
    </row>
    <row r="178" spans="1:30" x14ac:dyDescent="0.25">
      <c r="A178" s="63">
        <f>'II_Inkunabeln+'!A178</f>
        <v>170</v>
      </c>
      <c r="B178" s="63" t="str">
        <f>'II_Inkunabeln+'!B178</f>
        <v>L-1473-315496606</v>
      </c>
      <c r="C178" s="63" t="str">
        <f>'II_Inkunabeln+'!C178</f>
        <v>106696632X</v>
      </c>
      <c r="D178" s="84" t="str">
        <f>'II_Inkunabeln+'!D178</f>
        <v>https://portal.dnb.de/opac.htm?method=simpleSearch&amp;cqlMode=true&amp;query=idn%3D106696632X</v>
      </c>
      <c r="E178" s="63" t="str">
        <f>'II_Inkunabeln+'!E178</f>
        <v>II 8,1f</v>
      </c>
      <c r="F178" s="63" t="str">
        <f>'II_Inkunabeln+'!H178</f>
        <v>bis 25 cm</v>
      </c>
      <c r="G178" s="93">
        <f>'II_Inkunabeln+'!AG178</f>
        <v>0</v>
      </c>
      <c r="H178" s="93">
        <f>'II_Inkunabeln+'!AP178</f>
        <v>0</v>
      </c>
      <c r="I178" s="93">
        <f>'II_Inkunabeln+'!AQ178</f>
        <v>0</v>
      </c>
      <c r="J178" s="94"/>
      <c r="K178" s="93">
        <f>'II_Inkunabeln+'!AW178</f>
        <v>0</v>
      </c>
      <c r="L178" s="93">
        <f>'II_Inkunabeln+'!AX178</f>
        <v>0</v>
      </c>
      <c r="AA178" s="93">
        <f>'II_Inkunabeln+'!AY178</f>
        <v>0</v>
      </c>
      <c r="AB178" s="94">
        <f>'II_Inkunabeln+'!BA178</f>
        <v>0</v>
      </c>
      <c r="AC178" s="108"/>
      <c r="AD178" s="81">
        <f>'II_Inkunabeln+'!BJ178</f>
        <v>0</v>
      </c>
    </row>
    <row r="179" spans="1:30" x14ac:dyDescent="0.25">
      <c r="A179" s="63">
        <f>'II_Inkunabeln+'!A179</f>
        <v>171</v>
      </c>
      <c r="B179" s="63" t="str">
        <f>'II_Inkunabeln+'!B179</f>
        <v>L-1472-31549865X</v>
      </c>
      <c r="C179" s="63">
        <f>'II_Inkunabeln+'!C179</f>
        <v>1066968403</v>
      </c>
      <c r="D179" s="84" t="str">
        <f>'II_Inkunabeln+'!D179</f>
        <v>https://portal.dnb.de/opac.htm?method=simpleSearch&amp;cqlMode=true&amp;query=idn%3D1066968403</v>
      </c>
      <c r="E179" s="63" t="str">
        <f>'II_Inkunabeln+'!E179</f>
        <v>II 8,1g</v>
      </c>
      <c r="F179" s="63" t="str">
        <f>'II_Inkunabeln+'!H179</f>
        <v>bis 25 cm</v>
      </c>
      <c r="G179" s="93">
        <f>'II_Inkunabeln+'!AG179</f>
        <v>0</v>
      </c>
      <c r="H179" s="93">
        <f>'II_Inkunabeln+'!AP179</f>
        <v>0</v>
      </c>
      <c r="I179" s="93">
        <f>'II_Inkunabeln+'!AQ179</f>
        <v>0</v>
      </c>
      <c r="J179" s="94"/>
      <c r="K179" s="93">
        <f>'II_Inkunabeln+'!AW179</f>
        <v>0</v>
      </c>
      <c r="L179" s="93">
        <f>'II_Inkunabeln+'!AX179</f>
        <v>0</v>
      </c>
      <c r="AA179" s="93">
        <f>'II_Inkunabeln+'!AY179</f>
        <v>0</v>
      </c>
      <c r="AB179" s="94">
        <f>'II_Inkunabeln+'!BA179</f>
        <v>0</v>
      </c>
      <c r="AC179" s="108"/>
      <c r="AD179" s="81">
        <f>'II_Inkunabeln+'!BJ179</f>
        <v>0</v>
      </c>
    </row>
    <row r="180" spans="1:30" x14ac:dyDescent="0.25">
      <c r="A180" s="63">
        <f>'II_Inkunabeln+'!A180</f>
        <v>172</v>
      </c>
      <c r="B180" s="63" t="str">
        <f>'II_Inkunabeln+'!B180</f>
        <v>L-1472-315498692</v>
      </c>
      <c r="C180" s="63">
        <f>'II_Inkunabeln+'!C180</f>
        <v>1066968446</v>
      </c>
      <c r="D180" s="84" t="str">
        <f>'II_Inkunabeln+'!D180</f>
        <v>https://portal.dnb.de/opac.htm?method=simpleSearch&amp;cqlMode=true&amp;query=idn%3D1066968446</v>
      </c>
      <c r="E180" s="63" t="str">
        <f>'II_Inkunabeln+'!E180</f>
        <v>II 8,1h</v>
      </c>
      <c r="F180" s="63" t="str">
        <f>'II_Inkunabeln+'!H180</f>
        <v>bis 25 cm</v>
      </c>
      <c r="G180" s="93">
        <f>'II_Inkunabeln+'!AG180</f>
        <v>0</v>
      </c>
      <c r="H180" s="93">
        <f>'II_Inkunabeln+'!AP180</f>
        <v>0</v>
      </c>
      <c r="I180" s="93">
        <f>'II_Inkunabeln+'!AQ180</f>
        <v>0</v>
      </c>
      <c r="J180" s="94"/>
      <c r="K180" s="93">
        <f>'II_Inkunabeln+'!AW180</f>
        <v>0</v>
      </c>
      <c r="L180" s="93">
        <f>'II_Inkunabeln+'!AX180</f>
        <v>0</v>
      </c>
      <c r="AA180" s="93">
        <f>'II_Inkunabeln+'!AY180</f>
        <v>0</v>
      </c>
      <c r="AB180" s="94">
        <f>'II_Inkunabeln+'!BA180</f>
        <v>0</v>
      </c>
      <c r="AC180" s="108"/>
      <c r="AD180" s="81">
        <f>'II_Inkunabeln+'!BJ180</f>
        <v>0</v>
      </c>
    </row>
    <row r="181" spans="1:30" x14ac:dyDescent="0.25">
      <c r="A181" s="63">
        <f>'II_Inkunabeln+'!A181</f>
        <v>173</v>
      </c>
      <c r="B181" s="63" t="str">
        <f>'II_Inkunabeln+'!B181</f>
        <v>L-1470-315498684</v>
      </c>
      <c r="C181" s="63">
        <f>'II_Inkunabeln+'!C181</f>
        <v>1066968438</v>
      </c>
      <c r="D181" s="84" t="str">
        <f>'II_Inkunabeln+'!D181</f>
        <v>https://portal.dnb.de/opac.htm?method=simpleSearch&amp;cqlMode=true&amp;query=idn%3D1066968438</v>
      </c>
      <c r="E181" s="63" t="str">
        <f>'II_Inkunabeln+'!E181</f>
        <v>II 8,1i</v>
      </c>
      <c r="F181" s="63" t="str">
        <f>'II_Inkunabeln+'!H181</f>
        <v>bis 25 cm</v>
      </c>
      <c r="G181" s="93">
        <f>'II_Inkunabeln+'!AG181</f>
        <v>0</v>
      </c>
      <c r="H181" s="93">
        <f>'II_Inkunabeln+'!AP181</f>
        <v>0</v>
      </c>
      <c r="I181" s="93">
        <f>'II_Inkunabeln+'!AQ181</f>
        <v>0</v>
      </c>
      <c r="J181" s="94"/>
      <c r="K181" s="93">
        <f>'II_Inkunabeln+'!AW181</f>
        <v>0</v>
      </c>
      <c r="L181" s="93">
        <f>'II_Inkunabeln+'!AX181</f>
        <v>0</v>
      </c>
      <c r="AA181" s="93">
        <f>'II_Inkunabeln+'!AY181</f>
        <v>0</v>
      </c>
      <c r="AB181" s="94">
        <f>'II_Inkunabeln+'!BA181</f>
        <v>0</v>
      </c>
      <c r="AC181" s="108"/>
      <c r="AD181" s="81">
        <f>'II_Inkunabeln+'!BJ181</f>
        <v>0</v>
      </c>
    </row>
    <row r="182" spans="1:30" x14ac:dyDescent="0.25">
      <c r="A182" s="63">
        <f>'II_Inkunabeln+'!A182</f>
        <v>174</v>
      </c>
      <c r="B182" s="63" t="str">
        <f>'II_Inkunabeln+'!B182</f>
        <v>L-1471-315498994</v>
      </c>
      <c r="C182" s="63">
        <f>'II_Inkunabeln+'!C182</f>
        <v>1066968748</v>
      </c>
      <c r="D182" s="84" t="str">
        <f>'II_Inkunabeln+'!D182</f>
        <v>https://portal.dnb.de/opac.htm?method=simpleSearch&amp;cqlMode=true&amp;query=idn%3D1066968748</v>
      </c>
      <c r="E182" s="63" t="str">
        <f>'II_Inkunabeln+'!E182</f>
        <v>II 8,1k</v>
      </c>
      <c r="F182" s="63" t="str">
        <f>'II_Inkunabeln+'!H182</f>
        <v>bis 25 cm</v>
      </c>
      <c r="G182" s="93">
        <f>'II_Inkunabeln+'!AG182</f>
        <v>0</v>
      </c>
      <c r="H182" s="93">
        <f>'II_Inkunabeln+'!AP182</f>
        <v>0</v>
      </c>
      <c r="I182" s="93">
        <f>'II_Inkunabeln+'!AQ182</f>
        <v>0</v>
      </c>
      <c r="J182" s="94"/>
      <c r="K182" s="93">
        <f>'II_Inkunabeln+'!AW182</f>
        <v>0</v>
      </c>
      <c r="L182" s="93">
        <f>'II_Inkunabeln+'!AX182</f>
        <v>0</v>
      </c>
      <c r="AA182" s="93">
        <f>'II_Inkunabeln+'!AY182</f>
        <v>0</v>
      </c>
      <c r="AB182" s="94">
        <f>'II_Inkunabeln+'!BA182</f>
        <v>0</v>
      </c>
      <c r="AC182" s="108"/>
      <c r="AD182" s="81">
        <f>'II_Inkunabeln+'!BJ182</f>
        <v>0</v>
      </c>
    </row>
    <row r="183" spans="1:30" x14ac:dyDescent="0.25">
      <c r="A183" s="63">
        <f>'II_Inkunabeln+'!A183</f>
        <v>175</v>
      </c>
      <c r="B183" s="63" t="str">
        <f>'II_Inkunabeln+'!B183</f>
        <v>L-1485-327855061</v>
      </c>
      <c r="C183" s="63">
        <f>'II_Inkunabeln+'!C183</f>
        <v>1072494108</v>
      </c>
      <c r="D183" s="84" t="str">
        <f>'II_Inkunabeln+'!D183</f>
        <v>https://portal.dnb.de/opac.htm?method=simpleSearch&amp;cqlMode=true&amp;query=idn%3D1072494108</v>
      </c>
      <c r="E183" s="63" t="str">
        <f>'II_Inkunabeln+'!E183</f>
        <v>II 8,1l - 2</v>
      </c>
      <c r="F183" s="63" t="str">
        <f>'II_Inkunabeln+'!H183</f>
        <v>bis 35 cm</v>
      </c>
      <c r="G183" s="93">
        <f>'II_Inkunabeln+'!AG183</f>
        <v>0</v>
      </c>
      <c r="H183" s="93">
        <f>'II_Inkunabeln+'!AP183</f>
        <v>0</v>
      </c>
      <c r="I183" s="93">
        <f>'II_Inkunabeln+'!AQ183</f>
        <v>0</v>
      </c>
      <c r="J183" s="94"/>
      <c r="K183" s="93">
        <f>'II_Inkunabeln+'!AW183</f>
        <v>0</v>
      </c>
      <c r="L183" s="93">
        <f>'II_Inkunabeln+'!AX183</f>
        <v>0</v>
      </c>
      <c r="AA183" s="93">
        <f>'II_Inkunabeln+'!AY183</f>
        <v>0</v>
      </c>
      <c r="AB183" s="94">
        <f>'II_Inkunabeln+'!BA183</f>
        <v>0</v>
      </c>
      <c r="AC183" s="108"/>
      <c r="AD183" s="81">
        <f>'II_Inkunabeln+'!BJ183</f>
        <v>0</v>
      </c>
    </row>
    <row r="184" spans="1:30" x14ac:dyDescent="0.25">
      <c r="A184" s="63">
        <f>'II_Inkunabeln+'!A184</f>
        <v>176</v>
      </c>
      <c r="B184" s="63" t="str">
        <f>'II_Inkunabeln+'!B184</f>
        <v>L-1485-32785524X</v>
      </c>
      <c r="C184" s="63" t="str">
        <f>'II_Inkunabeln+'!C184</f>
        <v>107249423X</v>
      </c>
      <c r="D184" s="84" t="str">
        <f>'II_Inkunabeln+'!D184</f>
        <v>https://portal.dnb.de/opac.htm?method=simpleSearch&amp;cqlMode=true&amp;query=idn%3D107249423X</v>
      </c>
      <c r="E184" s="63" t="str">
        <f>'II_Inkunabeln+'!E184</f>
        <v>II 8,1l - 4</v>
      </c>
      <c r="F184" s="63" t="str">
        <f>'II_Inkunabeln+'!H184</f>
        <v>bis 35 cm</v>
      </c>
      <c r="G184" s="93">
        <f>'II_Inkunabeln+'!AG184</f>
        <v>0</v>
      </c>
      <c r="H184" s="93">
        <f>'II_Inkunabeln+'!AP184</f>
        <v>0</v>
      </c>
      <c r="I184" s="93">
        <f>'II_Inkunabeln+'!AQ184</f>
        <v>0</v>
      </c>
      <c r="J184" s="94"/>
      <c r="K184" s="93">
        <f>'II_Inkunabeln+'!AW184</f>
        <v>0</v>
      </c>
      <c r="L184" s="93">
        <f>'II_Inkunabeln+'!AX184</f>
        <v>0</v>
      </c>
      <c r="AA184" s="93">
        <f>'II_Inkunabeln+'!AY184</f>
        <v>0</v>
      </c>
      <c r="AB184" s="94">
        <f>'II_Inkunabeln+'!BA184</f>
        <v>0</v>
      </c>
      <c r="AC184" s="108"/>
      <c r="AD184" s="81">
        <f>'II_Inkunabeln+'!BJ184</f>
        <v>0</v>
      </c>
    </row>
    <row r="185" spans="1:30" x14ac:dyDescent="0.25">
      <c r="A185" s="63">
        <f>'II_Inkunabeln+'!A185</f>
        <v>177</v>
      </c>
      <c r="B185" s="63" t="str">
        <f>'II_Inkunabeln+'!B185</f>
        <v>L-1470-315501596</v>
      </c>
      <c r="C185" s="63">
        <f>'II_Inkunabeln+'!C185</f>
        <v>1066971226</v>
      </c>
      <c r="D185" s="84" t="str">
        <f>'II_Inkunabeln+'!D185</f>
        <v>https://portal.dnb.de/opac.htm?method=simpleSearch&amp;cqlMode=true&amp;query=idn%3D1066971226</v>
      </c>
      <c r="E185" s="63" t="str">
        <f>'II_Inkunabeln+'!E185</f>
        <v>II 8,1m</v>
      </c>
      <c r="F185" s="63" t="str">
        <f>'II_Inkunabeln+'!H185</f>
        <v>bis 25 cm</v>
      </c>
      <c r="G185" s="93">
        <f>'II_Inkunabeln+'!AG185</f>
        <v>0</v>
      </c>
      <c r="H185" s="93">
        <f>'II_Inkunabeln+'!AP185</f>
        <v>0</v>
      </c>
      <c r="I185" s="93">
        <f>'II_Inkunabeln+'!AQ185</f>
        <v>0</v>
      </c>
      <c r="J185" s="94"/>
      <c r="K185" s="93">
        <f>'II_Inkunabeln+'!AW185</f>
        <v>0</v>
      </c>
      <c r="L185" s="93">
        <f>'II_Inkunabeln+'!AX185</f>
        <v>0</v>
      </c>
      <c r="AA185" s="93">
        <f>'II_Inkunabeln+'!AY185</f>
        <v>0</v>
      </c>
      <c r="AB185" s="94">
        <f>'II_Inkunabeln+'!BA185</f>
        <v>0</v>
      </c>
      <c r="AC185" s="108"/>
      <c r="AD185" s="81">
        <f>'II_Inkunabeln+'!BJ185</f>
        <v>0</v>
      </c>
    </row>
    <row r="186" spans="1:30" x14ac:dyDescent="0.25">
      <c r="A186" s="63">
        <f>'II_Inkunabeln+'!A186</f>
        <v>178</v>
      </c>
      <c r="B186" s="63" t="str">
        <f>'II_Inkunabeln+'!B186</f>
        <v>L-1467-343703882</v>
      </c>
      <c r="C186" s="63" t="str">
        <f>'II_Inkunabeln+'!C186</f>
        <v>107955310X</v>
      </c>
      <c r="D186" s="84" t="str">
        <f>'II_Inkunabeln+'!D186</f>
        <v>https://portal.dnb.de/opac.htm?method=simpleSearch&amp;cqlMode=true&amp;query=idn%3D107955310X</v>
      </c>
      <c r="E186" s="63" t="str">
        <f>'II_Inkunabeln+'!E186</f>
        <v>II 8,1n</v>
      </c>
      <c r="F186" s="63" t="str">
        <f>'II_Inkunabeln+'!H186</f>
        <v>bis 25 cm</v>
      </c>
      <c r="G186" s="93">
        <f>'II_Inkunabeln+'!AG186</f>
        <v>0</v>
      </c>
      <c r="H186" s="93">
        <f>'II_Inkunabeln+'!AP186</f>
        <v>0</v>
      </c>
      <c r="I186" s="93">
        <f>'II_Inkunabeln+'!AQ186</f>
        <v>0</v>
      </c>
      <c r="J186" s="94"/>
      <c r="K186" s="93">
        <f>'II_Inkunabeln+'!AW186</f>
        <v>0</v>
      </c>
      <c r="L186" s="93">
        <f>'II_Inkunabeln+'!AX186</f>
        <v>0</v>
      </c>
      <c r="AA186" s="93">
        <f>'II_Inkunabeln+'!AY186</f>
        <v>0</v>
      </c>
      <c r="AB186" s="94">
        <f>'II_Inkunabeln+'!BA186</f>
        <v>0</v>
      </c>
      <c r="AC186" s="108"/>
      <c r="AD186" s="81">
        <f>'II_Inkunabeln+'!BJ186</f>
        <v>0</v>
      </c>
    </row>
    <row r="187" spans="1:30" x14ac:dyDescent="0.25">
      <c r="A187" s="63">
        <f>'II_Inkunabeln+'!A187</f>
        <v>179</v>
      </c>
      <c r="B187" s="63" t="str">
        <f>'II_Inkunabeln+'!B187</f>
        <v>L-1486-315495162</v>
      </c>
      <c r="C187" s="63">
        <f>'II_Inkunabeln+'!C187</f>
        <v>1066965021</v>
      </c>
      <c r="D187" s="84" t="str">
        <f>'II_Inkunabeln+'!D187</f>
        <v>https://portal.dnb.de/opac.htm?method=simpleSearch&amp;cqlMode=true&amp;query=idn%3D1066965021</v>
      </c>
      <c r="E187" s="63" t="str">
        <f>'II_Inkunabeln+'!E187</f>
        <v>II 8,2a</v>
      </c>
      <c r="F187" s="63" t="str">
        <f>'II_Inkunabeln+'!H187</f>
        <v>bis 25 cm</v>
      </c>
      <c r="G187" s="93">
        <f>'II_Inkunabeln+'!AG187</f>
        <v>0</v>
      </c>
      <c r="H187" s="93">
        <f>'II_Inkunabeln+'!AP187</f>
        <v>0</v>
      </c>
      <c r="I187" s="93">
        <f>'II_Inkunabeln+'!AQ187</f>
        <v>0</v>
      </c>
      <c r="J187" s="94"/>
      <c r="K187" s="93">
        <f>'II_Inkunabeln+'!AW187</f>
        <v>0</v>
      </c>
      <c r="L187" s="93">
        <f>'II_Inkunabeln+'!AX187</f>
        <v>0</v>
      </c>
      <c r="AA187" s="93">
        <f>'II_Inkunabeln+'!AY187</f>
        <v>0</v>
      </c>
      <c r="AB187" s="94">
        <f>'II_Inkunabeln+'!BA187</f>
        <v>0</v>
      </c>
      <c r="AC187" s="108"/>
      <c r="AD187" s="81">
        <f>'II_Inkunabeln+'!BJ187</f>
        <v>0</v>
      </c>
    </row>
    <row r="188" spans="1:30" x14ac:dyDescent="0.25">
      <c r="A188" s="63">
        <f>'II_Inkunabeln+'!A188</f>
        <v>180</v>
      </c>
      <c r="B188" s="63" t="str">
        <f>'II_Inkunabeln+'!B188</f>
        <v>L-1476-315498641</v>
      </c>
      <c r="C188" s="63" t="str">
        <f>'II_Inkunabeln+'!C188</f>
        <v>106696839X</v>
      </c>
      <c r="D188" s="84" t="str">
        <f>'II_Inkunabeln+'!D188</f>
        <v>https://portal.dnb.de/opac.htm?method=simpleSearch&amp;cqlMode=true&amp;query=idn%3D106696839X</v>
      </c>
      <c r="E188" s="63" t="str">
        <f>'II_Inkunabeln+'!E188</f>
        <v>II 8,2b</v>
      </c>
      <c r="F188" s="63" t="str">
        <f>'II_Inkunabeln+'!H188</f>
        <v>bis 35 cm</v>
      </c>
      <c r="G188" s="93">
        <f>'II_Inkunabeln+'!AG188</f>
        <v>0</v>
      </c>
      <c r="H188" s="93">
        <f>'II_Inkunabeln+'!AP188</f>
        <v>0</v>
      </c>
      <c r="I188" s="93">
        <f>'II_Inkunabeln+'!AQ188</f>
        <v>0</v>
      </c>
      <c r="J188" s="94"/>
      <c r="K188" s="93">
        <f>'II_Inkunabeln+'!AW188</f>
        <v>0</v>
      </c>
      <c r="L188" s="93">
        <f>'II_Inkunabeln+'!AX188</f>
        <v>0</v>
      </c>
      <c r="AA188" s="93">
        <f>'II_Inkunabeln+'!AY188</f>
        <v>0</v>
      </c>
      <c r="AB188" s="94">
        <f>'II_Inkunabeln+'!BA188</f>
        <v>0</v>
      </c>
      <c r="AC188" s="108"/>
      <c r="AD188" s="81">
        <f>'II_Inkunabeln+'!BJ188</f>
        <v>0</v>
      </c>
    </row>
    <row r="189" spans="1:30" x14ac:dyDescent="0.25">
      <c r="A189" s="63">
        <f>'II_Inkunabeln+'!A189</f>
        <v>181</v>
      </c>
      <c r="B189" s="63" t="str">
        <f>'II_Inkunabeln+'!B189</f>
        <v>L-1471-315502908</v>
      </c>
      <c r="C189" s="63">
        <f>'II_Inkunabeln+'!C189</f>
        <v>1066972494</v>
      </c>
      <c r="D189" s="84" t="str">
        <f>'II_Inkunabeln+'!D189</f>
        <v>https://portal.dnb.de/opac.htm?method=simpleSearch&amp;cqlMode=true&amp;query=idn%3D1066972494</v>
      </c>
      <c r="E189" s="63" t="str">
        <f>'II_Inkunabeln+'!E189</f>
        <v>II 8,2c</v>
      </c>
      <c r="F189" s="63" t="str">
        <f>'II_Inkunabeln+'!H189</f>
        <v>bis 35 cm</v>
      </c>
      <c r="G189" s="93">
        <f>'II_Inkunabeln+'!AG189</f>
        <v>0</v>
      </c>
      <c r="H189" s="93">
        <f>'II_Inkunabeln+'!AP189</f>
        <v>0</v>
      </c>
      <c r="I189" s="93">
        <f>'II_Inkunabeln+'!AQ189</f>
        <v>0</v>
      </c>
      <c r="J189" s="94"/>
      <c r="K189" s="93">
        <f>'II_Inkunabeln+'!AW189</f>
        <v>0</v>
      </c>
      <c r="L189" s="93">
        <f>'II_Inkunabeln+'!AX189</f>
        <v>0</v>
      </c>
      <c r="AA189" s="93">
        <f>'II_Inkunabeln+'!AY189</f>
        <v>0</v>
      </c>
      <c r="AB189" s="94">
        <f>'II_Inkunabeln+'!BA189</f>
        <v>0</v>
      </c>
      <c r="AC189" s="108"/>
      <c r="AD189" s="81">
        <f>'II_Inkunabeln+'!BJ189</f>
        <v>0</v>
      </c>
    </row>
    <row r="190" spans="1:30" x14ac:dyDescent="0.25">
      <c r="A190" s="63">
        <f>'II_Inkunabeln+'!A190</f>
        <v>182</v>
      </c>
      <c r="B190" s="63" t="str">
        <f>'II_Inkunabeln+'!B190</f>
        <v>L-1476-315502878</v>
      </c>
      <c r="C190" s="63">
        <f>'II_Inkunabeln+'!C190</f>
        <v>1066972451</v>
      </c>
      <c r="D190" s="84" t="str">
        <f>'II_Inkunabeln+'!D190</f>
        <v>https://portal.dnb.de/opac.htm?method=simpleSearch&amp;cqlMode=true&amp;query=idn%3D1066972451</v>
      </c>
      <c r="E190" s="63" t="str">
        <f>'II_Inkunabeln+'!E190</f>
        <v>II 8,2d</v>
      </c>
      <c r="F190" s="63" t="str">
        <f>'II_Inkunabeln+'!H190</f>
        <v>bis 25 cm</v>
      </c>
      <c r="G190" s="93">
        <f>'II_Inkunabeln+'!AG190</f>
        <v>0</v>
      </c>
      <c r="H190" s="93">
        <f>'II_Inkunabeln+'!AP190</f>
        <v>0</v>
      </c>
      <c r="I190" s="93">
        <f>'II_Inkunabeln+'!AQ190</f>
        <v>0</v>
      </c>
      <c r="J190" s="94"/>
      <c r="K190" s="93">
        <f>'II_Inkunabeln+'!AW190</f>
        <v>0</v>
      </c>
      <c r="L190" s="93">
        <f>'II_Inkunabeln+'!AX190</f>
        <v>0</v>
      </c>
      <c r="AA190" s="93">
        <f>'II_Inkunabeln+'!AY190</f>
        <v>0</v>
      </c>
      <c r="AB190" s="94">
        <f>'II_Inkunabeln+'!BA190</f>
        <v>0</v>
      </c>
      <c r="AC190" s="108"/>
      <c r="AD190" s="81">
        <f>'II_Inkunabeln+'!BJ190</f>
        <v>0</v>
      </c>
    </row>
    <row r="191" spans="1:30" x14ac:dyDescent="0.25">
      <c r="A191" s="63">
        <f>'II_Inkunabeln+'!A191</f>
        <v>183</v>
      </c>
      <c r="B191" s="63" t="str">
        <f>'II_Inkunabeln+'!B191</f>
        <v>L-1470-315498315</v>
      </c>
      <c r="C191" s="63">
        <f>'II_Inkunabeln+'!C191</f>
        <v>1066968047</v>
      </c>
      <c r="D191" s="84" t="str">
        <f>'II_Inkunabeln+'!D191</f>
        <v>https://portal.dnb.de/opac.htm?method=simpleSearch&amp;cqlMode=true&amp;query=idn%3D1066968047</v>
      </c>
      <c r="E191" s="63" t="str">
        <f>'II_Inkunabeln+'!E191</f>
        <v>II 8,3a</v>
      </c>
      <c r="F191" s="63" t="str">
        <f>'II_Inkunabeln+'!H191</f>
        <v>bis 25 cm</v>
      </c>
      <c r="G191" s="93">
        <f>'II_Inkunabeln+'!AG191</f>
        <v>0</v>
      </c>
      <c r="H191" s="93">
        <f>'II_Inkunabeln+'!AP191</f>
        <v>0</v>
      </c>
      <c r="I191" s="93">
        <f>'II_Inkunabeln+'!AQ191</f>
        <v>0</v>
      </c>
      <c r="J191" s="94"/>
      <c r="K191" s="93">
        <f>'II_Inkunabeln+'!AW191</f>
        <v>0</v>
      </c>
      <c r="L191" s="93">
        <f>'II_Inkunabeln+'!AX191</f>
        <v>0</v>
      </c>
      <c r="AA191" s="93">
        <f>'II_Inkunabeln+'!AY191</f>
        <v>0</v>
      </c>
      <c r="AB191" s="94">
        <f>'II_Inkunabeln+'!BA191</f>
        <v>0</v>
      </c>
      <c r="AC191" s="108"/>
      <c r="AD191" s="81">
        <f>'II_Inkunabeln+'!BJ191</f>
        <v>0</v>
      </c>
    </row>
    <row r="192" spans="1:30" x14ac:dyDescent="0.25">
      <c r="A192" s="63">
        <f>'II_Inkunabeln+'!A192</f>
        <v>184</v>
      </c>
      <c r="B192" s="63" t="str">
        <f>'II_Inkunabeln+'!B192</f>
        <v>L-1471-315499311</v>
      </c>
      <c r="C192" s="63">
        <f>'II_Inkunabeln+'!C192</f>
        <v>1066969035</v>
      </c>
      <c r="D192" s="84" t="str">
        <f>'II_Inkunabeln+'!D192</f>
        <v>https://portal.dnb.de/opac.htm?method=simpleSearch&amp;cqlMode=true&amp;query=idn%3D1066969035</v>
      </c>
      <c r="E192" s="63" t="str">
        <f>'II_Inkunabeln+'!E192</f>
        <v>II 8,3b</v>
      </c>
      <c r="F192" s="63" t="str">
        <f>'II_Inkunabeln+'!H192</f>
        <v>bis 25 cm</v>
      </c>
      <c r="G192" s="93">
        <f>'II_Inkunabeln+'!AG192</f>
        <v>0</v>
      </c>
      <c r="H192" s="93">
        <f>'II_Inkunabeln+'!AP192</f>
        <v>0</v>
      </c>
      <c r="I192" s="93">
        <f>'II_Inkunabeln+'!AQ192</f>
        <v>0</v>
      </c>
      <c r="J192" s="94"/>
      <c r="K192" s="93">
        <f>'II_Inkunabeln+'!AW192</f>
        <v>0</v>
      </c>
      <c r="L192" s="93">
        <f>'II_Inkunabeln+'!AX192</f>
        <v>0</v>
      </c>
      <c r="AA192" s="93">
        <f>'II_Inkunabeln+'!AY192</f>
        <v>0</v>
      </c>
      <c r="AB192" s="94">
        <f>'II_Inkunabeln+'!BA192</f>
        <v>0</v>
      </c>
      <c r="AC192" s="108"/>
      <c r="AD192" s="81">
        <f>'II_Inkunabeln+'!BJ192</f>
        <v>0</v>
      </c>
    </row>
    <row r="193" spans="1:30" x14ac:dyDescent="0.25">
      <c r="A193" s="63">
        <f>'II_Inkunabeln+'!A193</f>
        <v>185</v>
      </c>
      <c r="B193" s="63" t="str">
        <f>'II_Inkunabeln+'!B193</f>
        <v>L-9999-315503734</v>
      </c>
      <c r="C193" s="63">
        <f>'II_Inkunabeln+'!C193</f>
        <v>1066973369</v>
      </c>
      <c r="D193" s="84" t="str">
        <f>'II_Inkunabeln+'!D193</f>
        <v>https://portal.dnb.de/opac.htm?method=simpleSearch&amp;cqlMode=true&amp;query=idn%3D1066973369</v>
      </c>
      <c r="E193" s="63" t="str">
        <f>'II_Inkunabeln+'!E193</f>
        <v>II 8,4a</v>
      </c>
      <c r="F193" s="63" t="str">
        <f>'II_Inkunabeln+'!H193</f>
        <v>bis 25 cm</v>
      </c>
      <c r="G193" s="93">
        <f>'II_Inkunabeln+'!AG193</f>
        <v>0</v>
      </c>
      <c r="H193" s="93">
        <f>'II_Inkunabeln+'!AP193</f>
        <v>0</v>
      </c>
      <c r="I193" s="93">
        <f>'II_Inkunabeln+'!AQ193</f>
        <v>0</v>
      </c>
      <c r="J193" s="94"/>
      <c r="K193" s="93">
        <f>'II_Inkunabeln+'!AW193</f>
        <v>0</v>
      </c>
      <c r="L193" s="93">
        <f>'II_Inkunabeln+'!AX193</f>
        <v>0</v>
      </c>
      <c r="AA193" s="93">
        <f>'II_Inkunabeln+'!AY193</f>
        <v>0</v>
      </c>
      <c r="AB193" s="94">
        <f>'II_Inkunabeln+'!BA193</f>
        <v>0</v>
      </c>
      <c r="AC193" s="108"/>
      <c r="AD193" s="81">
        <f>'II_Inkunabeln+'!BJ193</f>
        <v>0</v>
      </c>
    </row>
    <row r="194" spans="1:30" x14ac:dyDescent="0.25">
      <c r="A194" s="63">
        <f>'II_Inkunabeln+'!A194</f>
        <v>186</v>
      </c>
      <c r="B194" s="63" t="str">
        <f>'II_Inkunabeln+'!B194</f>
        <v>L-1474-315496169</v>
      </c>
      <c r="C194" s="63">
        <f>'II_Inkunabeln+'!C194</f>
        <v>1066965889</v>
      </c>
      <c r="D194" s="84" t="str">
        <f>'II_Inkunabeln+'!D194</f>
        <v>https://portal.dnb.de/opac.htm?method=simpleSearch&amp;cqlMode=true&amp;query=idn%3D1066965889</v>
      </c>
      <c r="E194" s="63" t="str">
        <f>'II_Inkunabeln+'!E194</f>
        <v>II 8,5a</v>
      </c>
      <c r="F194" s="63" t="str">
        <f>'II_Inkunabeln+'!H194</f>
        <v>bis 25 cm</v>
      </c>
      <c r="G194" s="93">
        <f>'II_Inkunabeln+'!AG194</f>
        <v>0</v>
      </c>
      <c r="H194" s="93">
        <f>'II_Inkunabeln+'!AP194</f>
        <v>0</v>
      </c>
      <c r="I194" s="93">
        <f>'II_Inkunabeln+'!AQ194</f>
        <v>0</v>
      </c>
      <c r="J194" s="94"/>
      <c r="K194" s="93">
        <f>'II_Inkunabeln+'!AW194</f>
        <v>0</v>
      </c>
      <c r="L194" s="93">
        <f>'II_Inkunabeln+'!AX194</f>
        <v>0</v>
      </c>
      <c r="AA194" s="93">
        <f>'II_Inkunabeln+'!AY194</f>
        <v>0</v>
      </c>
      <c r="AB194" s="94">
        <f>'II_Inkunabeln+'!BA194</f>
        <v>0</v>
      </c>
      <c r="AC194" s="108"/>
      <c r="AD194" s="81">
        <f>'II_Inkunabeln+'!BJ194</f>
        <v>0</v>
      </c>
    </row>
    <row r="195" spans="1:30" x14ac:dyDescent="0.25">
      <c r="A195" s="63">
        <f>'II_Inkunabeln+'!A195</f>
        <v>187</v>
      </c>
      <c r="B195" s="63" t="str">
        <f>'II_Inkunabeln+'!B195</f>
        <v>L-1474-315495189</v>
      </c>
      <c r="C195" s="63">
        <f>'II_Inkunabeln+'!C195</f>
        <v>1066965048</v>
      </c>
      <c r="D195" s="84" t="str">
        <f>'II_Inkunabeln+'!D195</f>
        <v>https://portal.dnb.de/opac.htm?method=simpleSearch&amp;cqlMode=true&amp;query=idn%3D1066965048</v>
      </c>
      <c r="E195" s="63" t="str">
        <f>'II_Inkunabeln+'!E195</f>
        <v>II 8,6a</v>
      </c>
      <c r="F195" s="63" t="str">
        <f>'II_Inkunabeln+'!H195</f>
        <v>bis 35 cm</v>
      </c>
      <c r="G195" s="93">
        <f>'II_Inkunabeln+'!AG195</f>
        <v>0</v>
      </c>
      <c r="H195" s="93">
        <f>'II_Inkunabeln+'!AP195</f>
        <v>0</v>
      </c>
      <c r="I195" s="93">
        <f>'II_Inkunabeln+'!AQ195</f>
        <v>0</v>
      </c>
      <c r="J195" s="94"/>
      <c r="K195" s="93">
        <f>'II_Inkunabeln+'!AW195</f>
        <v>0</v>
      </c>
      <c r="L195" s="93">
        <f>'II_Inkunabeln+'!AX195</f>
        <v>0</v>
      </c>
      <c r="AA195" s="93">
        <f>'II_Inkunabeln+'!AY195</f>
        <v>0</v>
      </c>
      <c r="AB195" s="94">
        <f>'II_Inkunabeln+'!BA195</f>
        <v>0</v>
      </c>
      <c r="AC195" s="108"/>
      <c r="AD195" s="81">
        <f>'II_Inkunabeln+'!BJ195</f>
        <v>0</v>
      </c>
    </row>
    <row r="196" spans="1:30" x14ac:dyDescent="0.25">
      <c r="A196" s="63">
        <f>'II_Inkunabeln+'!A196</f>
        <v>188</v>
      </c>
      <c r="B196" s="63" t="str">
        <f>'II_Inkunabeln+'!B196</f>
        <v>L-1474-315499230</v>
      </c>
      <c r="C196" s="63">
        <f>'II_Inkunabeln+'!C196</f>
        <v>1066968950</v>
      </c>
      <c r="D196" s="84" t="str">
        <f>'II_Inkunabeln+'!D196</f>
        <v>https://portal.dnb.de/opac.htm?method=simpleSearch&amp;cqlMode=true&amp;query=idn%3D1066968950</v>
      </c>
      <c r="E196" s="63" t="str">
        <f>'II_Inkunabeln+'!E196</f>
        <v>II 8,6b</v>
      </c>
      <c r="F196" s="63" t="str">
        <f>'II_Inkunabeln+'!H196</f>
        <v>bis 35 cm</v>
      </c>
      <c r="G196" s="93">
        <f>'II_Inkunabeln+'!AG196</f>
        <v>0</v>
      </c>
      <c r="H196" s="93">
        <f>'II_Inkunabeln+'!AP196</f>
        <v>0</v>
      </c>
      <c r="I196" s="93">
        <f>'II_Inkunabeln+'!AQ196</f>
        <v>0</v>
      </c>
      <c r="J196" s="94"/>
      <c r="K196" s="93">
        <f>'II_Inkunabeln+'!AW196</f>
        <v>0</v>
      </c>
      <c r="L196" s="93">
        <f>'II_Inkunabeln+'!AX196</f>
        <v>0</v>
      </c>
      <c r="AA196" s="93">
        <f>'II_Inkunabeln+'!AY196</f>
        <v>0</v>
      </c>
      <c r="AB196" s="94">
        <f>'II_Inkunabeln+'!BA196</f>
        <v>0</v>
      </c>
      <c r="AC196" s="108"/>
      <c r="AD196" s="81">
        <f>'II_Inkunabeln+'!BJ196</f>
        <v>0</v>
      </c>
    </row>
    <row r="197" spans="1:30" x14ac:dyDescent="0.25">
      <c r="A197" s="63">
        <f>'II_Inkunabeln+'!A197</f>
        <v>189</v>
      </c>
      <c r="B197" s="63" t="str">
        <f>'II_Inkunabeln+'!B197</f>
        <v>L-1475-315502916</v>
      </c>
      <c r="C197" s="63">
        <f>'II_Inkunabeln+'!C197</f>
        <v>1066972508</v>
      </c>
      <c r="D197" s="84" t="str">
        <f>'II_Inkunabeln+'!D197</f>
        <v>https://portal.dnb.de/opac.htm?method=simpleSearch&amp;cqlMode=true&amp;query=idn%3D1066972508</v>
      </c>
      <c r="E197" s="63" t="str">
        <f>'II_Inkunabeln+'!E197</f>
        <v>II 8,6c</v>
      </c>
      <c r="F197" s="63" t="str">
        <f>'II_Inkunabeln+'!H197</f>
        <v>bis 35 cm</v>
      </c>
      <c r="G197" s="93" t="str">
        <f>'II_Inkunabeln+'!AG197</f>
        <v>Pa</v>
      </c>
      <c r="H197" s="93">
        <f>'II_Inkunabeln+'!AP197</f>
        <v>0</v>
      </c>
      <c r="I197" s="93" t="str">
        <f>'II_Inkunabeln+'!AQ197</f>
        <v>I/R</v>
      </c>
      <c r="J197" s="94"/>
      <c r="K197" s="93">
        <f>'II_Inkunabeln+'!AW197</f>
        <v>0</v>
      </c>
      <c r="L197" s="93">
        <f>'II_Inkunabeln+'!AX197</f>
        <v>0</v>
      </c>
      <c r="AA197" s="93">
        <f>'II_Inkunabeln+'!AY197</f>
        <v>0</v>
      </c>
      <c r="AB197" s="94" t="str">
        <f>'II_Inkunabeln+'!BA197</f>
        <v>ja vor</v>
      </c>
      <c r="AC197" s="108"/>
      <c r="AD197" s="81">
        <f>'II_Inkunabeln+'!BJ197</f>
        <v>0</v>
      </c>
    </row>
    <row r="198" spans="1:30" x14ac:dyDescent="0.25">
      <c r="A198" s="63">
        <f>'II_Inkunabeln+'!A198</f>
        <v>190</v>
      </c>
      <c r="B198" s="63" t="str">
        <f>'II_Inkunabeln+'!B198</f>
        <v>L-1475-315502924</v>
      </c>
      <c r="C198" s="63">
        <f>'II_Inkunabeln+'!C198</f>
        <v>1066972508</v>
      </c>
      <c r="D198" s="84" t="str">
        <f>'II_Inkunabeln+'!D198</f>
        <v>https://portal.dnb.de/opac.htm?method=simpleSearch&amp;cqlMode=true&amp;query=idn%3D1066972508</v>
      </c>
      <c r="E198" s="63" t="str">
        <f>'II_Inkunabeln+'!E198</f>
        <v>II 8,6ca</v>
      </c>
      <c r="F198" s="63" t="str">
        <f>'II_Inkunabeln+'!H198</f>
        <v>bis 35 cm</v>
      </c>
      <c r="G198" s="93" t="str">
        <f>'II_Inkunabeln+'!AG198</f>
        <v>Pa</v>
      </c>
      <c r="H198" s="93">
        <f>'II_Inkunabeln+'!AP198</f>
        <v>0</v>
      </c>
      <c r="I198" s="93" t="str">
        <f>'II_Inkunabeln+'!AQ198</f>
        <v>I/R</v>
      </c>
      <c r="J198" s="94"/>
      <c r="K198" s="93">
        <f>'II_Inkunabeln+'!AW198</f>
        <v>0</v>
      </c>
      <c r="L198" s="93">
        <f>'II_Inkunabeln+'!AX198</f>
        <v>0</v>
      </c>
      <c r="Y198" s="93" t="s">
        <v>1633</v>
      </c>
      <c r="AA198" s="93">
        <f>'II_Inkunabeln+'!AY198</f>
        <v>0</v>
      </c>
      <c r="AB198" s="94" t="str">
        <f>'II_Inkunabeln+'!BA198</f>
        <v>ja vor</v>
      </c>
      <c r="AC198" s="108">
        <v>0.5</v>
      </c>
      <c r="AD198" s="81">
        <f>'II_Inkunabeln+'!BJ198</f>
        <v>0</v>
      </c>
    </row>
    <row r="199" spans="1:30" x14ac:dyDescent="0.25">
      <c r="A199" s="63">
        <f>'II_Inkunabeln+'!A199</f>
        <v>191</v>
      </c>
      <c r="B199" s="63" t="str">
        <f>'II_Inkunabeln+'!B199</f>
        <v>L-1481-315330953</v>
      </c>
      <c r="C199" s="63">
        <f>'II_Inkunabeln+'!C199</f>
        <v>1066873151</v>
      </c>
      <c r="D199" s="84" t="str">
        <f>'II_Inkunabeln+'!D199</f>
        <v>https://portal.dnb.de/opac.htm?method=simpleSearch&amp;cqlMode=true&amp;query=idn%3D1066873151</v>
      </c>
      <c r="E199" s="63" t="str">
        <f>'II_Inkunabeln+'!E199</f>
        <v>II 8,6d</v>
      </c>
      <c r="F199" s="63" t="str">
        <f>'II_Inkunabeln+'!H199</f>
        <v>bis 35 cm</v>
      </c>
      <c r="G199" s="93">
        <f>'II_Inkunabeln+'!AG199</f>
        <v>0</v>
      </c>
      <c r="H199" s="93">
        <f>'II_Inkunabeln+'!AP199</f>
        <v>0</v>
      </c>
      <c r="I199" s="93">
        <f>'II_Inkunabeln+'!AQ199</f>
        <v>0</v>
      </c>
      <c r="J199" s="94"/>
      <c r="K199" s="93">
        <f>'II_Inkunabeln+'!AW199</f>
        <v>0</v>
      </c>
      <c r="L199" s="93">
        <f>'II_Inkunabeln+'!AX199</f>
        <v>0</v>
      </c>
      <c r="AA199" s="93">
        <f>'II_Inkunabeln+'!AY199</f>
        <v>0</v>
      </c>
      <c r="AB199" s="94">
        <f>'II_Inkunabeln+'!BA199</f>
        <v>0</v>
      </c>
      <c r="AC199" s="108"/>
      <c r="AD199" s="81">
        <f>'II_Inkunabeln+'!BJ199</f>
        <v>0</v>
      </c>
    </row>
    <row r="200" spans="1:30" x14ac:dyDescent="0.25">
      <c r="A200" s="63">
        <f>'II_Inkunabeln+'!A200</f>
        <v>192</v>
      </c>
      <c r="B200" s="63" t="str">
        <f>'II_Inkunabeln+'!B200</f>
        <v>L-1481-326853847</v>
      </c>
      <c r="C200" s="63">
        <f>'II_Inkunabeln+'!C200</f>
        <v>1072055228</v>
      </c>
      <c r="D200" s="84" t="str">
        <f>'II_Inkunabeln+'!D200</f>
        <v>https://portal.dnb.de/opac.htm?method=simpleSearch&amp;cqlMode=true&amp;query=idn%3D1072055228</v>
      </c>
      <c r="E200" s="63" t="str">
        <f>'II_Inkunabeln+'!E200</f>
        <v>II 8,6e</v>
      </c>
      <c r="F200" s="63" t="str">
        <f>'II_Inkunabeln+'!H200</f>
        <v>bis 35 cm</v>
      </c>
      <c r="G200" s="93">
        <f>'II_Inkunabeln+'!AG200</f>
        <v>0</v>
      </c>
      <c r="H200" s="93">
        <f>'II_Inkunabeln+'!AP200</f>
        <v>0</v>
      </c>
      <c r="I200" s="93">
        <f>'II_Inkunabeln+'!AQ200</f>
        <v>0</v>
      </c>
      <c r="J200" s="94"/>
      <c r="K200" s="93">
        <f>'II_Inkunabeln+'!AW200</f>
        <v>0</v>
      </c>
      <c r="L200" s="93">
        <f>'II_Inkunabeln+'!AX200</f>
        <v>0</v>
      </c>
      <c r="AA200" s="93">
        <f>'II_Inkunabeln+'!AY200</f>
        <v>0</v>
      </c>
      <c r="AB200" s="94">
        <f>'II_Inkunabeln+'!BA200</f>
        <v>0</v>
      </c>
      <c r="AC200" s="108"/>
      <c r="AD200" s="81">
        <f>'II_Inkunabeln+'!BJ200</f>
        <v>0</v>
      </c>
    </row>
    <row r="201" spans="1:30" x14ac:dyDescent="0.25">
      <c r="A201" s="63">
        <f>'II_Inkunabeln+'!A201</f>
        <v>193</v>
      </c>
      <c r="B201" s="63" t="str">
        <f>'II_Inkunabeln+'!B201</f>
        <v>L-1484-31550076X</v>
      </c>
      <c r="C201" s="63">
        <f>'II_Inkunabeln+'!C201</f>
        <v>1066970416</v>
      </c>
      <c r="D201" s="84" t="str">
        <f>'II_Inkunabeln+'!D201</f>
        <v>https://portal.dnb.de/opac.htm?method=simpleSearch&amp;cqlMode=true&amp;query=idn%3D1066970416</v>
      </c>
      <c r="E201" s="63" t="str">
        <f>'II_Inkunabeln+'!E201</f>
        <v>II 8,6f</v>
      </c>
      <c r="F201" s="63" t="str">
        <f>'II_Inkunabeln+'!H201</f>
        <v>bis 35 cm</v>
      </c>
      <c r="G201" s="93">
        <f>'II_Inkunabeln+'!AG201</f>
        <v>0</v>
      </c>
      <c r="H201" s="93">
        <f>'II_Inkunabeln+'!AP201</f>
        <v>0</v>
      </c>
      <c r="I201" s="93">
        <f>'II_Inkunabeln+'!AQ201</f>
        <v>0</v>
      </c>
      <c r="J201" s="94"/>
      <c r="K201" s="93">
        <f>'II_Inkunabeln+'!AW201</f>
        <v>0</v>
      </c>
      <c r="L201" s="93">
        <f>'II_Inkunabeln+'!AX201</f>
        <v>0</v>
      </c>
      <c r="AA201" s="93">
        <f>'II_Inkunabeln+'!AY201</f>
        <v>0</v>
      </c>
      <c r="AB201" s="94">
        <f>'II_Inkunabeln+'!BA201</f>
        <v>0</v>
      </c>
      <c r="AC201" s="108"/>
      <c r="AD201" s="81">
        <f>'II_Inkunabeln+'!BJ201</f>
        <v>0</v>
      </c>
    </row>
    <row r="202" spans="1:30" x14ac:dyDescent="0.25">
      <c r="A202" s="63">
        <f>'II_Inkunabeln+'!A202</f>
        <v>194</v>
      </c>
      <c r="B202" s="63" t="str">
        <f>'II_Inkunabeln+'!B202</f>
        <v>L-1465-315500778</v>
      </c>
      <c r="C202" s="63">
        <f>'II_Inkunabeln+'!C202</f>
        <v>1066970424</v>
      </c>
      <c r="D202" s="84" t="str">
        <f>'II_Inkunabeln+'!D202</f>
        <v>https://portal.dnb.de/opac.htm?method=simpleSearch&amp;cqlMode=true&amp;query=idn%3D1066970424</v>
      </c>
      <c r="E202" s="63" t="str">
        <f>'II_Inkunabeln+'!E202</f>
        <v>II 8,6g</v>
      </c>
      <c r="F202" s="63">
        <f>'II_Inkunabeln+'!H202</f>
        <v>0</v>
      </c>
      <c r="G202" s="93">
        <f>'II_Inkunabeln+'!AG202</f>
        <v>0</v>
      </c>
      <c r="H202" s="93">
        <f>'II_Inkunabeln+'!AP202</f>
        <v>0</v>
      </c>
      <c r="I202" s="93">
        <f>'II_Inkunabeln+'!AQ202</f>
        <v>0</v>
      </c>
      <c r="J202" s="94"/>
      <c r="K202" s="93">
        <f>'II_Inkunabeln+'!AW202</f>
        <v>0</v>
      </c>
      <c r="L202" s="93">
        <f>'II_Inkunabeln+'!AX202</f>
        <v>0</v>
      </c>
      <c r="AA202" s="93">
        <f>'II_Inkunabeln+'!AY202</f>
        <v>0</v>
      </c>
      <c r="AB202" s="94">
        <f>'II_Inkunabeln+'!BA202</f>
        <v>0</v>
      </c>
      <c r="AC202" s="108"/>
      <c r="AD202" s="81">
        <f>'II_Inkunabeln+'!BJ202</f>
        <v>0</v>
      </c>
    </row>
    <row r="203" spans="1:30" x14ac:dyDescent="0.25">
      <c r="A203" s="63">
        <f>'II_Inkunabeln+'!A203</f>
        <v>195</v>
      </c>
      <c r="B203" s="63" t="str">
        <f>'II_Inkunabeln+'!B203</f>
        <v>L-1485-315502967</v>
      </c>
      <c r="C203" s="63">
        <f>'II_Inkunabeln+'!C203</f>
        <v>1066972540</v>
      </c>
      <c r="D203" s="84" t="str">
        <f>'II_Inkunabeln+'!D203</f>
        <v>https://portal.dnb.de/opac.htm?method=simpleSearch&amp;cqlMode=true&amp;query=idn%3D1066972540</v>
      </c>
      <c r="E203" s="63" t="str">
        <f>'II_Inkunabeln+'!E203</f>
        <v>II 8,6h</v>
      </c>
      <c r="F203" s="63" t="str">
        <f>'II_Inkunabeln+'!H203</f>
        <v>bis 35 cm</v>
      </c>
      <c r="G203" s="93">
        <f>'II_Inkunabeln+'!AG203</f>
        <v>0</v>
      </c>
      <c r="H203" s="93">
        <f>'II_Inkunabeln+'!AP203</f>
        <v>0</v>
      </c>
      <c r="I203" s="93">
        <f>'II_Inkunabeln+'!AQ203</f>
        <v>0</v>
      </c>
      <c r="J203" s="94"/>
      <c r="K203" s="93">
        <f>'II_Inkunabeln+'!AW203</f>
        <v>0</v>
      </c>
      <c r="L203" s="93">
        <f>'II_Inkunabeln+'!AX203</f>
        <v>0</v>
      </c>
      <c r="AA203" s="93">
        <f>'II_Inkunabeln+'!AY203</f>
        <v>0</v>
      </c>
      <c r="AB203" s="94">
        <f>'II_Inkunabeln+'!BA203</f>
        <v>0</v>
      </c>
      <c r="AC203" s="108"/>
      <c r="AD203" s="81">
        <f>'II_Inkunabeln+'!BJ203</f>
        <v>0</v>
      </c>
    </row>
    <row r="204" spans="1:30" x14ac:dyDescent="0.25">
      <c r="A204" s="63">
        <f>'II_Inkunabeln+'!A204</f>
        <v>196</v>
      </c>
      <c r="B204" s="63" t="str">
        <f>'II_Inkunabeln+'!B204</f>
        <v>L-1486-315500239</v>
      </c>
      <c r="C204" s="63">
        <f>'II_Inkunabeln+'!C204</f>
        <v>1066969906</v>
      </c>
      <c r="D204" s="84" t="str">
        <f>'II_Inkunabeln+'!D204</f>
        <v>https://portal.dnb.de/opac.htm?method=simpleSearch&amp;cqlMode=true&amp;query=idn%3D1066969906</v>
      </c>
      <c r="E204" s="63" t="str">
        <f>'II_Inkunabeln+'!E204</f>
        <v>II 8,6i (angebunden an II 8, 6k)</v>
      </c>
      <c r="F204" s="63">
        <f>'II_Inkunabeln+'!H204</f>
        <v>0</v>
      </c>
      <c r="G204" s="93">
        <f>'II_Inkunabeln+'!AG204</f>
        <v>0</v>
      </c>
      <c r="H204" s="93">
        <f>'II_Inkunabeln+'!AP204</f>
        <v>0</v>
      </c>
      <c r="I204" s="93">
        <f>'II_Inkunabeln+'!AQ204</f>
        <v>0</v>
      </c>
      <c r="J204" s="94"/>
      <c r="K204" s="93">
        <f>'II_Inkunabeln+'!AW204</f>
        <v>0</v>
      </c>
      <c r="L204" s="93">
        <f>'II_Inkunabeln+'!AX204</f>
        <v>0</v>
      </c>
      <c r="AA204" s="93">
        <f>'II_Inkunabeln+'!AY204</f>
        <v>0</v>
      </c>
      <c r="AB204" s="94">
        <f>'II_Inkunabeln+'!BA204</f>
        <v>0</v>
      </c>
      <c r="AC204" s="108"/>
      <c r="AD204" s="81">
        <f>'II_Inkunabeln+'!BJ204</f>
        <v>0</v>
      </c>
    </row>
    <row r="205" spans="1:30" x14ac:dyDescent="0.25">
      <c r="A205" s="63">
        <f>'II_Inkunabeln+'!A205</f>
        <v>197</v>
      </c>
      <c r="B205" s="63" t="str">
        <f>'II_Inkunabeln+'!B205</f>
        <v>L-1487-315503823</v>
      </c>
      <c r="C205" s="63" t="str">
        <f>'II_Inkunabeln+'!C205</f>
        <v>106697344X</v>
      </c>
      <c r="D205" s="84" t="str">
        <f>'II_Inkunabeln+'!D205</f>
        <v>https://portal.dnb.de/opac.htm?method=simpleSearch&amp;cqlMode=true&amp;query=idn%3D106697344X</v>
      </c>
      <c r="E205" s="63" t="str">
        <f>'II_Inkunabeln+'!E205</f>
        <v>II 8,6k</v>
      </c>
      <c r="F205" s="63" t="str">
        <f>'II_Inkunabeln+'!H205</f>
        <v>bis 35 cm</v>
      </c>
      <c r="G205" s="93">
        <f>'II_Inkunabeln+'!AG205</f>
        <v>0</v>
      </c>
      <c r="H205" s="93">
        <f>'II_Inkunabeln+'!AP205</f>
        <v>0</v>
      </c>
      <c r="I205" s="93">
        <f>'II_Inkunabeln+'!AQ205</f>
        <v>0</v>
      </c>
      <c r="J205" s="94"/>
      <c r="K205" s="93">
        <f>'II_Inkunabeln+'!AW205</f>
        <v>0</v>
      </c>
      <c r="L205" s="93">
        <f>'II_Inkunabeln+'!AX205</f>
        <v>0</v>
      </c>
      <c r="AA205" s="93">
        <f>'II_Inkunabeln+'!AY205</f>
        <v>0</v>
      </c>
      <c r="AB205" s="94">
        <f>'II_Inkunabeln+'!BA205</f>
        <v>0</v>
      </c>
      <c r="AC205" s="108"/>
      <c r="AD205" s="81">
        <f>'II_Inkunabeln+'!BJ205</f>
        <v>0</v>
      </c>
    </row>
    <row r="206" spans="1:30" x14ac:dyDescent="0.25">
      <c r="A206" s="63">
        <f>'II_Inkunabeln+'!A206</f>
        <v>198</v>
      </c>
      <c r="B206" s="63" t="str">
        <f>'II_Inkunabeln+'!B206</f>
        <v>L-1473-315497637</v>
      </c>
      <c r="C206" s="63">
        <f>'II_Inkunabeln+'!C206</f>
        <v>1066967385</v>
      </c>
      <c r="D206" s="84" t="str">
        <f>'II_Inkunabeln+'!D206</f>
        <v>https://portal.dnb.de/opac.htm?method=simpleSearch&amp;cqlMode=true&amp;query=idn%3D1066967385</v>
      </c>
      <c r="E206" s="63" t="str">
        <f>'II_Inkunabeln+'!E206</f>
        <v>II 8,6m - 2</v>
      </c>
      <c r="F206" s="63" t="str">
        <f>'II_Inkunabeln+'!H206</f>
        <v>bis 35 cm</v>
      </c>
      <c r="G206" s="93">
        <f>'II_Inkunabeln+'!AG206</f>
        <v>0</v>
      </c>
      <c r="H206" s="93">
        <f>'II_Inkunabeln+'!AP206</f>
        <v>0</v>
      </c>
      <c r="I206" s="93">
        <f>'II_Inkunabeln+'!AQ206</f>
        <v>0</v>
      </c>
      <c r="J206" s="94"/>
      <c r="K206" s="93">
        <f>'II_Inkunabeln+'!AW206</f>
        <v>0</v>
      </c>
      <c r="L206" s="93">
        <f>'II_Inkunabeln+'!AX206</f>
        <v>0</v>
      </c>
      <c r="AA206" s="93">
        <f>'II_Inkunabeln+'!AY206</f>
        <v>0</v>
      </c>
      <c r="AB206" s="94">
        <f>'II_Inkunabeln+'!BA206</f>
        <v>0</v>
      </c>
      <c r="AC206" s="108"/>
      <c r="AD206" s="81">
        <f>'II_Inkunabeln+'!BJ206</f>
        <v>0</v>
      </c>
    </row>
    <row r="207" spans="1:30" x14ac:dyDescent="0.25">
      <c r="A207" s="63">
        <f>'II_Inkunabeln+'!A207</f>
        <v>199</v>
      </c>
      <c r="B207" s="63" t="str">
        <f>'II_Inkunabeln+'!B207</f>
        <v>L-1473-315499699</v>
      </c>
      <c r="C207" s="63">
        <f>'II_Inkunabeln+'!C207</f>
        <v>1066969353</v>
      </c>
      <c r="D207" s="84" t="str">
        <f>'II_Inkunabeln+'!D207</f>
        <v>https://portal.dnb.de/opac.htm?method=simpleSearch&amp;cqlMode=true&amp;query=idn%3D1066969353</v>
      </c>
      <c r="E207" s="63" t="str">
        <f>'II_Inkunabeln+'!E207</f>
        <v>II 8,7a</v>
      </c>
      <c r="F207" s="63" t="str">
        <f>'II_Inkunabeln+'!H207</f>
        <v>bis 25 cm</v>
      </c>
      <c r="G207" s="93">
        <f>'II_Inkunabeln+'!AG207</f>
        <v>0</v>
      </c>
      <c r="H207" s="93">
        <f>'II_Inkunabeln+'!AP207</f>
        <v>0</v>
      </c>
      <c r="I207" s="93">
        <f>'II_Inkunabeln+'!AQ207</f>
        <v>0</v>
      </c>
      <c r="J207" s="94"/>
      <c r="K207" s="93">
        <f>'II_Inkunabeln+'!AW207</f>
        <v>0</v>
      </c>
      <c r="L207" s="93">
        <f>'II_Inkunabeln+'!AX207</f>
        <v>0</v>
      </c>
      <c r="AA207" s="93">
        <f>'II_Inkunabeln+'!AY207</f>
        <v>0</v>
      </c>
      <c r="AB207" s="94">
        <f>'II_Inkunabeln+'!BA207</f>
        <v>0</v>
      </c>
      <c r="AC207" s="108"/>
      <c r="AD207" s="81">
        <f>'II_Inkunabeln+'!BJ207</f>
        <v>0</v>
      </c>
    </row>
    <row r="208" spans="1:30" x14ac:dyDescent="0.25">
      <c r="A208" s="63">
        <f>'II_Inkunabeln+'!A208</f>
        <v>200</v>
      </c>
      <c r="B208" s="63" t="str">
        <f>'II_Inkunabeln+'!B208</f>
        <v>L-1480-315496002</v>
      </c>
      <c r="C208" s="63">
        <f>'II_Inkunabeln+'!C208</f>
        <v>1066965765</v>
      </c>
      <c r="D208" s="84" t="str">
        <f>'II_Inkunabeln+'!D208</f>
        <v>https://portal.dnb.de/opac.htm?method=simpleSearch&amp;cqlMode=true&amp;query=idn%3D1066965765</v>
      </c>
      <c r="E208" s="63" t="str">
        <f>'II_Inkunabeln+'!E208</f>
        <v>II 8,8a</v>
      </c>
      <c r="F208" s="63" t="str">
        <f>'II_Inkunabeln+'!H208</f>
        <v>bis 25 cm</v>
      </c>
      <c r="G208" s="93">
        <f>'II_Inkunabeln+'!AG208</f>
        <v>0</v>
      </c>
      <c r="H208" s="93">
        <f>'II_Inkunabeln+'!AP208</f>
        <v>0</v>
      </c>
      <c r="I208" s="93">
        <f>'II_Inkunabeln+'!AQ208</f>
        <v>0</v>
      </c>
      <c r="J208" s="94"/>
      <c r="K208" s="93">
        <f>'II_Inkunabeln+'!AW208</f>
        <v>0</v>
      </c>
      <c r="L208" s="93">
        <f>'II_Inkunabeln+'!AX208</f>
        <v>0</v>
      </c>
      <c r="AA208" s="93">
        <f>'II_Inkunabeln+'!AY208</f>
        <v>0</v>
      </c>
      <c r="AB208" s="94">
        <f>'II_Inkunabeln+'!BA208</f>
        <v>0</v>
      </c>
      <c r="AC208" s="108"/>
      <c r="AD208" s="81">
        <f>'II_Inkunabeln+'!BJ208</f>
        <v>0</v>
      </c>
    </row>
    <row r="209" spans="1:30" x14ac:dyDescent="0.25">
      <c r="A209" s="63">
        <f>'II_Inkunabeln+'!A209</f>
        <v>201</v>
      </c>
      <c r="B209" s="63" t="str">
        <f>'II_Inkunabeln+'!B209</f>
        <v>L-1483-315497904</v>
      </c>
      <c r="C209" s="63">
        <f>'II_Inkunabeln+'!C209</f>
        <v>1066967644</v>
      </c>
      <c r="D209" s="84" t="str">
        <f>'II_Inkunabeln+'!D209</f>
        <v>https://portal.dnb.de/opac.htm?method=simpleSearch&amp;cqlMode=true&amp;query=idn%3D1066967644</v>
      </c>
      <c r="E209" s="63" t="str">
        <f>'II_Inkunabeln+'!E209</f>
        <v>II 8,10a</v>
      </c>
      <c r="F209" s="63" t="str">
        <f>'II_Inkunabeln+'!H209</f>
        <v>bis 25 cm</v>
      </c>
      <c r="G209" s="93">
        <f>'II_Inkunabeln+'!AG209</f>
        <v>0</v>
      </c>
      <c r="H209" s="93">
        <f>'II_Inkunabeln+'!AP209</f>
        <v>0</v>
      </c>
      <c r="I209" s="93">
        <f>'II_Inkunabeln+'!AQ209</f>
        <v>0</v>
      </c>
      <c r="J209" s="94"/>
      <c r="K209" s="93">
        <f>'II_Inkunabeln+'!AW209</f>
        <v>0</v>
      </c>
      <c r="L209" s="93">
        <f>'II_Inkunabeln+'!AX209</f>
        <v>0</v>
      </c>
      <c r="AA209" s="93">
        <f>'II_Inkunabeln+'!AY209</f>
        <v>0</v>
      </c>
      <c r="AB209" s="94">
        <f>'II_Inkunabeln+'!BA209</f>
        <v>0</v>
      </c>
      <c r="AC209" s="108"/>
      <c r="AD209" s="81">
        <f>'II_Inkunabeln+'!BJ209</f>
        <v>0</v>
      </c>
    </row>
    <row r="210" spans="1:30" x14ac:dyDescent="0.25">
      <c r="A210" s="63">
        <f>'II_Inkunabeln+'!A210</f>
        <v>202</v>
      </c>
      <c r="B210" s="63" t="str">
        <f>'II_Inkunabeln+'!B210</f>
        <v>L-1480-343704323</v>
      </c>
      <c r="C210" s="63">
        <f>'II_Inkunabeln+'!C210</f>
        <v>1079553606</v>
      </c>
      <c r="D210" s="84" t="str">
        <f>'II_Inkunabeln+'!D210</f>
        <v>https://portal.dnb.de/opac.htm?method=simpleSearch&amp;cqlMode=true&amp;query=idn%3D1079553606</v>
      </c>
      <c r="E210" s="63" t="str">
        <f>'II_Inkunabeln+'!E210</f>
        <v>II 8,10b</v>
      </c>
      <c r="F210" s="63" t="str">
        <f>'II_Inkunabeln+'!H210</f>
        <v>bis 25 cm</v>
      </c>
      <c r="G210" s="93">
        <f>'II_Inkunabeln+'!AG210</f>
        <v>0</v>
      </c>
      <c r="H210" s="93">
        <f>'II_Inkunabeln+'!AP210</f>
        <v>0</v>
      </c>
      <c r="I210" s="93">
        <f>'II_Inkunabeln+'!AQ210</f>
        <v>0</v>
      </c>
      <c r="J210" s="94"/>
      <c r="K210" s="93">
        <f>'II_Inkunabeln+'!AW210</f>
        <v>0</v>
      </c>
      <c r="L210" s="93">
        <f>'II_Inkunabeln+'!AX210</f>
        <v>0</v>
      </c>
      <c r="AA210" s="93">
        <f>'II_Inkunabeln+'!AY210</f>
        <v>0</v>
      </c>
      <c r="AB210" s="94">
        <f>'II_Inkunabeln+'!BA210</f>
        <v>0</v>
      </c>
      <c r="AC210" s="108"/>
      <c r="AD210" s="81">
        <f>'II_Inkunabeln+'!BJ210</f>
        <v>0</v>
      </c>
    </row>
    <row r="211" spans="1:30" x14ac:dyDescent="0.25">
      <c r="A211" s="63">
        <f>'II_Inkunabeln+'!A211</f>
        <v>203</v>
      </c>
      <c r="B211" s="63" t="str">
        <f>'II_Inkunabeln+'!B211</f>
        <v>L-1476-326854657</v>
      </c>
      <c r="C211" s="63">
        <f>'II_Inkunabeln+'!C211</f>
        <v>1072057565</v>
      </c>
      <c r="D211" s="84" t="str">
        <f>'II_Inkunabeln+'!D211</f>
        <v>https://portal.dnb.de/opac.htm?method=simpleSearch&amp;cqlMode=true&amp;query=idn%3D1072057565</v>
      </c>
      <c r="E211" s="63" t="str">
        <f>'II_Inkunabeln+'!E211</f>
        <v>II 8,11 a</v>
      </c>
      <c r="F211" s="63" t="str">
        <f>'II_Inkunabeln+'!H211</f>
        <v>bis 35 cm</v>
      </c>
      <c r="G211" s="93">
        <f>'II_Inkunabeln+'!AG211</f>
        <v>0</v>
      </c>
      <c r="H211" s="93">
        <f>'II_Inkunabeln+'!AP211</f>
        <v>0</v>
      </c>
      <c r="I211" s="93">
        <f>'II_Inkunabeln+'!AQ211</f>
        <v>0</v>
      </c>
      <c r="J211" s="94"/>
      <c r="K211" s="93">
        <f>'II_Inkunabeln+'!AW211</f>
        <v>0</v>
      </c>
      <c r="L211" s="93">
        <f>'II_Inkunabeln+'!AX211</f>
        <v>0</v>
      </c>
      <c r="AA211" s="93">
        <f>'II_Inkunabeln+'!AY211</f>
        <v>0</v>
      </c>
      <c r="AB211" s="94">
        <f>'II_Inkunabeln+'!BA211</f>
        <v>0</v>
      </c>
      <c r="AC211" s="108"/>
      <c r="AD211" s="81">
        <f>'II_Inkunabeln+'!BJ211</f>
        <v>0</v>
      </c>
    </row>
    <row r="212" spans="1:30" x14ac:dyDescent="0.25">
      <c r="A212" s="63">
        <f>'II_Inkunabeln+'!A212</f>
        <v>204</v>
      </c>
      <c r="B212" s="63" t="str">
        <f>'II_Inkunabeln+'!B212</f>
        <v>L-1476-315500603</v>
      </c>
      <c r="C212" s="63">
        <f>'II_Inkunabeln+'!C212</f>
        <v>1066970262</v>
      </c>
      <c r="D212" s="84" t="str">
        <f>'II_Inkunabeln+'!D212</f>
        <v>https://portal.dnb.de/opac.htm?method=simpleSearch&amp;cqlMode=true&amp;query=idn%3D1066970262</v>
      </c>
      <c r="E212" s="63" t="str">
        <f>'II_Inkunabeln+'!E212</f>
        <v>II 8,11 b</v>
      </c>
      <c r="F212" s="63" t="str">
        <f>'II_Inkunabeln+'!H212</f>
        <v>bis 35 cm</v>
      </c>
      <c r="G212" s="93">
        <f>'II_Inkunabeln+'!AG212</f>
        <v>0</v>
      </c>
      <c r="H212" s="93">
        <f>'II_Inkunabeln+'!AP212</f>
        <v>0</v>
      </c>
      <c r="I212" s="93">
        <f>'II_Inkunabeln+'!AQ212</f>
        <v>0</v>
      </c>
      <c r="J212" s="94"/>
      <c r="K212" s="93">
        <f>'II_Inkunabeln+'!AW212</f>
        <v>0</v>
      </c>
      <c r="L212" s="93">
        <f>'II_Inkunabeln+'!AX212</f>
        <v>0</v>
      </c>
      <c r="AA212" s="93">
        <f>'II_Inkunabeln+'!AY212</f>
        <v>0</v>
      </c>
      <c r="AB212" s="94">
        <f>'II_Inkunabeln+'!BA212</f>
        <v>0</v>
      </c>
      <c r="AC212" s="108"/>
      <c r="AD212" s="81">
        <f>'II_Inkunabeln+'!BJ212</f>
        <v>0</v>
      </c>
    </row>
    <row r="213" spans="1:30" x14ac:dyDescent="0.25">
      <c r="A213" s="63">
        <f>'II_Inkunabeln+'!A213</f>
        <v>205</v>
      </c>
      <c r="B213" s="63" t="str">
        <f>'II_Inkunabeln+'!B213</f>
        <v>L-1475-315500972</v>
      </c>
      <c r="C213" s="63">
        <f>'II_Inkunabeln+'!C213</f>
        <v>1066970610</v>
      </c>
      <c r="D213" s="84" t="str">
        <f>'II_Inkunabeln+'!D213</f>
        <v>https://portal.dnb.de/opac.htm?method=simpleSearch&amp;cqlMode=true&amp;query=idn%3D1066970610</v>
      </c>
      <c r="E213" s="63" t="str">
        <f>'II_Inkunabeln+'!E213</f>
        <v>II 8,11c</v>
      </c>
      <c r="F213" s="63" t="str">
        <f>'II_Inkunabeln+'!H213</f>
        <v>bis 42 cm</v>
      </c>
      <c r="G213" s="93">
        <f>'II_Inkunabeln+'!AG213</f>
        <v>0</v>
      </c>
      <c r="H213" s="93">
        <f>'II_Inkunabeln+'!AP213</f>
        <v>0</v>
      </c>
      <c r="I213" s="93">
        <f>'II_Inkunabeln+'!AQ213</f>
        <v>0</v>
      </c>
      <c r="J213" s="94"/>
      <c r="K213" s="93">
        <f>'II_Inkunabeln+'!AW213</f>
        <v>0</v>
      </c>
      <c r="L213" s="93">
        <f>'II_Inkunabeln+'!AX213</f>
        <v>0</v>
      </c>
      <c r="AA213" s="93">
        <f>'II_Inkunabeln+'!AY213</f>
        <v>0</v>
      </c>
      <c r="AB213" s="94">
        <f>'II_Inkunabeln+'!BA213</f>
        <v>0</v>
      </c>
      <c r="AC213" s="108"/>
      <c r="AD213" s="81">
        <f>'II_Inkunabeln+'!BJ213</f>
        <v>0</v>
      </c>
    </row>
    <row r="214" spans="1:30" x14ac:dyDescent="0.25">
      <c r="A214" s="63">
        <f>'II_Inkunabeln+'!A214</f>
        <v>206</v>
      </c>
      <c r="B214" s="63" t="str">
        <f>'II_Inkunabeln+'!B214</f>
        <v>L-1486-315500514</v>
      </c>
      <c r="C214" s="63">
        <f>'II_Inkunabeln+'!C214</f>
        <v>1066970165</v>
      </c>
      <c r="D214" s="84" t="str">
        <f>'II_Inkunabeln+'!D214</f>
        <v>https://portal.dnb.de/opac.htm?method=simpleSearch&amp;cqlMode=true&amp;query=idn%3D1066970165</v>
      </c>
      <c r="E214" s="63" t="str">
        <f>'II_Inkunabeln+'!E214</f>
        <v>II 8,12a</v>
      </c>
      <c r="F214" s="63" t="str">
        <f>'II_Inkunabeln+'!H214</f>
        <v>bis 25 cm</v>
      </c>
      <c r="G214" s="93">
        <f>'II_Inkunabeln+'!AG214</f>
        <v>0</v>
      </c>
      <c r="H214" s="93">
        <f>'II_Inkunabeln+'!AP214</f>
        <v>0</v>
      </c>
      <c r="I214" s="93">
        <f>'II_Inkunabeln+'!AQ214</f>
        <v>0</v>
      </c>
      <c r="J214" s="94"/>
      <c r="K214" s="93">
        <f>'II_Inkunabeln+'!AW214</f>
        <v>0</v>
      </c>
      <c r="L214" s="93">
        <f>'II_Inkunabeln+'!AX214</f>
        <v>0</v>
      </c>
      <c r="AA214" s="93">
        <f>'II_Inkunabeln+'!AY214</f>
        <v>0</v>
      </c>
      <c r="AB214" s="94">
        <f>'II_Inkunabeln+'!BA214</f>
        <v>0</v>
      </c>
      <c r="AC214" s="108"/>
      <c r="AD214" s="81">
        <f>'II_Inkunabeln+'!BJ214</f>
        <v>0</v>
      </c>
    </row>
    <row r="215" spans="1:30" x14ac:dyDescent="0.25">
      <c r="A215" s="63">
        <f>'II_Inkunabeln+'!A215</f>
        <v>207</v>
      </c>
      <c r="B215" s="63" t="str">
        <f>'II_Inkunabeln+'!B215</f>
        <v>L-1487-315495839</v>
      </c>
      <c r="C215" s="63">
        <f>'II_Inkunabeln+'!C215</f>
        <v>1066965617</v>
      </c>
      <c r="D215" s="84" t="str">
        <f>'II_Inkunabeln+'!D215</f>
        <v>https://portal.dnb.de/opac.htm?method=simpleSearch&amp;cqlMode=true&amp;query=idn%3D1066965617</v>
      </c>
      <c r="E215" s="63" t="str">
        <f>'II_Inkunabeln+'!E215</f>
        <v>II 8,12b</v>
      </c>
      <c r="F215" s="63" t="str">
        <f>'II_Inkunabeln+'!H215</f>
        <v>bis 35 cm</v>
      </c>
      <c r="G215" s="93">
        <f>'II_Inkunabeln+'!AG215</f>
        <v>0</v>
      </c>
      <c r="H215" s="93">
        <f>'II_Inkunabeln+'!AP215</f>
        <v>0</v>
      </c>
      <c r="I215" s="93">
        <f>'II_Inkunabeln+'!AQ215</f>
        <v>0</v>
      </c>
      <c r="J215" s="94"/>
      <c r="K215" s="93">
        <f>'II_Inkunabeln+'!AW215</f>
        <v>0</v>
      </c>
      <c r="L215" s="93">
        <f>'II_Inkunabeln+'!AX215</f>
        <v>0</v>
      </c>
      <c r="AA215" s="93">
        <f>'II_Inkunabeln+'!AY215</f>
        <v>0</v>
      </c>
      <c r="AB215" s="94">
        <f>'II_Inkunabeln+'!BA215</f>
        <v>0</v>
      </c>
      <c r="AC215" s="108"/>
      <c r="AD215" s="81">
        <f>'II_Inkunabeln+'!BJ215</f>
        <v>0</v>
      </c>
    </row>
    <row r="216" spans="1:30" x14ac:dyDescent="0.25">
      <c r="A216" s="63">
        <f>'II_Inkunabeln+'!A216</f>
        <v>208</v>
      </c>
      <c r="B216" s="63" t="str">
        <f>'II_Inkunabeln+'!B216</f>
        <v>L-1485-315495200</v>
      </c>
      <c r="C216" s="63">
        <f>'II_Inkunabeln+'!C216</f>
        <v>1066965064</v>
      </c>
      <c r="D216" s="84" t="str">
        <f>'II_Inkunabeln+'!D216</f>
        <v>https://portal.dnb.de/opac.htm?method=simpleSearch&amp;cqlMode=true&amp;query=idn%3D1066965064</v>
      </c>
      <c r="E216" s="63" t="str">
        <f>'II_Inkunabeln+'!E216</f>
        <v>II 8,12c</v>
      </c>
      <c r="F216" s="63" t="str">
        <f>'II_Inkunabeln+'!H216</f>
        <v>bis 25 cm</v>
      </c>
      <c r="G216" s="93">
        <f>'II_Inkunabeln+'!AG216</f>
        <v>0</v>
      </c>
      <c r="H216" s="93">
        <f>'II_Inkunabeln+'!AP216</f>
        <v>0</v>
      </c>
      <c r="I216" s="93">
        <f>'II_Inkunabeln+'!AQ216</f>
        <v>0</v>
      </c>
      <c r="J216" s="94"/>
      <c r="K216" s="93">
        <f>'II_Inkunabeln+'!AW216</f>
        <v>0</v>
      </c>
      <c r="L216" s="93">
        <f>'II_Inkunabeln+'!AX216</f>
        <v>0</v>
      </c>
      <c r="AA216" s="93">
        <f>'II_Inkunabeln+'!AY216</f>
        <v>0</v>
      </c>
      <c r="AB216" s="94">
        <f>'II_Inkunabeln+'!BA216</f>
        <v>0</v>
      </c>
      <c r="AC216" s="108"/>
      <c r="AD216" s="81">
        <f>'II_Inkunabeln+'!BJ216</f>
        <v>0</v>
      </c>
    </row>
    <row r="217" spans="1:30" x14ac:dyDescent="0.25">
      <c r="A217" s="63">
        <f>'II_Inkunabeln+'!A217</f>
        <v>209</v>
      </c>
      <c r="B217" s="63" t="str">
        <f>'II_Inkunabeln+'!B217</f>
        <v>L-1478-327278625</v>
      </c>
      <c r="C217" s="63">
        <f>'II_Inkunabeln+'!C217</f>
        <v>1072318075</v>
      </c>
      <c r="D217" s="84" t="str">
        <f>'II_Inkunabeln+'!D217</f>
        <v>https://portal.dnb.de/opac.htm?method=simpleSearch&amp;cqlMode=true&amp;query=idn%3D1072318075</v>
      </c>
      <c r="E217" s="63" t="str">
        <f>'II_Inkunabeln+'!E217</f>
        <v>II 8,12d</v>
      </c>
      <c r="F217" s="63" t="str">
        <f>'II_Inkunabeln+'!H217</f>
        <v>bis 35 cm</v>
      </c>
      <c r="G217" s="93">
        <f>'II_Inkunabeln+'!AG217</f>
        <v>0</v>
      </c>
      <c r="H217" s="93">
        <f>'II_Inkunabeln+'!AP217</f>
        <v>0</v>
      </c>
      <c r="I217" s="93">
        <f>'II_Inkunabeln+'!AQ217</f>
        <v>0</v>
      </c>
      <c r="J217" s="94"/>
      <c r="K217" s="93">
        <f>'II_Inkunabeln+'!AW217</f>
        <v>0</v>
      </c>
      <c r="L217" s="93">
        <f>'II_Inkunabeln+'!AX217</f>
        <v>0</v>
      </c>
      <c r="AA217" s="93">
        <f>'II_Inkunabeln+'!AY217</f>
        <v>0</v>
      </c>
      <c r="AB217" s="94">
        <f>'II_Inkunabeln+'!BA217</f>
        <v>0</v>
      </c>
      <c r="AC217" s="108"/>
      <c r="AD217" s="81">
        <f>'II_Inkunabeln+'!BJ217</f>
        <v>0</v>
      </c>
    </row>
    <row r="218" spans="1:30" x14ac:dyDescent="0.25">
      <c r="A218" s="63">
        <f>'II_Inkunabeln+'!A218</f>
        <v>210</v>
      </c>
      <c r="B218" s="63" t="str">
        <f>'II_Inkunabeln+'!B218</f>
        <v>L-1479-315495820</v>
      </c>
      <c r="C218" s="63">
        <f>'II_Inkunabeln+'!C218</f>
        <v>1066965609</v>
      </c>
      <c r="D218" s="84" t="str">
        <f>'II_Inkunabeln+'!D218</f>
        <v>https://portal.dnb.de/opac.htm?method=simpleSearch&amp;cqlMode=true&amp;query=idn%3D1066965609</v>
      </c>
      <c r="E218" s="63" t="str">
        <f>'II_Inkunabeln+'!E218</f>
        <v>II 8,13a</v>
      </c>
      <c r="F218" s="63" t="str">
        <f>'II_Inkunabeln+'!H218</f>
        <v>bis 42 cm</v>
      </c>
      <c r="G218" s="93">
        <f>'II_Inkunabeln+'!AG218</f>
        <v>0</v>
      </c>
      <c r="H218" s="93">
        <f>'II_Inkunabeln+'!AP218</f>
        <v>0</v>
      </c>
      <c r="I218" s="93">
        <f>'II_Inkunabeln+'!AQ218</f>
        <v>0</v>
      </c>
      <c r="J218" s="94"/>
      <c r="K218" s="93">
        <f>'II_Inkunabeln+'!AW218</f>
        <v>0</v>
      </c>
      <c r="L218" s="93">
        <f>'II_Inkunabeln+'!AX218</f>
        <v>0</v>
      </c>
      <c r="AA218" s="93">
        <f>'II_Inkunabeln+'!AY218</f>
        <v>0</v>
      </c>
      <c r="AB218" s="94">
        <f>'II_Inkunabeln+'!BA218</f>
        <v>0</v>
      </c>
      <c r="AC218" s="108"/>
      <c r="AD218" s="81">
        <f>'II_Inkunabeln+'!BJ218</f>
        <v>0</v>
      </c>
    </row>
    <row r="219" spans="1:30" x14ac:dyDescent="0.25">
      <c r="A219" s="63">
        <f>'II_Inkunabeln+'!A219</f>
        <v>211</v>
      </c>
      <c r="B219" s="63" t="str">
        <f>'II_Inkunabeln+'!B219</f>
        <v>L-1484-315495049</v>
      </c>
      <c r="C219" s="63">
        <f>'II_Inkunabeln+'!C219</f>
        <v>1066964874</v>
      </c>
      <c r="D219" s="84" t="str">
        <f>'II_Inkunabeln+'!D219</f>
        <v>https://portal.dnb.de/opac.htm?method=simpleSearch&amp;cqlMode=true&amp;query=idn%3D1066964874</v>
      </c>
      <c r="E219" s="63" t="str">
        <f>'II_Inkunabeln+'!E219</f>
        <v>II 8,13b</v>
      </c>
      <c r="F219" s="63">
        <f>'II_Inkunabeln+'!H219</f>
        <v>0</v>
      </c>
      <c r="G219" s="93">
        <f>'II_Inkunabeln+'!AG219</f>
        <v>0</v>
      </c>
      <c r="H219" s="93">
        <f>'II_Inkunabeln+'!AP219</f>
        <v>0</v>
      </c>
      <c r="I219" s="93">
        <f>'II_Inkunabeln+'!AQ219</f>
        <v>0</v>
      </c>
      <c r="J219" s="94"/>
      <c r="K219" s="93">
        <f>'II_Inkunabeln+'!AW219</f>
        <v>0</v>
      </c>
      <c r="L219" s="93">
        <f>'II_Inkunabeln+'!AX219</f>
        <v>0</v>
      </c>
      <c r="AA219" s="93">
        <f>'II_Inkunabeln+'!AY219</f>
        <v>0</v>
      </c>
      <c r="AB219" s="94">
        <f>'II_Inkunabeln+'!BA219</f>
        <v>0</v>
      </c>
      <c r="AC219" s="108"/>
      <c r="AD219" s="81">
        <f>'II_Inkunabeln+'!BJ219</f>
        <v>0</v>
      </c>
    </row>
    <row r="220" spans="1:30" x14ac:dyDescent="0.25">
      <c r="A220" s="63">
        <f>'II_Inkunabeln+'!A220</f>
        <v>212</v>
      </c>
      <c r="B220" s="63" t="str">
        <f>'II_Inkunabeln+'!B220</f>
        <v>L-1492-315498625</v>
      </c>
      <c r="C220" s="63">
        <f>'II_Inkunabeln+'!C220</f>
        <v>1066968373</v>
      </c>
      <c r="D220" s="84" t="str">
        <f>'II_Inkunabeln+'!D220</f>
        <v>https://portal.dnb.de/opac.htm?method=simpleSearch&amp;cqlMode=true&amp;query=idn%3D1066968373</v>
      </c>
      <c r="E220" s="63" t="str">
        <f>'II_Inkunabeln+'!E220</f>
        <v>II 8,13c</v>
      </c>
      <c r="F220" s="63">
        <f>'II_Inkunabeln+'!H220</f>
        <v>0</v>
      </c>
      <c r="G220" s="93">
        <f>'II_Inkunabeln+'!AG220</f>
        <v>0</v>
      </c>
      <c r="H220" s="93">
        <f>'II_Inkunabeln+'!AP220</f>
        <v>0</v>
      </c>
      <c r="I220" s="93">
        <f>'II_Inkunabeln+'!AQ220</f>
        <v>0</v>
      </c>
      <c r="J220" s="94"/>
      <c r="K220" s="93">
        <f>'II_Inkunabeln+'!AW220</f>
        <v>0</v>
      </c>
      <c r="L220" s="93">
        <f>'II_Inkunabeln+'!AX220</f>
        <v>0</v>
      </c>
      <c r="AA220" s="93">
        <f>'II_Inkunabeln+'!AY220</f>
        <v>0</v>
      </c>
      <c r="AB220" s="94">
        <f>'II_Inkunabeln+'!BA220</f>
        <v>0</v>
      </c>
      <c r="AC220" s="108"/>
      <c r="AD220" s="81">
        <f>'II_Inkunabeln+'!BJ220</f>
        <v>0</v>
      </c>
    </row>
    <row r="221" spans="1:30" x14ac:dyDescent="0.25">
      <c r="A221" s="63">
        <f>'II_Inkunabeln+'!A221</f>
        <v>213</v>
      </c>
      <c r="B221" s="63" t="str">
        <f>'II_Inkunabeln+'!B221</f>
        <v>L-1495-315502096</v>
      </c>
      <c r="C221" s="63">
        <f>'II_Inkunabeln+'!C221</f>
        <v>1066971706</v>
      </c>
      <c r="D221" s="84" t="str">
        <f>'II_Inkunabeln+'!D221</f>
        <v>https://portal.dnb.de/opac.htm?method=simpleSearch&amp;cqlMode=true&amp;query=idn%3D1066971706</v>
      </c>
      <c r="E221" s="63" t="str">
        <f>'II_Inkunabeln+'!E221</f>
        <v>II 8,13d</v>
      </c>
      <c r="F221" s="63">
        <f>'II_Inkunabeln+'!H221</f>
        <v>0</v>
      </c>
      <c r="G221" s="93">
        <f>'II_Inkunabeln+'!AG221</f>
        <v>0</v>
      </c>
      <c r="H221" s="93">
        <f>'II_Inkunabeln+'!AP221</f>
        <v>0</v>
      </c>
      <c r="I221" s="93">
        <f>'II_Inkunabeln+'!AQ221</f>
        <v>0</v>
      </c>
      <c r="J221" s="94"/>
      <c r="K221" s="93">
        <f>'II_Inkunabeln+'!AW221</f>
        <v>0</v>
      </c>
      <c r="L221" s="93">
        <f>'II_Inkunabeln+'!AX221</f>
        <v>0</v>
      </c>
      <c r="AA221" s="93">
        <f>'II_Inkunabeln+'!AY221</f>
        <v>0</v>
      </c>
      <c r="AB221" s="94">
        <f>'II_Inkunabeln+'!BA221</f>
        <v>0</v>
      </c>
      <c r="AC221" s="108"/>
      <c r="AD221" s="81">
        <f>'II_Inkunabeln+'!BJ221</f>
        <v>0</v>
      </c>
    </row>
    <row r="222" spans="1:30" x14ac:dyDescent="0.25">
      <c r="A222" s="63">
        <f>'II_Inkunabeln+'!A222</f>
        <v>214</v>
      </c>
      <c r="B222" s="63" t="str">
        <f>'II_Inkunabeln+'!B222</f>
        <v>L-1497-315497122</v>
      </c>
      <c r="C222" s="63">
        <f>'II_Inkunabeln+'!C222</f>
        <v>1066966826</v>
      </c>
      <c r="D222" s="84" t="str">
        <f>'II_Inkunabeln+'!D222</f>
        <v>https://portal.dnb.de/opac.htm?method=simpleSearch&amp;cqlMode=true&amp;query=idn%3D1066966826</v>
      </c>
      <c r="E222" s="63" t="str">
        <f>'II_Inkunabeln+'!E222</f>
        <v>II 8,13e</v>
      </c>
      <c r="F222" s="63" t="str">
        <f>'II_Inkunabeln+'!H222</f>
        <v>bis 25 cm</v>
      </c>
      <c r="G222" s="93">
        <f>'II_Inkunabeln+'!AG222</f>
        <v>0</v>
      </c>
      <c r="H222" s="93">
        <f>'II_Inkunabeln+'!AP222</f>
        <v>0</v>
      </c>
      <c r="I222" s="93">
        <f>'II_Inkunabeln+'!AQ222</f>
        <v>0</v>
      </c>
      <c r="J222" s="94"/>
      <c r="K222" s="93">
        <f>'II_Inkunabeln+'!AW222</f>
        <v>0</v>
      </c>
      <c r="L222" s="93">
        <f>'II_Inkunabeln+'!AX222</f>
        <v>0</v>
      </c>
      <c r="AA222" s="93">
        <f>'II_Inkunabeln+'!AY222</f>
        <v>0</v>
      </c>
      <c r="AB222" s="94">
        <f>'II_Inkunabeln+'!BA222</f>
        <v>0</v>
      </c>
      <c r="AC222" s="108"/>
      <c r="AD222" s="81">
        <f>'II_Inkunabeln+'!BJ222</f>
        <v>0</v>
      </c>
    </row>
    <row r="223" spans="1:30" x14ac:dyDescent="0.25">
      <c r="A223" s="63">
        <f>'II_Inkunabeln+'!A223</f>
        <v>215</v>
      </c>
      <c r="B223" s="63" t="str">
        <f>'II_Inkunabeln+'!B223</f>
        <v>L-1497-315495243</v>
      </c>
      <c r="C223" s="63">
        <f>'II_Inkunabeln+'!C223</f>
        <v>1066965102</v>
      </c>
      <c r="D223" s="84" t="str">
        <f>'II_Inkunabeln+'!D223</f>
        <v>https://portal.dnb.de/opac.htm?method=simpleSearch&amp;cqlMode=true&amp;query=idn%3D1066965102</v>
      </c>
      <c r="E223" s="63" t="str">
        <f>'II_Inkunabeln+'!E223</f>
        <v>II 8,13f</v>
      </c>
      <c r="F223" s="63" t="str">
        <f>'II_Inkunabeln+'!H223</f>
        <v>bis 25 cm</v>
      </c>
      <c r="G223" s="93">
        <f>'II_Inkunabeln+'!AG223</f>
        <v>0</v>
      </c>
      <c r="H223" s="93">
        <f>'II_Inkunabeln+'!AP223</f>
        <v>0</v>
      </c>
      <c r="I223" s="93">
        <f>'II_Inkunabeln+'!AQ223</f>
        <v>0</v>
      </c>
      <c r="J223" s="94"/>
      <c r="K223" s="93">
        <f>'II_Inkunabeln+'!AW223</f>
        <v>0</v>
      </c>
      <c r="L223" s="93">
        <f>'II_Inkunabeln+'!AX223</f>
        <v>0</v>
      </c>
      <c r="AA223" s="93">
        <f>'II_Inkunabeln+'!AY223</f>
        <v>0</v>
      </c>
      <c r="AB223" s="94">
        <f>'II_Inkunabeln+'!BA223</f>
        <v>0</v>
      </c>
      <c r="AC223" s="108"/>
      <c r="AD223" s="81">
        <f>'II_Inkunabeln+'!BJ223</f>
        <v>0</v>
      </c>
    </row>
    <row r="224" spans="1:30" x14ac:dyDescent="0.25">
      <c r="A224" s="63">
        <f>'II_Inkunabeln+'!A224</f>
        <v>216</v>
      </c>
      <c r="B224" s="63" t="str">
        <f>'II_Inkunabeln+'!B224</f>
        <v>L-1498-315495251</v>
      </c>
      <c r="C224" s="63">
        <f>'II_Inkunabeln+'!C224</f>
        <v>1066965110</v>
      </c>
      <c r="D224" s="84" t="str">
        <f>'II_Inkunabeln+'!D224</f>
        <v>https://portal.dnb.de/opac.htm?method=simpleSearch&amp;cqlMode=true&amp;query=idn%3D1066965110</v>
      </c>
      <c r="E224" s="63" t="str">
        <f>'II_Inkunabeln+'!E224</f>
        <v>II 8,13g</v>
      </c>
      <c r="F224" s="63" t="str">
        <f>'II_Inkunabeln+'!H224</f>
        <v>bis 25 cm</v>
      </c>
      <c r="G224" s="93">
        <f>'II_Inkunabeln+'!AG224</f>
        <v>0</v>
      </c>
      <c r="H224" s="93">
        <f>'II_Inkunabeln+'!AP224</f>
        <v>0</v>
      </c>
      <c r="I224" s="93">
        <f>'II_Inkunabeln+'!AQ224</f>
        <v>0</v>
      </c>
      <c r="J224" s="94"/>
      <c r="K224" s="93">
        <f>'II_Inkunabeln+'!AW224</f>
        <v>0</v>
      </c>
      <c r="L224" s="93">
        <f>'II_Inkunabeln+'!AX224</f>
        <v>0</v>
      </c>
      <c r="AA224" s="93">
        <f>'II_Inkunabeln+'!AY224</f>
        <v>0</v>
      </c>
      <c r="AB224" s="94">
        <f>'II_Inkunabeln+'!BA224</f>
        <v>0</v>
      </c>
      <c r="AC224" s="108"/>
      <c r="AD224" s="81">
        <f>'II_Inkunabeln+'!BJ224</f>
        <v>0</v>
      </c>
    </row>
    <row r="225" spans="1:30" x14ac:dyDescent="0.25">
      <c r="A225" s="63">
        <f>'II_Inkunabeln+'!A225</f>
        <v>217</v>
      </c>
      <c r="B225" s="63" t="str">
        <f>'II_Inkunabeln+'!B225</f>
        <v>L-1490-326854908</v>
      </c>
      <c r="C225" s="63">
        <f>'II_Inkunabeln+'!C225</f>
        <v>1072057948</v>
      </c>
      <c r="D225" s="84" t="str">
        <f>'II_Inkunabeln+'!D225</f>
        <v>https://portal.dnb.de/opac.htm?method=simpleSearch&amp;cqlMode=true&amp;query=idn%3D1072057948</v>
      </c>
      <c r="E225" s="63" t="str">
        <f>'II_Inkunabeln+'!E225</f>
        <v>II 8,13k</v>
      </c>
      <c r="F225" s="63">
        <f>'II_Inkunabeln+'!H225</f>
        <v>0</v>
      </c>
      <c r="G225" s="93">
        <f>'II_Inkunabeln+'!AG225</f>
        <v>0</v>
      </c>
      <c r="H225" s="93">
        <f>'II_Inkunabeln+'!AP225</f>
        <v>0</v>
      </c>
      <c r="I225" s="93">
        <f>'II_Inkunabeln+'!AQ225</f>
        <v>0</v>
      </c>
      <c r="J225" s="94"/>
      <c r="K225" s="93">
        <f>'II_Inkunabeln+'!AW225</f>
        <v>0</v>
      </c>
      <c r="L225" s="93">
        <f>'II_Inkunabeln+'!AX225</f>
        <v>0</v>
      </c>
      <c r="AA225" s="93">
        <f>'II_Inkunabeln+'!AY225</f>
        <v>0</v>
      </c>
      <c r="AB225" s="94">
        <f>'II_Inkunabeln+'!BA225</f>
        <v>0</v>
      </c>
      <c r="AC225" s="108"/>
      <c r="AD225" s="81">
        <f>'II_Inkunabeln+'!BJ225</f>
        <v>0</v>
      </c>
    </row>
    <row r="226" spans="1:30" x14ac:dyDescent="0.25">
      <c r="A226" s="63">
        <f>'II_Inkunabeln+'!A226</f>
        <v>218</v>
      </c>
      <c r="B226" s="63" t="str">
        <f>'II_Inkunabeln+'!B226</f>
        <v>L-1500-315502894</v>
      </c>
      <c r="C226" s="63">
        <f>'II_Inkunabeln+'!C226</f>
        <v>1066972478</v>
      </c>
      <c r="D226" s="84" t="str">
        <f>'II_Inkunabeln+'!D226</f>
        <v>https://portal.dnb.de/opac.htm?method=simpleSearch&amp;cqlMode=true&amp;query=idn%3D1066972478</v>
      </c>
      <c r="E226" s="63" t="str">
        <f>'II_Inkunabeln+'!E226</f>
        <v>II 8,13l</v>
      </c>
      <c r="F226" s="63">
        <f>'II_Inkunabeln+'!H226</f>
        <v>0</v>
      </c>
      <c r="G226" s="93">
        <f>'II_Inkunabeln+'!AG226</f>
        <v>0</v>
      </c>
      <c r="H226" s="93">
        <f>'II_Inkunabeln+'!AP226</f>
        <v>0</v>
      </c>
      <c r="I226" s="93">
        <f>'II_Inkunabeln+'!AQ226</f>
        <v>0</v>
      </c>
      <c r="J226" s="94"/>
      <c r="K226" s="93">
        <f>'II_Inkunabeln+'!AW226</f>
        <v>0</v>
      </c>
      <c r="L226" s="93">
        <f>'II_Inkunabeln+'!AX226</f>
        <v>0</v>
      </c>
      <c r="AA226" s="93">
        <f>'II_Inkunabeln+'!AY226</f>
        <v>0</v>
      </c>
      <c r="AB226" s="94">
        <f>'II_Inkunabeln+'!BA226</f>
        <v>0</v>
      </c>
      <c r="AC226" s="108"/>
      <c r="AD226" s="81">
        <f>'II_Inkunabeln+'!BJ226</f>
        <v>0</v>
      </c>
    </row>
    <row r="227" spans="1:30" x14ac:dyDescent="0.25">
      <c r="A227" s="63">
        <f>'II_Inkunabeln+'!A227</f>
        <v>219</v>
      </c>
      <c r="B227" s="63" t="str">
        <f>'II_Inkunabeln+'!B227</f>
        <v>L-1494-315499273</v>
      </c>
      <c r="C227" s="63">
        <f>'II_Inkunabeln+'!C227</f>
        <v>1066969000</v>
      </c>
      <c r="D227" s="84" t="str">
        <f>'II_Inkunabeln+'!D227</f>
        <v>https://portal.dnb.de/opac.htm?method=simpleSearch&amp;cqlMode=true&amp;query=idn%3D1066969000</v>
      </c>
      <c r="E227" s="63" t="str">
        <f>'II_Inkunabeln+'!E227</f>
        <v>II 8,13m</v>
      </c>
      <c r="F227" s="63" t="str">
        <f>'II_Inkunabeln+'!H227</f>
        <v>bis 25 cm</v>
      </c>
      <c r="G227" s="93">
        <f>'II_Inkunabeln+'!AG227</f>
        <v>0</v>
      </c>
      <c r="H227" s="93">
        <f>'II_Inkunabeln+'!AP227</f>
        <v>0</v>
      </c>
      <c r="I227" s="93">
        <f>'II_Inkunabeln+'!AQ227</f>
        <v>0</v>
      </c>
      <c r="J227" s="94"/>
      <c r="K227" s="93">
        <f>'II_Inkunabeln+'!AW227</f>
        <v>0</v>
      </c>
      <c r="L227" s="93">
        <f>'II_Inkunabeln+'!AX227</f>
        <v>0</v>
      </c>
      <c r="AA227" s="93">
        <f>'II_Inkunabeln+'!AY227</f>
        <v>0</v>
      </c>
      <c r="AB227" s="94">
        <f>'II_Inkunabeln+'!BA227</f>
        <v>0</v>
      </c>
      <c r="AC227" s="108"/>
      <c r="AD227" s="81">
        <f>'II_Inkunabeln+'!BJ227</f>
        <v>0</v>
      </c>
    </row>
    <row r="228" spans="1:30" x14ac:dyDescent="0.25">
      <c r="A228" s="63">
        <f>'II_Inkunabeln+'!A228</f>
        <v>220</v>
      </c>
      <c r="B228" s="63" t="str">
        <f>'II_Inkunabeln+'!B228</f>
        <v>L-1498-315501103</v>
      </c>
      <c r="C228" s="63">
        <f>'II_Inkunabeln+'!C228</f>
        <v>1066970750</v>
      </c>
      <c r="D228" s="84" t="str">
        <f>'II_Inkunabeln+'!D228</f>
        <v>https://portal.dnb.de/opac.htm?method=simpleSearch&amp;cqlMode=true&amp;query=idn%3D1066970750</v>
      </c>
      <c r="E228" s="63" t="str">
        <f>'II_Inkunabeln+'!E228</f>
        <v>II 8,15a</v>
      </c>
      <c r="F228" s="63" t="str">
        <f>'II_Inkunabeln+'!H228</f>
        <v>bis 25 cm</v>
      </c>
      <c r="G228" s="93">
        <f>'II_Inkunabeln+'!AG228</f>
        <v>0</v>
      </c>
      <c r="H228" s="93">
        <f>'II_Inkunabeln+'!AP228</f>
        <v>0</v>
      </c>
      <c r="I228" s="93">
        <f>'II_Inkunabeln+'!AQ228</f>
        <v>0</v>
      </c>
      <c r="J228" s="94"/>
      <c r="K228" s="93">
        <f>'II_Inkunabeln+'!AW228</f>
        <v>0</v>
      </c>
      <c r="L228" s="93">
        <f>'II_Inkunabeln+'!AX228</f>
        <v>0</v>
      </c>
      <c r="AA228" s="93">
        <f>'II_Inkunabeln+'!AY228</f>
        <v>0</v>
      </c>
      <c r="AB228" s="94">
        <f>'II_Inkunabeln+'!BA228</f>
        <v>0</v>
      </c>
      <c r="AC228" s="108"/>
      <c r="AD228" s="81">
        <f>'II_Inkunabeln+'!BJ228</f>
        <v>0</v>
      </c>
    </row>
    <row r="229" spans="1:30" x14ac:dyDescent="0.25">
      <c r="A229" s="63">
        <f>'II_Inkunabeln+'!A229</f>
        <v>221</v>
      </c>
      <c r="B229" s="63" t="str">
        <f>'II_Inkunabeln+'!B229</f>
        <v>L-1498-315501111</v>
      </c>
      <c r="C229" s="63">
        <f>'II_Inkunabeln+'!C229</f>
        <v>1066970750</v>
      </c>
      <c r="D229" s="84" t="str">
        <f>'II_Inkunabeln+'!D229</f>
        <v>https://portal.dnb.de/opac.htm?method=simpleSearch&amp;cqlMode=true&amp;query=idn%3D1066970750</v>
      </c>
      <c r="E229" s="63" t="str">
        <f>'II_Inkunabeln+'!E229</f>
        <v>II 8,15ab</v>
      </c>
      <c r="F229" s="63">
        <f>'II_Inkunabeln+'!H229</f>
        <v>0</v>
      </c>
      <c r="G229" s="93">
        <f>'II_Inkunabeln+'!AG229</f>
        <v>0</v>
      </c>
      <c r="H229" s="93">
        <f>'II_Inkunabeln+'!AP229</f>
        <v>0</v>
      </c>
      <c r="I229" s="93">
        <f>'II_Inkunabeln+'!AQ229</f>
        <v>0</v>
      </c>
      <c r="J229" s="94"/>
      <c r="K229" s="93">
        <f>'II_Inkunabeln+'!AW229</f>
        <v>0</v>
      </c>
      <c r="L229" s="93">
        <f>'II_Inkunabeln+'!AX229</f>
        <v>0</v>
      </c>
      <c r="AA229" s="93">
        <f>'II_Inkunabeln+'!AY229</f>
        <v>0</v>
      </c>
      <c r="AB229" s="94">
        <f>'II_Inkunabeln+'!BA229</f>
        <v>0</v>
      </c>
      <c r="AC229" s="108"/>
      <c r="AD229" s="81">
        <f>'II_Inkunabeln+'!BJ229</f>
        <v>0</v>
      </c>
    </row>
    <row r="230" spans="1:30" x14ac:dyDescent="0.25">
      <c r="A230" s="63">
        <f>'II_Inkunabeln+'!A230</f>
        <v>0</v>
      </c>
      <c r="B230" s="63">
        <f>'II_Inkunabeln+'!B230</f>
        <v>0</v>
      </c>
      <c r="C230" s="63">
        <f>'II_Inkunabeln+'!C230</f>
        <v>0</v>
      </c>
      <c r="D230" s="84">
        <f>'II_Inkunabeln+'!D230</f>
        <v>0</v>
      </c>
      <c r="E230" s="63" t="str">
        <f>'II_Inkunabeln+'!E230</f>
        <v>II 8,16a</v>
      </c>
      <c r="F230" s="63" t="str">
        <f>'II_Inkunabeln+'!H230</f>
        <v>bis 25 cm</v>
      </c>
      <c r="G230" s="93">
        <f>'II_Inkunabeln+'!AG230</f>
        <v>0</v>
      </c>
      <c r="H230" s="93">
        <f>'II_Inkunabeln+'!AP230</f>
        <v>0</v>
      </c>
      <c r="I230" s="93">
        <f>'II_Inkunabeln+'!AQ230</f>
        <v>0</v>
      </c>
      <c r="J230" s="94"/>
      <c r="K230" s="93">
        <f>'II_Inkunabeln+'!AW230</f>
        <v>0</v>
      </c>
      <c r="L230" s="93">
        <f>'II_Inkunabeln+'!AX230</f>
        <v>0</v>
      </c>
      <c r="AA230" s="93">
        <f>'II_Inkunabeln+'!AY230</f>
        <v>0</v>
      </c>
      <c r="AB230" s="94">
        <f>'II_Inkunabeln+'!BA230</f>
        <v>0</v>
      </c>
      <c r="AC230" s="108"/>
      <c r="AD230" s="81">
        <f>'II_Inkunabeln+'!BJ230</f>
        <v>0</v>
      </c>
    </row>
    <row r="231" spans="1:30" x14ac:dyDescent="0.25">
      <c r="A231" s="63">
        <f>'II_Inkunabeln+'!A231</f>
        <v>222</v>
      </c>
      <c r="B231" s="63" t="str">
        <f>'II_Inkunabeln+'!B231</f>
        <v>L-1485-315502215</v>
      </c>
      <c r="C231" s="63">
        <f>'II_Inkunabeln+'!C231</f>
        <v>1066971811</v>
      </c>
      <c r="D231" s="84" t="str">
        <f>'II_Inkunabeln+'!D231</f>
        <v>https://portal.dnb.de/opac.htm?method=simpleSearch&amp;cqlMode=true&amp;query=idn%3D1066971811</v>
      </c>
      <c r="E231" s="63" t="str">
        <f>'II_Inkunabeln+'!E231</f>
        <v>II 9,1a</v>
      </c>
      <c r="F231" s="63" t="str">
        <f>'II_Inkunabeln+'!H231</f>
        <v>bis 35 cm</v>
      </c>
      <c r="G231" s="93">
        <f>'II_Inkunabeln+'!AG231</f>
        <v>0</v>
      </c>
      <c r="H231" s="93">
        <f>'II_Inkunabeln+'!AP231</f>
        <v>0</v>
      </c>
      <c r="I231" s="93">
        <f>'II_Inkunabeln+'!AQ231</f>
        <v>0</v>
      </c>
      <c r="J231" s="94"/>
      <c r="K231" s="93">
        <f>'II_Inkunabeln+'!AW231</f>
        <v>0</v>
      </c>
      <c r="L231" s="93">
        <f>'II_Inkunabeln+'!AX231</f>
        <v>0</v>
      </c>
      <c r="AA231" s="93">
        <f>'II_Inkunabeln+'!AY231</f>
        <v>0</v>
      </c>
      <c r="AB231" s="94">
        <f>'II_Inkunabeln+'!BA231</f>
        <v>0</v>
      </c>
      <c r="AC231" s="108"/>
      <c r="AD231" s="81">
        <f>'II_Inkunabeln+'!BJ231</f>
        <v>0</v>
      </c>
    </row>
    <row r="232" spans="1:30" x14ac:dyDescent="0.25">
      <c r="A232" s="63">
        <f>'II_Inkunabeln+'!A232</f>
        <v>223</v>
      </c>
      <c r="B232" s="63" t="str">
        <f>'II_Inkunabeln+'!B232</f>
        <v>L-1472-315503556</v>
      </c>
      <c r="C232" s="63">
        <f>'II_Inkunabeln+'!C232</f>
        <v>1066973164</v>
      </c>
      <c r="D232" s="84" t="str">
        <f>'II_Inkunabeln+'!D232</f>
        <v>https://portal.dnb.de/opac.htm?method=simpleSearch&amp;cqlMode=true&amp;query=idn%3D1066973164</v>
      </c>
      <c r="E232" s="63" t="str">
        <f>'II_Inkunabeln+'!E232</f>
        <v>II 10,1a</v>
      </c>
      <c r="F232" s="63" t="str">
        <f>'II_Inkunabeln+'!H232</f>
        <v>bis 25 cm</v>
      </c>
      <c r="G232" s="93">
        <f>'II_Inkunabeln+'!AG232</f>
        <v>0</v>
      </c>
      <c r="H232" s="93">
        <f>'II_Inkunabeln+'!AP232</f>
        <v>0</v>
      </c>
      <c r="I232" s="93">
        <f>'II_Inkunabeln+'!AQ232</f>
        <v>0</v>
      </c>
      <c r="J232" s="94"/>
      <c r="K232" s="93">
        <f>'II_Inkunabeln+'!AW232</f>
        <v>0</v>
      </c>
      <c r="L232" s="93">
        <f>'II_Inkunabeln+'!AX232</f>
        <v>0</v>
      </c>
      <c r="AA232" s="93">
        <f>'II_Inkunabeln+'!AY232</f>
        <v>0</v>
      </c>
      <c r="AB232" s="94">
        <f>'II_Inkunabeln+'!BA232</f>
        <v>0</v>
      </c>
      <c r="AC232" s="108"/>
      <c r="AD232" s="81">
        <f>'II_Inkunabeln+'!BJ232</f>
        <v>0</v>
      </c>
    </row>
    <row r="233" spans="1:30" x14ac:dyDescent="0.25">
      <c r="A233" s="63">
        <f>'II_Inkunabeln+'!A233</f>
        <v>224</v>
      </c>
      <c r="B233" s="63" t="str">
        <f>'II_Inkunabeln+'!B233</f>
        <v>L-1483-315495715</v>
      </c>
      <c r="C233" s="63">
        <f>'II_Inkunabeln+'!C233</f>
        <v>1066965471</v>
      </c>
      <c r="D233" s="84" t="str">
        <f>'II_Inkunabeln+'!D233</f>
        <v>https://portal.dnb.de/opac.htm?method=simpleSearch&amp;cqlMode=true&amp;query=idn%3D1066965471</v>
      </c>
      <c r="E233" s="63" t="str">
        <f>'II_Inkunabeln+'!E233</f>
        <v>II 11,1a</v>
      </c>
      <c r="F233" s="63">
        <f>'II_Inkunabeln+'!H233</f>
        <v>0</v>
      </c>
      <c r="G233" s="93">
        <f>'II_Inkunabeln+'!AG233</f>
        <v>0</v>
      </c>
      <c r="H233" s="93">
        <f>'II_Inkunabeln+'!AP233</f>
        <v>0</v>
      </c>
      <c r="I233" s="93">
        <f>'II_Inkunabeln+'!AQ233</f>
        <v>0</v>
      </c>
      <c r="J233" s="94"/>
      <c r="K233" s="93">
        <f>'II_Inkunabeln+'!AW233</f>
        <v>0</v>
      </c>
      <c r="L233" s="93">
        <f>'II_Inkunabeln+'!AX233</f>
        <v>0</v>
      </c>
      <c r="AA233" s="93">
        <f>'II_Inkunabeln+'!AY233</f>
        <v>0</v>
      </c>
      <c r="AB233" s="94">
        <f>'II_Inkunabeln+'!BA233</f>
        <v>0</v>
      </c>
      <c r="AC233" s="108"/>
      <c r="AD233" s="81">
        <f>'II_Inkunabeln+'!BJ233</f>
        <v>0</v>
      </c>
    </row>
    <row r="234" spans="1:30" x14ac:dyDescent="0.25">
      <c r="A234" s="63">
        <f>'II_Inkunabeln+'!A234</f>
        <v>225</v>
      </c>
      <c r="B234" s="63" t="str">
        <f>'II_Inkunabeln+'!B234</f>
        <v>L-1500-315503181</v>
      </c>
      <c r="C234" s="63" t="str">
        <f>'II_Inkunabeln+'!C234</f>
        <v>106697277X</v>
      </c>
      <c r="D234" s="84" t="str">
        <f>'II_Inkunabeln+'!D234</f>
        <v>https://portal.dnb.de/opac.htm?method=simpleSearch&amp;cqlMode=true&amp;query=idn%3D106697277X</v>
      </c>
      <c r="E234" s="63" t="str">
        <f>'II_Inkunabeln+'!E234</f>
        <v>II 11,2a</v>
      </c>
      <c r="F234" s="63" t="str">
        <f>'II_Inkunabeln+'!H234</f>
        <v>bis 25 cm</v>
      </c>
      <c r="G234" s="93">
        <f>'II_Inkunabeln+'!AG234</f>
        <v>0</v>
      </c>
      <c r="H234" s="93">
        <f>'II_Inkunabeln+'!AP234</f>
        <v>0</v>
      </c>
      <c r="I234" s="93">
        <f>'II_Inkunabeln+'!AQ234</f>
        <v>0</v>
      </c>
      <c r="J234" s="94"/>
      <c r="K234" s="93">
        <f>'II_Inkunabeln+'!AW234</f>
        <v>0</v>
      </c>
      <c r="L234" s="93">
        <f>'II_Inkunabeln+'!AX234</f>
        <v>0</v>
      </c>
      <c r="AA234" s="93">
        <f>'II_Inkunabeln+'!AY234</f>
        <v>0</v>
      </c>
      <c r="AB234" s="94">
        <f>'II_Inkunabeln+'!BA234</f>
        <v>0</v>
      </c>
      <c r="AC234" s="108"/>
      <c r="AD234" s="81">
        <f>'II_Inkunabeln+'!BJ234</f>
        <v>0</v>
      </c>
    </row>
    <row r="235" spans="1:30" x14ac:dyDescent="0.25">
      <c r="A235" s="63">
        <f>'II_Inkunabeln+'!A235</f>
        <v>226</v>
      </c>
      <c r="B235" s="63" t="str">
        <f>'II_Inkunabeln+'!B235</f>
        <v>L-1472-31550305X</v>
      </c>
      <c r="C235" s="63" t="str">
        <f>'II_Inkunabeln+'!C235</f>
        <v>106697263X</v>
      </c>
      <c r="D235" s="84" t="str">
        <f>'II_Inkunabeln+'!D235</f>
        <v>https://portal.dnb.de/opac.htm?method=simpleSearch&amp;cqlMode=true&amp;query=idn%3D106697263X</v>
      </c>
      <c r="E235" s="63" t="str">
        <f>'II_Inkunabeln+'!E235</f>
        <v>II 12,1a</v>
      </c>
      <c r="F235" s="63" t="str">
        <f>'II_Inkunabeln+'!H235</f>
        <v>bis 42 cm</v>
      </c>
      <c r="G235" s="93">
        <f>'II_Inkunabeln+'!AG235</f>
        <v>0</v>
      </c>
      <c r="H235" s="93">
        <f>'II_Inkunabeln+'!AP235</f>
        <v>0</v>
      </c>
      <c r="I235" s="93">
        <f>'II_Inkunabeln+'!AQ235</f>
        <v>0</v>
      </c>
      <c r="J235" s="94"/>
      <c r="K235" s="93">
        <f>'II_Inkunabeln+'!AW235</f>
        <v>0</v>
      </c>
      <c r="L235" s="93">
        <f>'II_Inkunabeln+'!AX235</f>
        <v>0</v>
      </c>
      <c r="AA235" s="93">
        <f>'II_Inkunabeln+'!AY235</f>
        <v>0</v>
      </c>
      <c r="AB235" s="94">
        <f>'II_Inkunabeln+'!BA235</f>
        <v>0</v>
      </c>
      <c r="AC235" s="108"/>
      <c r="AD235" s="81">
        <f>'II_Inkunabeln+'!BJ235</f>
        <v>0</v>
      </c>
    </row>
    <row r="236" spans="1:30" x14ac:dyDescent="0.25">
      <c r="A236" s="63">
        <f>'II_Inkunabeln+'!A236</f>
        <v>227</v>
      </c>
      <c r="B236" s="63" t="str">
        <f>'II_Inkunabeln+'!B236</f>
        <v>L-1474-315502940</v>
      </c>
      <c r="C236" s="63">
        <f>'II_Inkunabeln+'!C236</f>
        <v>1066972524</v>
      </c>
      <c r="D236" s="84" t="str">
        <f>'II_Inkunabeln+'!D236</f>
        <v>https://portal.dnb.de/opac.htm?method=simpleSearch&amp;cqlMode=true&amp;query=idn%3D1066972524</v>
      </c>
      <c r="E236" s="63" t="str">
        <f>'II_Inkunabeln+'!E236</f>
        <v>II 12,1b</v>
      </c>
      <c r="F236" s="63">
        <f>'II_Inkunabeln+'!H236</f>
        <v>0</v>
      </c>
      <c r="G236" s="93">
        <f>'II_Inkunabeln+'!AG236</f>
        <v>0</v>
      </c>
      <c r="H236" s="93">
        <f>'II_Inkunabeln+'!AP236</f>
        <v>0</v>
      </c>
      <c r="I236" s="93">
        <f>'II_Inkunabeln+'!AQ236</f>
        <v>0</v>
      </c>
      <c r="J236" s="94"/>
      <c r="K236" s="93">
        <f>'II_Inkunabeln+'!AW236</f>
        <v>0</v>
      </c>
      <c r="L236" s="93">
        <f>'II_Inkunabeln+'!AX236</f>
        <v>0</v>
      </c>
      <c r="AA236" s="93">
        <f>'II_Inkunabeln+'!AY236</f>
        <v>0</v>
      </c>
      <c r="AB236" s="94">
        <f>'II_Inkunabeln+'!BA236</f>
        <v>0</v>
      </c>
      <c r="AC236" s="108"/>
      <c r="AD236" s="81">
        <f>'II_Inkunabeln+'!BJ236</f>
        <v>0</v>
      </c>
    </row>
    <row r="237" spans="1:30" x14ac:dyDescent="0.25">
      <c r="A237" s="63">
        <f>'II_Inkunabeln+'!A237</f>
        <v>228</v>
      </c>
      <c r="B237" s="63" t="str">
        <f>'II_Inkunabeln+'!B237</f>
        <v>L-1477-315501650</v>
      </c>
      <c r="C237" s="63">
        <f>'II_Inkunabeln+'!C237</f>
        <v>1066971293</v>
      </c>
      <c r="D237" s="84" t="str">
        <f>'II_Inkunabeln+'!D237</f>
        <v>https://portal.dnb.de/opac.htm?method=simpleSearch&amp;cqlMode=true&amp;query=idn%3D1066971293</v>
      </c>
      <c r="E237" s="63" t="str">
        <f>'II_Inkunabeln+'!E237</f>
        <v>II 12,1c</v>
      </c>
      <c r="F237" s="63" t="str">
        <f>'II_Inkunabeln+'!H237</f>
        <v>bis 25 cm</v>
      </c>
      <c r="G237" s="93">
        <f>'II_Inkunabeln+'!AG237</f>
        <v>0</v>
      </c>
      <c r="H237" s="93">
        <f>'II_Inkunabeln+'!AP237</f>
        <v>0</v>
      </c>
      <c r="I237" s="93">
        <f>'II_Inkunabeln+'!AQ237</f>
        <v>0</v>
      </c>
      <c r="J237" s="94"/>
      <c r="K237" s="93">
        <f>'II_Inkunabeln+'!AW237</f>
        <v>0</v>
      </c>
      <c r="L237" s="93">
        <f>'II_Inkunabeln+'!AX237</f>
        <v>0</v>
      </c>
      <c r="AA237" s="93">
        <f>'II_Inkunabeln+'!AY237</f>
        <v>0</v>
      </c>
      <c r="AB237" s="94">
        <f>'II_Inkunabeln+'!BA237</f>
        <v>0</v>
      </c>
      <c r="AC237" s="108"/>
      <c r="AD237" s="81">
        <f>'II_Inkunabeln+'!BJ237</f>
        <v>0</v>
      </c>
    </row>
    <row r="238" spans="1:30" x14ac:dyDescent="0.25">
      <c r="A238" s="63">
        <f>'II_Inkunabeln+'!A238</f>
        <v>229</v>
      </c>
      <c r="B238" s="63" t="str">
        <f>'II_Inkunabeln+'!B238</f>
        <v>L-1475-315496045</v>
      </c>
      <c r="C238" s="63" t="str">
        <f>'II_Inkunabeln+'!C238</f>
        <v>106696579X</v>
      </c>
      <c r="D238" s="84" t="str">
        <f>'II_Inkunabeln+'!D238</f>
        <v>https://portal.dnb.de/opac.htm?method=simpleSearch&amp;cqlMode=true&amp;query=idn%3D106696579X</v>
      </c>
      <c r="E238" s="63" t="str">
        <f>'II_Inkunabeln+'!E238</f>
        <v>II 12,1d</v>
      </c>
      <c r="F238" s="63">
        <f>'II_Inkunabeln+'!H238</f>
        <v>0</v>
      </c>
      <c r="G238" s="93">
        <f>'II_Inkunabeln+'!AG238</f>
        <v>0</v>
      </c>
      <c r="H238" s="93">
        <f>'II_Inkunabeln+'!AP238</f>
        <v>0</v>
      </c>
      <c r="I238" s="93">
        <f>'II_Inkunabeln+'!AQ238</f>
        <v>0</v>
      </c>
      <c r="J238" s="94"/>
      <c r="K238" s="93">
        <f>'II_Inkunabeln+'!AW238</f>
        <v>0</v>
      </c>
      <c r="L238" s="93">
        <f>'II_Inkunabeln+'!AX238</f>
        <v>0</v>
      </c>
      <c r="AA238" s="93">
        <f>'II_Inkunabeln+'!AY238</f>
        <v>0</v>
      </c>
      <c r="AB238" s="94">
        <f>'II_Inkunabeln+'!BA238</f>
        <v>0</v>
      </c>
      <c r="AC238" s="108"/>
      <c r="AD238" s="81">
        <f>'II_Inkunabeln+'!BJ238</f>
        <v>0</v>
      </c>
    </row>
    <row r="239" spans="1:30" x14ac:dyDescent="0.25">
      <c r="A239" s="63">
        <f>'II_Inkunabeln+'!A239</f>
        <v>230</v>
      </c>
      <c r="B239" s="63" t="str">
        <f>'II_Inkunabeln+'!B239</f>
        <v>L-1478-315503610</v>
      </c>
      <c r="C239" s="63">
        <f>'II_Inkunabeln+'!C239</f>
        <v>1066973229</v>
      </c>
      <c r="D239" s="84" t="str">
        <f>'II_Inkunabeln+'!D239</f>
        <v>https://portal.dnb.de/opac.htm?method=simpleSearch&amp;cqlMode=true&amp;query=idn%3D1066973229</v>
      </c>
      <c r="E239" s="63" t="str">
        <f>'II_Inkunabeln+'!E239</f>
        <v>II 12,1f</v>
      </c>
      <c r="F239" s="63" t="str">
        <f>'II_Inkunabeln+'!H239</f>
        <v>bis 35 cm</v>
      </c>
      <c r="G239" s="93">
        <f>'II_Inkunabeln+'!AG239</f>
        <v>0</v>
      </c>
      <c r="H239" s="93">
        <f>'II_Inkunabeln+'!AP239</f>
        <v>0</v>
      </c>
      <c r="I239" s="93">
        <f>'II_Inkunabeln+'!AQ239</f>
        <v>0</v>
      </c>
      <c r="J239" s="94"/>
      <c r="K239" s="93">
        <f>'II_Inkunabeln+'!AW239</f>
        <v>0</v>
      </c>
      <c r="L239" s="93">
        <f>'II_Inkunabeln+'!AX239</f>
        <v>0</v>
      </c>
      <c r="AA239" s="93">
        <f>'II_Inkunabeln+'!AY239</f>
        <v>0</v>
      </c>
      <c r="AB239" s="94">
        <f>'II_Inkunabeln+'!BA239</f>
        <v>0</v>
      </c>
      <c r="AC239" s="108"/>
      <c r="AD239" s="81">
        <f>'II_Inkunabeln+'!BJ239</f>
        <v>0</v>
      </c>
    </row>
    <row r="240" spans="1:30" x14ac:dyDescent="0.25">
      <c r="A240" s="63">
        <f>'II_Inkunabeln+'!A240</f>
        <v>231</v>
      </c>
      <c r="B240" s="63" t="str">
        <f>'II_Inkunabeln+'!B240</f>
        <v>L-1494-315495928</v>
      </c>
      <c r="C240" s="63">
        <f>'II_Inkunabeln+'!C240</f>
        <v>1066965706</v>
      </c>
      <c r="D240" s="84" t="str">
        <f>'II_Inkunabeln+'!D240</f>
        <v>https://portal.dnb.de/opac.htm?method=simpleSearch&amp;cqlMode=true&amp;query=idn%3D1066965706</v>
      </c>
      <c r="E240" s="63" t="str">
        <f>'II_Inkunabeln+'!E240</f>
        <v>II 13,1a</v>
      </c>
      <c r="F240" s="63">
        <f>'II_Inkunabeln+'!H240</f>
        <v>0</v>
      </c>
      <c r="G240" s="93">
        <f>'II_Inkunabeln+'!AG240</f>
        <v>0</v>
      </c>
      <c r="H240" s="93">
        <f>'II_Inkunabeln+'!AP240</f>
        <v>0</v>
      </c>
      <c r="I240" s="93">
        <f>'II_Inkunabeln+'!AQ240</f>
        <v>0</v>
      </c>
      <c r="J240" s="94"/>
      <c r="K240" s="93">
        <f>'II_Inkunabeln+'!AW240</f>
        <v>0</v>
      </c>
      <c r="L240" s="93">
        <f>'II_Inkunabeln+'!AX240</f>
        <v>0</v>
      </c>
      <c r="AA240" s="93">
        <f>'II_Inkunabeln+'!AY240</f>
        <v>0</v>
      </c>
      <c r="AB240" s="94">
        <f>'II_Inkunabeln+'!BA240</f>
        <v>0</v>
      </c>
      <c r="AC240" s="108"/>
      <c r="AD240" s="81">
        <f>'II_Inkunabeln+'!BJ240</f>
        <v>0</v>
      </c>
    </row>
    <row r="241" spans="1:30" x14ac:dyDescent="0.25">
      <c r="A241" s="63">
        <f>'II_Inkunabeln+'!A241</f>
        <v>232</v>
      </c>
      <c r="B241" s="63" t="str">
        <f>'II_Inkunabeln+'!B241</f>
        <v>L-1494-315495030</v>
      </c>
      <c r="C241" s="63">
        <f>'II_Inkunabeln+'!C241</f>
        <v>1066964866</v>
      </c>
      <c r="D241" s="84" t="str">
        <f>'II_Inkunabeln+'!D241</f>
        <v>https://portal.dnb.de/opac.htm?method=simpleSearch&amp;cqlMode=true&amp;query=idn%3D1066964866</v>
      </c>
      <c r="E241" s="63" t="str">
        <f>'II_Inkunabeln+'!E241</f>
        <v>II 13,1b</v>
      </c>
      <c r="F241" s="63">
        <f>'II_Inkunabeln+'!H241</f>
        <v>0</v>
      </c>
      <c r="G241" s="93">
        <f>'II_Inkunabeln+'!AG241</f>
        <v>0</v>
      </c>
      <c r="H241" s="93">
        <f>'II_Inkunabeln+'!AP241</f>
        <v>0</v>
      </c>
      <c r="I241" s="93">
        <f>'II_Inkunabeln+'!AQ241</f>
        <v>0</v>
      </c>
      <c r="J241" s="94"/>
      <c r="K241" s="93">
        <f>'II_Inkunabeln+'!AW241</f>
        <v>0</v>
      </c>
      <c r="L241" s="93">
        <f>'II_Inkunabeln+'!AX241</f>
        <v>0</v>
      </c>
      <c r="AA241" s="93">
        <f>'II_Inkunabeln+'!AY241</f>
        <v>0</v>
      </c>
      <c r="AB241" s="94">
        <f>'II_Inkunabeln+'!BA241</f>
        <v>0</v>
      </c>
      <c r="AC241" s="108"/>
      <c r="AD241" s="81">
        <f>'II_Inkunabeln+'!BJ241</f>
        <v>0</v>
      </c>
    </row>
    <row r="242" spans="1:30" x14ac:dyDescent="0.25">
      <c r="A242" s="63">
        <f>'II_Inkunabeln+'!A242</f>
        <v>233</v>
      </c>
      <c r="B242" s="63" t="str">
        <f>'II_Inkunabeln+'!B242</f>
        <v>L-1491-315499214</v>
      </c>
      <c r="C242" s="63">
        <f>'II_Inkunabeln+'!C242</f>
        <v>1066968934</v>
      </c>
      <c r="D242" s="84" t="str">
        <f>'II_Inkunabeln+'!D242</f>
        <v>https://portal.dnb.de/opac.htm?method=simpleSearch&amp;cqlMode=true&amp;query=idn%3D1066968934</v>
      </c>
      <c r="E242" s="63" t="str">
        <f>'II_Inkunabeln+'!E242</f>
        <v>II 13,1c</v>
      </c>
      <c r="F242" s="63" t="str">
        <f>'II_Inkunabeln+'!H242</f>
        <v>bis 35 cm</v>
      </c>
      <c r="G242" s="93">
        <f>'II_Inkunabeln+'!AG242</f>
        <v>0</v>
      </c>
      <c r="H242" s="93">
        <f>'II_Inkunabeln+'!AP242</f>
        <v>0</v>
      </c>
      <c r="I242" s="93">
        <f>'II_Inkunabeln+'!AQ242</f>
        <v>0</v>
      </c>
      <c r="J242" s="94"/>
      <c r="K242" s="93">
        <f>'II_Inkunabeln+'!AW242</f>
        <v>0</v>
      </c>
      <c r="L242" s="93">
        <f>'II_Inkunabeln+'!AX242</f>
        <v>0</v>
      </c>
      <c r="AA242" s="93">
        <f>'II_Inkunabeln+'!AY242</f>
        <v>0</v>
      </c>
      <c r="AB242" s="94">
        <f>'II_Inkunabeln+'!BA242</f>
        <v>0</v>
      </c>
      <c r="AC242" s="108"/>
      <c r="AD242" s="81">
        <f>'II_Inkunabeln+'!BJ242</f>
        <v>0</v>
      </c>
    </row>
    <row r="243" spans="1:30" x14ac:dyDescent="0.25">
      <c r="A243" s="63">
        <f>'II_Inkunabeln+'!A243</f>
        <v>234</v>
      </c>
      <c r="B243" s="63" t="str">
        <f>'II_Inkunabeln+'!B243</f>
        <v>L-1491-315498331</v>
      </c>
      <c r="C243" s="63">
        <f>'II_Inkunabeln+'!C243</f>
        <v>1066968055</v>
      </c>
      <c r="D243" s="84" t="str">
        <f>'II_Inkunabeln+'!D243</f>
        <v>https://portal.dnb.de/opac.htm?method=simpleSearch&amp;cqlMode=true&amp;query=idn%3D1066968055</v>
      </c>
      <c r="E243" s="63" t="str">
        <f>'II_Inkunabeln+'!E243</f>
        <v>II 13,1d</v>
      </c>
      <c r="F243" s="63" t="str">
        <f>'II_Inkunabeln+'!H243</f>
        <v>bis 35 cm</v>
      </c>
      <c r="G243" s="93">
        <f>'II_Inkunabeln+'!AG243</f>
        <v>0</v>
      </c>
      <c r="H243" s="93">
        <f>'II_Inkunabeln+'!AP243</f>
        <v>0</v>
      </c>
      <c r="I243" s="93">
        <f>'II_Inkunabeln+'!AQ243</f>
        <v>0</v>
      </c>
      <c r="J243" s="94"/>
      <c r="K243" s="93">
        <f>'II_Inkunabeln+'!AW243</f>
        <v>0</v>
      </c>
      <c r="L243" s="93">
        <f>'II_Inkunabeln+'!AX243</f>
        <v>0</v>
      </c>
      <c r="AA243" s="93">
        <f>'II_Inkunabeln+'!AY243</f>
        <v>0</v>
      </c>
      <c r="AB243" s="94">
        <f>'II_Inkunabeln+'!BA243</f>
        <v>0</v>
      </c>
      <c r="AC243" s="108"/>
      <c r="AD243" s="81">
        <f>'II_Inkunabeln+'!BJ243</f>
        <v>0</v>
      </c>
    </row>
    <row r="244" spans="1:30" x14ac:dyDescent="0.25">
      <c r="A244" s="63">
        <f>'II_Inkunabeln+'!A244</f>
        <v>235</v>
      </c>
      <c r="B244" s="63" t="str">
        <f>'II_Inkunabeln+'!B244</f>
        <v>L-1493-315502401</v>
      </c>
      <c r="C244" s="63">
        <f>'II_Inkunabeln+'!C244</f>
        <v>1066971994</v>
      </c>
      <c r="D244" s="84" t="str">
        <f>'II_Inkunabeln+'!D244</f>
        <v>https://portal.dnb.de/opac.htm?method=simpleSearch&amp;cqlMode=true&amp;query=idn%3D1066971994</v>
      </c>
      <c r="E244" s="63" t="str">
        <f>'II_Inkunabeln+'!E244</f>
        <v>II 13,2a</v>
      </c>
      <c r="F244" s="63">
        <f>'II_Inkunabeln+'!H244</f>
        <v>0</v>
      </c>
      <c r="G244" s="93">
        <f>'II_Inkunabeln+'!AG244</f>
        <v>0</v>
      </c>
      <c r="H244" s="93">
        <f>'II_Inkunabeln+'!AP244</f>
        <v>0</v>
      </c>
      <c r="I244" s="93">
        <f>'II_Inkunabeln+'!AQ244</f>
        <v>0</v>
      </c>
      <c r="J244" s="94"/>
      <c r="K244" s="93">
        <f>'II_Inkunabeln+'!AW244</f>
        <v>0</v>
      </c>
      <c r="L244" s="93">
        <f>'II_Inkunabeln+'!AX244</f>
        <v>0</v>
      </c>
      <c r="AA244" s="93">
        <f>'II_Inkunabeln+'!AY244</f>
        <v>0</v>
      </c>
      <c r="AB244" s="94">
        <f>'II_Inkunabeln+'!BA244</f>
        <v>0</v>
      </c>
      <c r="AC244" s="108"/>
      <c r="AD244" s="81">
        <f>'II_Inkunabeln+'!BJ244</f>
        <v>0</v>
      </c>
    </row>
    <row r="245" spans="1:30" x14ac:dyDescent="0.25">
      <c r="A245" s="63">
        <f>'II_Inkunabeln+'!A245</f>
        <v>236</v>
      </c>
      <c r="B245" s="63" t="str">
        <f>'II_Inkunabeln+'!B245</f>
        <v>L-1489-326854983</v>
      </c>
      <c r="C245" s="63" t="str">
        <f>'II_Inkunabeln+'!C245</f>
        <v>107205812X</v>
      </c>
      <c r="D245" s="84" t="str">
        <f>'II_Inkunabeln+'!D245</f>
        <v>https://portal.dnb.de/opac.htm?method=simpleSearch&amp;cqlMode=true&amp;query=idn%3D107205812X</v>
      </c>
      <c r="E245" s="63" t="str">
        <f>'II_Inkunabeln+'!E245</f>
        <v>II 14,1a</v>
      </c>
      <c r="F245" s="63" t="str">
        <f>'II_Inkunabeln+'!H245</f>
        <v>bis 25 cm</v>
      </c>
      <c r="G245" s="93">
        <f>'II_Inkunabeln+'!AG245</f>
        <v>0</v>
      </c>
      <c r="H245" s="93">
        <f>'II_Inkunabeln+'!AP245</f>
        <v>0</v>
      </c>
      <c r="I245" s="93">
        <f>'II_Inkunabeln+'!AQ245</f>
        <v>0</v>
      </c>
      <c r="J245" s="94"/>
      <c r="K245" s="93">
        <f>'II_Inkunabeln+'!AW245</f>
        <v>0</v>
      </c>
      <c r="L245" s="93">
        <f>'II_Inkunabeln+'!AX245</f>
        <v>0</v>
      </c>
      <c r="AA245" s="93">
        <f>'II_Inkunabeln+'!AY245</f>
        <v>0</v>
      </c>
      <c r="AB245" s="94">
        <f>'II_Inkunabeln+'!BA245</f>
        <v>0</v>
      </c>
      <c r="AC245" s="108"/>
      <c r="AD245" s="81">
        <f>'II_Inkunabeln+'!BJ245</f>
        <v>0</v>
      </c>
    </row>
    <row r="246" spans="1:30" x14ac:dyDescent="0.25">
      <c r="A246" s="63">
        <f>'II_Inkunabeln+'!A246</f>
        <v>237</v>
      </c>
      <c r="B246" s="63" t="str">
        <f>'II_Inkunabeln+'!B246</f>
        <v>L-1494-315502428</v>
      </c>
      <c r="C246" s="63">
        <f>'II_Inkunabeln+'!C246</f>
        <v>1066972001</v>
      </c>
      <c r="D246" s="84" t="str">
        <f>'II_Inkunabeln+'!D246</f>
        <v>https://portal.dnb.de/opac.htm?method=simpleSearch&amp;cqlMode=true&amp;query=idn%3D1066972001</v>
      </c>
      <c r="E246" s="63" t="str">
        <f>'II_Inkunabeln+'!E246</f>
        <v>II 14,1b</v>
      </c>
      <c r="F246" s="63">
        <f>'II_Inkunabeln+'!H246</f>
        <v>0</v>
      </c>
      <c r="G246" s="93">
        <f>'II_Inkunabeln+'!AG246</f>
        <v>0</v>
      </c>
      <c r="H246" s="93">
        <f>'II_Inkunabeln+'!AP246</f>
        <v>0</v>
      </c>
      <c r="I246" s="93">
        <f>'II_Inkunabeln+'!AQ246</f>
        <v>0</v>
      </c>
      <c r="J246" s="94"/>
      <c r="K246" s="93">
        <f>'II_Inkunabeln+'!AW246</f>
        <v>0</v>
      </c>
      <c r="L246" s="93">
        <f>'II_Inkunabeln+'!AX246</f>
        <v>0</v>
      </c>
      <c r="AA246" s="93">
        <f>'II_Inkunabeln+'!AY246</f>
        <v>0</v>
      </c>
      <c r="AB246" s="94">
        <f>'II_Inkunabeln+'!BA246</f>
        <v>0</v>
      </c>
      <c r="AC246" s="108"/>
      <c r="AD246" s="81">
        <f>'II_Inkunabeln+'!BJ246</f>
        <v>0</v>
      </c>
    </row>
    <row r="247" spans="1:30" x14ac:dyDescent="0.25">
      <c r="A247" s="63">
        <f>'II_Inkunabeln+'!A247</f>
        <v>238</v>
      </c>
      <c r="B247" s="63" t="str">
        <f>'II_Inkunabeln+'!B247</f>
        <v>L-1499-315503572</v>
      </c>
      <c r="C247" s="63">
        <f>'II_Inkunabeln+'!C247</f>
        <v>1066973180</v>
      </c>
      <c r="D247" s="84" t="str">
        <f>'II_Inkunabeln+'!D247</f>
        <v>https://portal.dnb.de/opac.htm?method=simpleSearch&amp;cqlMode=true&amp;query=idn%3D1066973180</v>
      </c>
      <c r="E247" s="63" t="str">
        <f>'II_Inkunabeln+'!E247</f>
        <v>II 14,1c</v>
      </c>
      <c r="F247" s="63" t="str">
        <f>'II_Inkunabeln+'!H247</f>
        <v>bis 35 cm</v>
      </c>
      <c r="G247" s="93">
        <f>'II_Inkunabeln+'!AG247</f>
        <v>0</v>
      </c>
      <c r="H247" s="93">
        <f>'II_Inkunabeln+'!AP247</f>
        <v>0</v>
      </c>
      <c r="I247" s="93">
        <f>'II_Inkunabeln+'!AQ247</f>
        <v>0</v>
      </c>
      <c r="J247" s="94"/>
      <c r="K247" s="93">
        <f>'II_Inkunabeln+'!AW247</f>
        <v>0</v>
      </c>
      <c r="L247" s="93">
        <f>'II_Inkunabeln+'!AX247</f>
        <v>0</v>
      </c>
      <c r="AA247" s="93">
        <f>'II_Inkunabeln+'!AY247</f>
        <v>0</v>
      </c>
      <c r="AB247" s="94">
        <f>'II_Inkunabeln+'!BA247</f>
        <v>0</v>
      </c>
      <c r="AC247" s="108"/>
      <c r="AD247" s="81">
        <f>'II_Inkunabeln+'!BJ247</f>
        <v>0</v>
      </c>
    </row>
    <row r="248" spans="1:30" x14ac:dyDescent="0.25">
      <c r="A248" s="63">
        <f>'II_Inkunabeln+'!A248</f>
        <v>239</v>
      </c>
      <c r="B248" s="63" t="str">
        <f>'II_Inkunabeln+'!B248</f>
        <v>L-1500-315501006</v>
      </c>
      <c r="C248" s="63">
        <f>'II_Inkunabeln+'!C248</f>
        <v>1066970653</v>
      </c>
      <c r="D248" s="84" t="str">
        <f>'II_Inkunabeln+'!D248</f>
        <v>https://portal.dnb.de/opac.htm?method=simpleSearch&amp;cqlMode=true&amp;query=idn%3D1066970653</v>
      </c>
      <c r="E248" s="63" t="str">
        <f>'II_Inkunabeln+'!E248</f>
        <v>II 14,1d</v>
      </c>
      <c r="F248" s="63" t="str">
        <f>'II_Inkunabeln+'!H248</f>
        <v>bis 35 cm</v>
      </c>
      <c r="G248" s="93">
        <f>'II_Inkunabeln+'!AG248</f>
        <v>0</v>
      </c>
      <c r="H248" s="93">
        <f>'II_Inkunabeln+'!AP248</f>
        <v>0</v>
      </c>
      <c r="I248" s="93">
        <f>'II_Inkunabeln+'!AQ248</f>
        <v>0</v>
      </c>
      <c r="J248" s="94"/>
      <c r="K248" s="93">
        <f>'II_Inkunabeln+'!AW248</f>
        <v>0</v>
      </c>
      <c r="L248" s="93">
        <f>'II_Inkunabeln+'!AX248</f>
        <v>0</v>
      </c>
      <c r="AA248" s="93">
        <f>'II_Inkunabeln+'!AY248</f>
        <v>0</v>
      </c>
      <c r="AB248" s="94">
        <f>'II_Inkunabeln+'!BA248</f>
        <v>0</v>
      </c>
      <c r="AC248" s="108"/>
      <c r="AD248" s="81">
        <f>'II_Inkunabeln+'!BJ248</f>
        <v>0</v>
      </c>
    </row>
    <row r="249" spans="1:30" x14ac:dyDescent="0.25">
      <c r="A249" s="63">
        <f>'II_Inkunabeln+'!A249</f>
        <v>240</v>
      </c>
      <c r="B249" s="63" t="str">
        <f>'II_Inkunabeln+'!B249</f>
        <v>L-1494-315501243</v>
      </c>
      <c r="C249" s="63">
        <f>'II_Inkunabeln+'!C249</f>
        <v>1066970882</v>
      </c>
      <c r="D249" s="84" t="str">
        <f>'II_Inkunabeln+'!D249</f>
        <v>https://portal.dnb.de/opac.htm?method=simpleSearch&amp;cqlMode=true&amp;query=idn%3D1066970882</v>
      </c>
      <c r="E249" s="63" t="str">
        <f>'II_Inkunabeln+'!E249</f>
        <v>II 14,1e</v>
      </c>
      <c r="F249" s="63">
        <f>'II_Inkunabeln+'!H249</f>
        <v>0</v>
      </c>
      <c r="G249" s="93">
        <f>'II_Inkunabeln+'!AG249</f>
        <v>0</v>
      </c>
      <c r="H249" s="93">
        <f>'II_Inkunabeln+'!AP249</f>
        <v>0</v>
      </c>
      <c r="I249" s="93">
        <f>'II_Inkunabeln+'!AQ249</f>
        <v>0</v>
      </c>
      <c r="J249" s="94"/>
      <c r="K249" s="93">
        <f>'II_Inkunabeln+'!AW249</f>
        <v>0</v>
      </c>
      <c r="L249" s="93">
        <f>'II_Inkunabeln+'!AX249</f>
        <v>0</v>
      </c>
      <c r="AA249" s="93">
        <f>'II_Inkunabeln+'!AY249</f>
        <v>0</v>
      </c>
      <c r="AB249" s="94">
        <f>'II_Inkunabeln+'!BA249</f>
        <v>0</v>
      </c>
      <c r="AC249" s="108"/>
      <c r="AD249" s="81">
        <f>'II_Inkunabeln+'!BJ249</f>
        <v>0</v>
      </c>
    </row>
    <row r="250" spans="1:30" x14ac:dyDescent="0.25">
      <c r="A250" s="63">
        <f>'II_Inkunabeln+'!A250</f>
        <v>241</v>
      </c>
      <c r="B250" s="63" t="str">
        <f>'II_Inkunabeln+'!B250</f>
        <v>L-1485-326855106</v>
      </c>
      <c r="C250" s="63">
        <f>'II_Inkunabeln+'!C250</f>
        <v>1072058391</v>
      </c>
      <c r="D250" s="84" t="str">
        <f>'II_Inkunabeln+'!D250</f>
        <v>https://portal.dnb.de/opac.htm?method=simpleSearch&amp;cqlMode=true&amp;query=idn%3D1072058391</v>
      </c>
      <c r="E250" s="63" t="str">
        <f>'II_Inkunabeln+'!E250</f>
        <v>II 15,1a</v>
      </c>
      <c r="F250" s="63" t="str">
        <f>'II_Inkunabeln+'!H250</f>
        <v>bis 35 cm</v>
      </c>
      <c r="G250" s="93">
        <f>'II_Inkunabeln+'!AG250</f>
        <v>0</v>
      </c>
      <c r="H250" s="93">
        <f>'II_Inkunabeln+'!AP250</f>
        <v>0</v>
      </c>
      <c r="I250" s="93">
        <f>'II_Inkunabeln+'!AQ250</f>
        <v>0</v>
      </c>
      <c r="J250" s="94"/>
      <c r="K250" s="93">
        <f>'II_Inkunabeln+'!AW250</f>
        <v>0</v>
      </c>
      <c r="L250" s="93">
        <f>'II_Inkunabeln+'!AX250</f>
        <v>0</v>
      </c>
      <c r="AA250" s="93">
        <f>'II_Inkunabeln+'!AY250</f>
        <v>0</v>
      </c>
      <c r="AB250" s="94">
        <f>'II_Inkunabeln+'!BA250</f>
        <v>0</v>
      </c>
      <c r="AC250" s="108"/>
      <c r="AD250" s="81">
        <f>'II_Inkunabeln+'!BJ250</f>
        <v>0</v>
      </c>
    </row>
    <row r="251" spans="1:30" x14ac:dyDescent="0.25">
      <c r="A251" s="63">
        <f>'II_Inkunabeln+'!A251</f>
        <v>242</v>
      </c>
      <c r="B251" s="63" t="str">
        <f>'II_Inkunabeln+'!B251</f>
        <v>L-1488-315498471</v>
      </c>
      <c r="C251" s="63">
        <f>'II_Inkunabeln+'!C251</f>
        <v>1066968217</v>
      </c>
      <c r="D251" s="84" t="str">
        <f>'II_Inkunabeln+'!D251</f>
        <v>https://portal.dnb.de/opac.htm?method=simpleSearch&amp;cqlMode=true&amp;query=idn%3D1066968217</v>
      </c>
      <c r="E251" s="63" t="str">
        <f>'II_Inkunabeln+'!E251</f>
        <v>II 15,1b</v>
      </c>
      <c r="F251" s="63" t="str">
        <f>'II_Inkunabeln+'!H251</f>
        <v>bis 35 cm</v>
      </c>
      <c r="G251" s="93">
        <f>'II_Inkunabeln+'!AG251</f>
        <v>0</v>
      </c>
      <c r="H251" s="93">
        <f>'II_Inkunabeln+'!AP251</f>
        <v>0</v>
      </c>
      <c r="I251" s="93">
        <f>'II_Inkunabeln+'!AQ251</f>
        <v>0</v>
      </c>
      <c r="J251" s="94"/>
      <c r="K251" s="93">
        <f>'II_Inkunabeln+'!AW251</f>
        <v>0</v>
      </c>
      <c r="L251" s="93">
        <f>'II_Inkunabeln+'!AX251</f>
        <v>0</v>
      </c>
      <c r="AA251" s="93">
        <f>'II_Inkunabeln+'!AY251</f>
        <v>0</v>
      </c>
      <c r="AB251" s="94">
        <f>'II_Inkunabeln+'!BA251</f>
        <v>0</v>
      </c>
      <c r="AC251" s="108"/>
      <c r="AD251" s="81">
        <f>'II_Inkunabeln+'!BJ251</f>
        <v>0</v>
      </c>
    </row>
    <row r="252" spans="1:30" x14ac:dyDescent="0.25">
      <c r="A252" s="63">
        <f>'II_Inkunabeln+'!A252</f>
        <v>243</v>
      </c>
      <c r="B252" s="63" t="str">
        <f>'II_Inkunabeln+'!B252</f>
        <v>L-1489-315499109</v>
      </c>
      <c r="C252" s="63">
        <f>'II_Inkunabeln+'!C252</f>
        <v>1066968837</v>
      </c>
      <c r="D252" s="84" t="str">
        <f>'II_Inkunabeln+'!D252</f>
        <v>https://portal.dnb.de/opac.htm?method=simpleSearch&amp;cqlMode=true&amp;query=idn%3D1066968837</v>
      </c>
      <c r="E252" s="63" t="str">
        <f>'II_Inkunabeln+'!E252</f>
        <v>II 15,1c</v>
      </c>
      <c r="F252" s="63" t="str">
        <f>'II_Inkunabeln+'!H252</f>
        <v>bis 25 cm</v>
      </c>
      <c r="G252" s="93">
        <f>'II_Inkunabeln+'!AG252</f>
        <v>0</v>
      </c>
      <c r="H252" s="93">
        <f>'II_Inkunabeln+'!AP252</f>
        <v>0</v>
      </c>
      <c r="I252" s="93">
        <f>'II_Inkunabeln+'!AQ252</f>
        <v>0</v>
      </c>
      <c r="J252" s="94"/>
      <c r="K252" s="93">
        <f>'II_Inkunabeln+'!AW252</f>
        <v>0</v>
      </c>
      <c r="L252" s="93">
        <f>'II_Inkunabeln+'!AX252</f>
        <v>0</v>
      </c>
      <c r="AA252" s="93">
        <f>'II_Inkunabeln+'!AY252</f>
        <v>0</v>
      </c>
      <c r="AB252" s="94">
        <f>'II_Inkunabeln+'!BA252</f>
        <v>0</v>
      </c>
      <c r="AC252" s="108"/>
      <c r="AD252" s="81">
        <f>'II_Inkunabeln+'!BJ252</f>
        <v>0</v>
      </c>
    </row>
    <row r="253" spans="1:30" x14ac:dyDescent="0.25">
      <c r="A253" s="63">
        <f>'II_Inkunabeln+'!A253</f>
        <v>244</v>
      </c>
      <c r="B253" s="63" t="str">
        <f>'II_Inkunabeln+'!B253</f>
        <v>L-1485-315496398</v>
      </c>
      <c r="C253" s="63">
        <f>'II_Inkunabeln+'!C253</f>
        <v>1066966095</v>
      </c>
      <c r="D253" s="84" t="str">
        <f>'II_Inkunabeln+'!D253</f>
        <v>https://portal.dnb.de/opac.htm?method=simpleSearch&amp;cqlMode=true&amp;query=idn%3D1066966095</v>
      </c>
      <c r="E253" s="63" t="str">
        <f>'II_Inkunabeln+'!E253</f>
        <v>II 15,1d</v>
      </c>
      <c r="F253" s="63" t="str">
        <f>'II_Inkunabeln+'!H253</f>
        <v>bis 25 cm</v>
      </c>
      <c r="G253" s="93">
        <f>'II_Inkunabeln+'!AG253</f>
        <v>0</v>
      </c>
      <c r="H253" s="93">
        <f>'II_Inkunabeln+'!AP253</f>
        <v>0</v>
      </c>
      <c r="I253" s="93">
        <f>'II_Inkunabeln+'!AQ253</f>
        <v>0</v>
      </c>
      <c r="J253" s="94"/>
      <c r="K253" s="93">
        <f>'II_Inkunabeln+'!AW253</f>
        <v>0</v>
      </c>
      <c r="L253" s="93">
        <f>'II_Inkunabeln+'!AX253</f>
        <v>0</v>
      </c>
      <c r="AA253" s="93">
        <f>'II_Inkunabeln+'!AY253</f>
        <v>0</v>
      </c>
      <c r="AB253" s="94">
        <f>'II_Inkunabeln+'!BA253</f>
        <v>0</v>
      </c>
      <c r="AC253" s="108"/>
      <c r="AD253" s="81">
        <f>'II_Inkunabeln+'!BJ253</f>
        <v>0</v>
      </c>
    </row>
    <row r="254" spans="1:30" x14ac:dyDescent="0.25">
      <c r="A254" s="63">
        <f>'II_Inkunabeln+'!A254</f>
        <v>245</v>
      </c>
      <c r="B254" s="63" t="str">
        <f>'II_Inkunabeln+'!B254</f>
        <v>L-1488-315501065</v>
      </c>
      <c r="C254" s="63">
        <f>'II_Inkunabeln+'!C254</f>
        <v>1066970718</v>
      </c>
      <c r="D254" s="84" t="str">
        <f>'II_Inkunabeln+'!D254</f>
        <v>https://portal.dnb.de/opac.htm?method=simpleSearch&amp;cqlMode=true&amp;query=idn%3D1066970718</v>
      </c>
      <c r="E254" s="63" t="str">
        <f>'II_Inkunabeln+'!E254</f>
        <v>II 15,2a</v>
      </c>
      <c r="F254" s="63" t="str">
        <f>'II_Inkunabeln+'!H254</f>
        <v>bis 35 cm</v>
      </c>
      <c r="G254" s="93">
        <f>'II_Inkunabeln+'!AG254</f>
        <v>0</v>
      </c>
      <c r="H254" s="93">
        <f>'II_Inkunabeln+'!AP254</f>
        <v>0</v>
      </c>
      <c r="I254" s="93">
        <f>'II_Inkunabeln+'!AQ254</f>
        <v>0</v>
      </c>
      <c r="J254" s="94"/>
      <c r="K254" s="93">
        <f>'II_Inkunabeln+'!AW254</f>
        <v>0</v>
      </c>
      <c r="L254" s="93">
        <f>'II_Inkunabeln+'!AX254</f>
        <v>0</v>
      </c>
      <c r="AA254" s="93">
        <f>'II_Inkunabeln+'!AY254</f>
        <v>0</v>
      </c>
      <c r="AB254" s="94">
        <f>'II_Inkunabeln+'!BA254</f>
        <v>0</v>
      </c>
      <c r="AC254" s="108"/>
      <c r="AD254" s="81">
        <f>'II_Inkunabeln+'!BJ254</f>
        <v>0</v>
      </c>
    </row>
    <row r="255" spans="1:30" x14ac:dyDescent="0.25">
      <c r="A255" s="63">
        <f>'II_Inkunabeln+'!A255</f>
        <v>246</v>
      </c>
      <c r="B255" s="63" t="str">
        <f>'II_Inkunabeln+'!B255</f>
        <v>L-1487-315503661</v>
      </c>
      <c r="C255" s="63">
        <f>'II_Inkunabeln+'!C255</f>
        <v>1066973288</v>
      </c>
      <c r="D255" s="84" t="str">
        <f>'II_Inkunabeln+'!D255</f>
        <v>https://portal.dnb.de/opac.htm?method=simpleSearch&amp;cqlMode=true&amp;query=idn%3D1066973288</v>
      </c>
      <c r="E255" s="63" t="str">
        <f>'II_Inkunabeln+'!E255</f>
        <v>II 16,1a</v>
      </c>
      <c r="F255" s="63" t="str">
        <f>'II_Inkunabeln+'!H255</f>
        <v>bis 25 cm</v>
      </c>
      <c r="G255" s="93">
        <f>'II_Inkunabeln+'!AG255</f>
        <v>0</v>
      </c>
      <c r="H255" s="93">
        <f>'II_Inkunabeln+'!AP255</f>
        <v>0</v>
      </c>
      <c r="I255" s="93">
        <f>'II_Inkunabeln+'!AQ255</f>
        <v>0</v>
      </c>
      <c r="J255" s="94"/>
      <c r="K255" s="93">
        <f>'II_Inkunabeln+'!AW255</f>
        <v>0</v>
      </c>
      <c r="L255" s="93">
        <f>'II_Inkunabeln+'!AX255</f>
        <v>0</v>
      </c>
      <c r="AA255" s="93">
        <f>'II_Inkunabeln+'!AY255</f>
        <v>0</v>
      </c>
      <c r="AB255" s="94">
        <f>'II_Inkunabeln+'!BA255</f>
        <v>0</v>
      </c>
      <c r="AC255" s="108"/>
      <c r="AD255" s="81">
        <f>'II_Inkunabeln+'!BJ255</f>
        <v>0</v>
      </c>
    </row>
    <row r="256" spans="1:30" x14ac:dyDescent="0.25">
      <c r="A256" s="63">
        <f>'II_Inkunabeln+'!A256</f>
        <v>247</v>
      </c>
      <c r="B256" s="63" t="str">
        <f>'II_Inkunabeln+'!B256</f>
        <v>L-1487-315503688</v>
      </c>
      <c r="C256" s="63" t="str">
        <f>'II_Inkunabeln+'!C256</f>
        <v>106697330X</v>
      </c>
      <c r="D256" s="84" t="str">
        <f>'II_Inkunabeln+'!D256</f>
        <v>https://portal.dnb.de/opac.htm?method=simpleSearch&amp;cqlMode=true&amp;query=idn%3D106697330X</v>
      </c>
      <c r="E256" s="63" t="str">
        <f>'II_Inkunabeln+'!E256</f>
        <v>II 16,2a</v>
      </c>
      <c r="F256" s="63" t="str">
        <f>'II_Inkunabeln+'!H256</f>
        <v>bis 25 cm</v>
      </c>
      <c r="G256" s="93">
        <f>'II_Inkunabeln+'!AG256</f>
        <v>0</v>
      </c>
      <c r="H256" s="93">
        <f>'II_Inkunabeln+'!AP256</f>
        <v>0</v>
      </c>
      <c r="I256" s="93">
        <f>'II_Inkunabeln+'!AQ256</f>
        <v>0</v>
      </c>
      <c r="J256" s="94"/>
      <c r="K256" s="93">
        <f>'II_Inkunabeln+'!AW256</f>
        <v>0</v>
      </c>
      <c r="L256" s="93">
        <f>'II_Inkunabeln+'!AX256</f>
        <v>0</v>
      </c>
      <c r="AA256" s="93">
        <f>'II_Inkunabeln+'!AY256</f>
        <v>0</v>
      </c>
      <c r="AB256" s="94">
        <f>'II_Inkunabeln+'!BA256</f>
        <v>0</v>
      </c>
      <c r="AC256" s="108"/>
      <c r="AD256" s="81">
        <f>'II_Inkunabeln+'!BJ256</f>
        <v>0</v>
      </c>
    </row>
    <row r="257" spans="1:30" x14ac:dyDescent="0.25">
      <c r="A257" s="63">
        <f>'II_Inkunabeln+'!A257</f>
        <v>248</v>
      </c>
      <c r="B257" s="63" t="str">
        <f>'II_Inkunabeln+'!B257</f>
        <v>L-1472-315503742</v>
      </c>
      <c r="C257" s="63">
        <f>'II_Inkunabeln+'!C257</f>
        <v>1066973377</v>
      </c>
      <c r="D257" s="84" t="str">
        <f>'II_Inkunabeln+'!D257</f>
        <v>https://portal.dnb.de/opac.htm?method=simpleSearch&amp;cqlMode=true&amp;query=idn%3D1066973377</v>
      </c>
      <c r="E257" s="63" t="str">
        <f>'II_Inkunabeln+'!E257</f>
        <v>II 17,1a</v>
      </c>
      <c r="F257" s="63" t="str">
        <f>'II_Inkunabeln+'!H257</f>
        <v>bis 25 cm</v>
      </c>
      <c r="G257" s="93">
        <f>'II_Inkunabeln+'!AG257</f>
        <v>0</v>
      </c>
      <c r="H257" s="93">
        <f>'II_Inkunabeln+'!AP257</f>
        <v>0</v>
      </c>
      <c r="I257" s="93">
        <f>'II_Inkunabeln+'!AQ257</f>
        <v>0</v>
      </c>
      <c r="J257" s="94"/>
      <c r="K257" s="93">
        <f>'II_Inkunabeln+'!AW257</f>
        <v>0</v>
      </c>
      <c r="L257" s="93">
        <f>'II_Inkunabeln+'!AX257</f>
        <v>0</v>
      </c>
      <c r="AA257" s="93">
        <f>'II_Inkunabeln+'!AY257</f>
        <v>0</v>
      </c>
      <c r="AB257" s="94">
        <f>'II_Inkunabeln+'!BA257</f>
        <v>0</v>
      </c>
      <c r="AC257" s="108"/>
      <c r="AD257" s="81">
        <f>'II_Inkunabeln+'!BJ257</f>
        <v>0</v>
      </c>
    </row>
    <row r="258" spans="1:30" x14ac:dyDescent="0.25">
      <c r="A258" s="63">
        <f>'II_Inkunabeln+'!A258</f>
        <v>249</v>
      </c>
      <c r="B258" s="63" t="str">
        <f>'II_Inkunabeln+'!B258</f>
        <v>L-1472-315494891</v>
      </c>
      <c r="C258" s="63" t="str">
        <f>'II_Inkunabeln+'!C258</f>
        <v>106696467X</v>
      </c>
      <c r="D258" s="84" t="str">
        <f>'II_Inkunabeln+'!D258</f>
        <v>https://portal.dnb.de/opac.htm?method=simpleSearch&amp;cqlMode=true&amp;query=idn%3D106696467X</v>
      </c>
      <c r="E258" s="63" t="str">
        <f>'II_Inkunabeln+'!E258</f>
        <v>II 17,1b</v>
      </c>
      <c r="F258" s="63" t="str">
        <f>'II_Inkunabeln+'!H258</f>
        <v>bis 35 cm</v>
      </c>
      <c r="G258" s="93">
        <f>'II_Inkunabeln+'!AG258</f>
        <v>0</v>
      </c>
      <c r="H258" s="93">
        <f>'II_Inkunabeln+'!AP258</f>
        <v>0</v>
      </c>
      <c r="I258" s="93">
        <f>'II_Inkunabeln+'!AQ258</f>
        <v>0</v>
      </c>
      <c r="J258" s="94"/>
      <c r="K258" s="93">
        <f>'II_Inkunabeln+'!AW258</f>
        <v>0</v>
      </c>
      <c r="L258" s="93">
        <f>'II_Inkunabeln+'!AX258</f>
        <v>0</v>
      </c>
      <c r="AA258" s="93">
        <f>'II_Inkunabeln+'!AY258</f>
        <v>0</v>
      </c>
      <c r="AB258" s="94">
        <f>'II_Inkunabeln+'!BA258</f>
        <v>0</v>
      </c>
      <c r="AC258" s="108"/>
      <c r="AD258" s="81">
        <f>'II_Inkunabeln+'!BJ258</f>
        <v>0</v>
      </c>
    </row>
    <row r="259" spans="1:30" x14ac:dyDescent="0.25">
      <c r="A259" s="63">
        <f>'II_Inkunabeln+'!A259</f>
        <v>250</v>
      </c>
      <c r="B259" s="63" t="str">
        <f>'II_Inkunabeln+'!B259</f>
        <v>L-1494-315502584</v>
      </c>
      <c r="C259" s="63">
        <f>'II_Inkunabeln+'!C259</f>
        <v>1066972168</v>
      </c>
      <c r="D259" s="84" t="str">
        <f>'II_Inkunabeln+'!D259</f>
        <v>https://portal.dnb.de/opac.htm?method=simpleSearch&amp;cqlMode=true&amp;query=idn%3D1066972168</v>
      </c>
      <c r="E259" s="63" t="str">
        <f>'II_Inkunabeln+'!E259</f>
        <v>II 18,1a</v>
      </c>
      <c r="F259" s="63" t="str">
        <f>'II_Inkunabeln+'!H259</f>
        <v>bis 25 cm</v>
      </c>
      <c r="G259" s="93">
        <f>'II_Inkunabeln+'!AG259</f>
        <v>0</v>
      </c>
      <c r="H259" s="93">
        <f>'II_Inkunabeln+'!AP259</f>
        <v>0</v>
      </c>
      <c r="I259" s="93">
        <f>'II_Inkunabeln+'!AQ259</f>
        <v>0</v>
      </c>
      <c r="J259" s="94"/>
      <c r="K259" s="93">
        <f>'II_Inkunabeln+'!AW259</f>
        <v>0</v>
      </c>
      <c r="L259" s="93">
        <f>'II_Inkunabeln+'!AX259</f>
        <v>0</v>
      </c>
      <c r="AA259" s="93">
        <f>'II_Inkunabeln+'!AY259</f>
        <v>0</v>
      </c>
      <c r="AB259" s="94">
        <f>'II_Inkunabeln+'!BA259</f>
        <v>0</v>
      </c>
      <c r="AC259" s="108"/>
      <c r="AD259" s="81">
        <f>'II_Inkunabeln+'!BJ259</f>
        <v>0</v>
      </c>
    </row>
    <row r="260" spans="1:30" x14ac:dyDescent="0.25">
      <c r="A260" s="63">
        <f>'II_Inkunabeln+'!A260</f>
        <v>251</v>
      </c>
      <c r="B260" s="63" t="str">
        <f>'II_Inkunabeln+'!B260</f>
        <v>L-1489-315500328</v>
      </c>
      <c r="C260" s="63">
        <f>'II_Inkunabeln+'!C260</f>
        <v>1066969981</v>
      </c>
      <c r="D260" s="84" t="str">
        <f>'II_Inkunabeln+'!D260</f>
        <v>https://portal.dnb.de/opac.htm?method=simpleSearch&amp;cqlMode=true&amp;query=idn%3D1066969981</v>
      </c>
      <c r="E260" s="63" t="str">
        <f>'II_Inkunabeln+'!E260</f>
        <v>II 18,1b</v>
      </c>
      <c r="F260" s="63" t="str">
        <f>'II_Inkunabeln+'!H260</f>
        <v>bis 25 cm</v>
      </c>
      <c r="G260" s="93">
        <f>'II_Inkunabeln+'!AG260</f>
        <v>0</v>
      </c>
      <c r="H260" s="93">
        <f>'II_Inkunabeln+'!AP260</f>
        <v>0</v>
      </c>
      <c r="I260" s="93">
        <f>'II_Inkunabeln+'!AQ260</f>
        <v>0</v>
      </c>
      <c r="J260" s="94"/>
      <c r="K260" s="93">
        <f>'II_Inkunabeln+'!AW260</f>
        <v>0</v>
      </c>
      <c r="L260" s="93">
        <f>'II_Inkunabeln+'!AX260</f>
        <v>0</v>
      </c>
      <c r="AA260" s="93">
        <f>'II_Inkunabeln+'!AY260</f>
        <v>0</v>
      </c>
      <c r="AB260" s="94">
        <f>'II_Inkunabeln+'!BA260</f>
        <v>0</v>
      </c>
      <c r="AC260" s="108"/>
      <c r="AD260" s="81">
        <f>'II_Inkunabeln+'!BJ260</f>
        <v>0</v>
      </c>
    </row>
    <row r="261" spans="1:30" x14ac:dyDescent="0.25">
      <c r="A261" s="63">
        <f>'II_Inkunabeln+'!A261</f>
        <v>252</v>
      </c>
      <c r="B261" s="63" t="str">
        <f>'II_Inkunabeln+'!B261</f>
        <v>L-1710-174001320</v>
      </c>
      <c r="C261" s="63">
        <f>'II_Inkunabeln+'!C261</f>
        <v>1001280369</v>
      </c>
      <c r="D261" s="84" t="str">
        <f>'II_Inkunabeln+'!D261</f>
        <v>https://portal.dnb.de/opac.htm?method=simpleSearch&amp;cqlMode=true&amp;query=idn%3D1001280369</v>
      </c>
      <c r="E261" s="63" t="str">
        <f>'II_Inkunabeln+'!E261</f>
        <v>II 18,1b (angebunden)</v>
      </c>
      <c r="F261" s="63">
        <f>'II_Inkunabeln+'!H261</f>
        <v>0</v>
      </c>
      <c r="G261" s="93">
        <f>'II_Inkunabeln+'!AG261</f>
        <v>0</v>
      </c>
      <c r="H261" s="93">
        <f>'II_Inkunabeln+'!AP261</f>
        <v>0</v>
      </c>
      <c r="I261" s="93">
        <f>'II_Inkunabeln+'!AQ261</f>
        <v>0</v>
      </c>
      <c r="J261" s="94"/>
      <c r="K261" s="93">
        <f>'II_Inkunabeln+'!AW261</f>
        <v>0</v>
      </c>
      <c r="L261" s="93">
        <f>'II_Inkunabeln+'!AX261</f>
        <v>0</v>
      </c>
      <c r="AA261" s="93">
        <f>'II_Inkunabeln+'!AY261</f>
        <v>0</v>
      </c>
      <c r="AB261" s="94">
        <f>'II_Inkunabeln+'!BA261</f>
        <v>0</v>
      </c>
      <c r="AC261" s="108"/>
      <c r="AD261" s="81">
        <f>'II_Inkunabeln+'!BJ261</f>
        <v>0</v>
      </c>
    </row>
    <row r="262" spans="1:30" x14ac:dyDescent="0.25">
      <c r="A262" s="63">
        <f>'II_Inkunabeln+'!A262</f>
        <v>253</v>
      </c>
      <c r="B262" s="63" t="str">
        <f>'II_Inkunabeln+'!B262</f>
        <v>L-1494-31549624X</v>
      </c>
      <c r="C262" s="63">
        <f>'II_Inkunabeln+'!C262</f>
        <v>1066965951</v>
      </c>
      <c r="D262" s="84" t="str">
        <f>'II_Inkunabeln+'!D262</f>
        <v>https://portal.dnb.de/opac.htm?method=simpleSearch&amp;cqlMode=true&amp;query=idn%3D1066965951</v>
      </c>
      <c r="E262" s="63" t="str">
        <f>'II_Inkunabeln+'!E262</f>
        <v>II 18,1c</v>
      </c>
      <c r="F262" s="63">
        <f>'II_Inkunabeln+'!H262</f>
        <v>0</v>
      </c>
      <c r="G262" s="93">
        <f>'II_Inkunabeln+'!AG262</f>
        <v>0</v>
      </c>
      <c r="H262" s="93">
        <f>'II_Inkunabeln+'!AP262</f>
        <v>0</v>
      </c>
      <c r="I262" s="93">
        <f>'II_Inkunabeln+'!AQ262</f>
        <v>0</v>
      </c>
      <c r="J262" s="94"/>
      <c r="K262" s="93">
        <f>'II_Inkunabeln+'!AW262</f>
        <v>0</v>
      </c>
      <c r="L262" s="93">
        <f>'II_Inkunabeln+'!AX262</f>
        <v>0</v>
      </c>
      <c r="AA262" s="93">
        <f>'II_Inkunabeln+'!AY262</f>
        <v>0</v>
      </c>
      <c r="AB262" s="94">
        <f>'II_Inkunabeln+'!BA262</f>
        <v>0</v>
      </c>
      <c r="AC262" s="108"/>
      <c r="AD262" s="81">
        <f>'II_Inkunabeln+'!BJ262</f>
        <v>0</v>
      </c>
    </row>
    <row r="263" spans="1:30" x14ac:dyDescent="0.25">
      <c r="A263" s="63">
        <f>'II_Inkunabeln+'!A263</f>
        <v>254</v>
      </c>
      <c r="B263" s="63" t="str">
        <f>'II_Inkunabeln+'!B263</f>
        <v>L-1488-315501081</v>
      </c>
      <c r="C263" s="63">
        <f>'II_Inkunabeln+'!C263</f>
        <v>1066970734</v>
      </c>
      <c r="D263" s="84" t="str">
        <f>'II_Inkunabeln+'!D263</f>
        <v>https://portal.dnb.de/opac.htm?method=simpleSearch&amp;cqlMode=true&amp;query=idn%3D1066970734</v>
      </c>
      <c r="E263" s="63" t="str">
        <f>'II_Inkunabeln+'!E263</f>
        <v>II 18,2a</v>
      </c>
      <c r="F263" s="63">
        <f>'II_Inkunabeln+'!H263</f>
        <v>0</v>
      </c>
      <c r="G263" s="93">
        <f>'II_Inkunabeln+'!AG263</f>
        <v>0</v>
      </c>
      <c r="H263" s="93">
        <f>'II_Inkunabeln+'!AP263</f>
        <v>0</v>
      </c>
      <c r="I263" s="93">
        <f>'II_Inkunabeln+'!AQ263</f>
        <v>0</v>
      </c>
      <c r="J263" s="94"/>
      <c r="K263" s="93">
        <f>'II_Inkunabeln+'!AW263</f>
        <v>0</v>
      </c>
      <c r="L263" s="93">
        <f>'II_Inkunabeln+'!AX263</f>
        <v>0</v>
      </c>
      <c r="AA263" s="93">
        <f>'II_Inkunabeln+'!AY263</f>
        <v>0</v>
      </c>
      <c r="AB263" s="94">
        <f>'II_Inkunabeln+'!BA263</f>
        <v>0</v>
      </c>
      <c r="AC263" s="108"/>
      <c r="AD263" s="81">
        <f>'II_Inkunabeln+'!BJ263</f>
        <v>0</v>
      </c>
    </row>
    <row r="264" spans="1:30" x14ac:dyDescent="0.25">
      <c r="A264" s="63">
        <f>'II_Inkunabeln+'!A264</f>
        <v>255</v>
      </c>
      <c r="B264" s="63" t="str">
        <f>'II_Inkunabeln+'!B264</f>
        <v>L-1494-327279281</v>
      </c>
      <c r="C264" s="63">
        <f>'II_Inkunabeln+'!C264</f>
        <v>1072319012</v>
      </c>
      <c r="D264" s="84" t="str">
        <f>'II_Inkunabeln+'!D264</f>
        <v>https://portal.dnb.de/opac.htm?method=simpleSearch&amp;cqlMode=true&amp;query=idn%3D1072319012</v>
      </c>
      <c r="E264" s="63" t="str">
        <f>'II_Inkunabeln+'!E264</f>
        <v>II 18,2b</v>
      </c>
      <c r="F264" s="63">
        <f>'II_Inkunabeln+'!H264</f>
        <v>0</v>
      </c>
      <c r="G264" s="93">
        <f>'II_Inkunabeln+'!AG264</f>
        <v>0</v>
      </c>
      <c r="H264" s="93">
        <f>'II_Inkunabeln+'!AP264</f>
        <v>0</v>
      </c>
      <c r="I264" s="93">
        <f>'II_Inkunabeln+'!AQ264</f>
        <v>0</v>
      </c>
      <c r="J264" s="94"/>
      <c r="K264" s="93">
        <f>'II_Inkunabeln+'!AW264</f>
        <v>0</v>
      </c>
      <c r="L264" s="93">
        <f>'II_Inkunabeln+'!AX264</f>
        <v>0</v>
      </c>
      <c r="AA264" s="93">
        <f>'II_Inkunabeln+'!AY264</f>
        <v>0</v>
      </c>
      <c r="AB264" s="94">
        <f>'II_Inkunabeln+'!BA264</f>
        <v>0</v>
      </c>
      <c r="AC264" s="108"/>
      <c r="AD264" s="81">
        <f>'II_Inkunabeln+'!BJ264</f>
        <v>0</v>
      </c>
    </row>
    <row r="265" spans="1:30" x14ac:dyDescent="0.25">
      <c r="A265" s="63">
        <f>'II_Inkunabeln+'!A265</f>
        <v>256</v>
      </c>
      <c r="B265" s="63" t="str">
        <f>'II_Inkunabeln+'!B265</f>
        <v>L-1493-326855459</v>
      </c>
      <c r="C265" s="63" t="str">
        <f>'II_Inkunabeln+'!C265</f>
        <v>107205888X</v>
      </c>
      <c r="D265" s="84" t="str">
        <f>'II_Inkunabeln+'!D265</f>
        <v>https://portal.dnb.de/opac.htm?method=simpleSearch&amp;cqlMode=true&amp;query=idn%3D107205888X</v>
      </c>
      <c r="E265" s="63" t="str">
        <f>'II_Inkunabeln+'!E265</f>
        <v>II 18,3a</v>
      </c>
      <c r="F265" s="63">
        <f>'II_Inkunabeln+'!H265</f>
        <v>0</v>
      </c>
      <c r="G265" s="93">
        <f>'II_Inkunabeln+'!AG265</f>
        <v>0</v>
      </c>
      <c r="H265" s="93">
        <f>'II_Inkunabeln+'!AP265</f>
        <v>0</v>
      </c>
      <c r="I265" s="93">
        <f>'II_Inkunabeln+'!AQ265</f>
        <v>0</v>
      </c>
      <c r="J265" s="94"/>
      <c r="K265" s="93">
        <f>'II_Inkunabeln+'!AW265</f>
        <v>0</v>
      </c>
      <c r="L265" s="93">
        <f>'II_Inkunabeln+'!AX265</f>
        <v>0</v>
      </c>
      <c r="AA265" s="93">
        <f>'II_Inkunabeln+'!AY265</f>
        <v>0</v>
      </c>
      <c r="AB265" s="94">
        <f>'II_Inkunabeln+'!BA265</f>
        <v>0</v>
      </c>
      <c r="AC265" s="108"/>
      <c r="AD265" s="81">
        <f>'II_Inkunabeln+'!BJ265</f>
        <v>0</v>
      </c>
    </row>
    <row r="266" spans="1:30" x14ac:dyDescent="0.25">
      <c r="A266" s="63">
        <f>'II_Inkunabeln+'!A266</f>
        <v>257</v>
      </c>
      <c r="B266" s="63" t="str">
        <f>'II_Inkunabeln+'!B266</f>
        <v>L-1494-315495235</v>
      </c>
      <c r="C266" s="63">
        <f>'II_Inkunabeln+'!C266</f>
        <v>1066965099</v>
      </c>
      <c r="D266" s="84" t="str">
        <f>'II_Inkunabeln+'!D266</f>
        <v>https://portal.dnb.de/opac.htm?method=simpleSearch&amp;cqlMode=true&amp;query=idn%3D1066965099</v>
      </c>
      <c r="E266" s="63" t="str">
        <f>'II_Inkunabeln+'!E266</f>
        <v>II 18,3b</v>
      </c>
      <c r="F266" s="63">
        <f>'II_Inkunabeln+'!H266</f>
        <v>0</v>
      </c>
      <c r="G266" s="93">
        <f>'II_Inkunabeln+'!AG266</f>
        <v>0</v>
      </c>
      <c r="H266" s="93">
        <f>'II_Inkunabeln+'!AP266</f>
        <v>0</v>
      </c>
      <c r="I266" s="93">
        <f>'II_Inkunabeln+'!AQ266</f>
        <v>0</v>
      </c>
      <c r="J266" s="94"/>
      <c r="K266" s="93">
        <f>'II_Inkunabeln+'!AW266</f>
        <v>0</v>
      </c>
      <c r="L266" s="93">
        <f>'II_Inkunabeln+'!AX266</f>
        <v>0</v>
      </c>
      <c r="AA266" s="93">
        <f>'II_Inkunabeln+'!AY266</f>
        <v>0</v>
      </c>
      <c r="AB266" s="94">
        <f>'II_Inkunabeln+'!BA266</f>
        <v>0</v>
      </c>
      <c r="AC266" s="108"/>
      <c r="AD266" s="81">
        <f>'II_Inkunabeln+'!BJ266</f>
        <v>0</v>
      </c>
    </row>
    <row r="267" spans="1:30" x14ac:dyDescent="0.25">
      <c r="A267" s="63">
        <f>'II_Inkunabeln+'!A267</f>
        <v>258</v>
      </c>
      <c r="B267" s="63" t="str">
        <f>'II_Inkunabeln+'!B267</f>
        <v>L-1496-31550000X</v>
      </c>
      <c r="C267" s="63">
        <f>'II_Inkunabeln+'!C267</f>
        <v>1066969663</v>
      </c>
      <c r="D267" s="84" t="str">
        <f>'II_Inkunabeln+'!D267</f>
        <v>https://portal.dnb.de/opac.htm?method=simpleSearch&amp;cqlMode=true&amp;query=idn%3D1066969663</v>
      </c>
      <c r="E267" s="63" t="str">
        <f>'II_Inkunabeln+'!E267</f>
        <v>II 18,4a</v>
      </c>
      <c r="F267" s="63">
        <f>'II_Inkunabeln+'!H267</f>
        <v>0</v>
      </c>
      <c r="G267" s="93">
        <f>'II_Inkunabeln+'!AG267</f>
        <v>0</v>
      </c>
      <c r="H267" s="93">
        <f>'II_Inkunabeln+'!AP267</f>
        <v>0</v>
      </c>
      <c r="I267" s="93">
        <f>'II_Inkunabeln+'!AQ267</f>
        <v>0</v>
      </c>
      <c r="J267" s="94"/>
      <c r="K267" s="93">
        <f>'II_Inkunabeln+'!AW267</f>
        <v>0</v>
      </c>
      <c r="L267" s="93">
        <f>'II_Inkunabeln+'!AX267</f>
        <v>0</v>
      </c>
      <c r="AA267" s="93">
        <f>'II_Inkunabeln+'!AY267</f>
        <v>0</v>
      </c>
      <c r="AB267" s="94">
        <f>'II_Inkunabeln+'!BA267</f>
        <v>0</v>
      </c>
      <c r="AC267" s="108"/>
      <c r="AD267" s="81">
        <f>'II_Inkunabeln+'!BJ267</f>
        <v>0</v>
      </c>
    </row>
    <row r="268" spans="1:30" x14ac:dyDescent="0.25">
      <c r="A268" s="63">
        <f>'II_Inkunabeln+'!A268</f>
        <v>259</v>
      </c>
      <c r="B268" s="63" t="str">
        <f>'II_Inkunabeln+'!B268</f>
        <v>L-1497-315503602</v>
      </c>
      <c r="C268" s="63">
        <f>'II_Inkunabeln+'!C268</f>
        <v>1066973210</v>
      </c>
      <c r="D268" s="84" t="str">
        <f>'II_Inkunabeln+'!D268</f>
        <v>https://portal.dnb.de/opac.htm?method=simpleSearch&amp;cqlMode=true&amp;query=idn%3D1066973210</v>
      </c>
      <c r="E268" s="63" t="str">
        <f>'II_Inkunabeln+'!E268</f>
        <v>II 18,4b</v>
      </c>
      <c r="F268" s="63">
        <f>'II_Inkunabeln+'!H268</f>
        <v>0</v>
      </c>
      <c r="G268" s="93">
        <f>'II_Inkunabeln+'!AG268</f>
        <v>0</v>
      </c>
      <c r="H268" s="93">
        <f>'II_Inkunabeln+'!AP268</f>
        <v>0</v>
      </c>
      <c r="I268" s="93">
        <f>'II_Inkunabeln+'!AQ268</f>
        <v>0</v>
      </c>
      <c r="J268" s="94"/>
      <c r="K268" s="93">
        <f>'II_Inkunabeln+'!AW268</f>
        <v>0</v>
      </c>
      <c r="L268" s="93">
        <f>'II_Inkunabeln+'!AX268</f>
        <v>0</v>
      </c>
      <c r="AA268" s="93">
        <f>'II_Inkunabeln+'!AY268</f>
        <v>0</v>
      </c>
      <c r="AB268" s="94">
        <f>'II_Inkunabeln+'!BA268</f>
        <v>0</v>
      </c>
      <c r="AC268" s="108"/>
      <c r="AD268" s="81">
        <f>'II_Inkunabeln+'!BJ268</f>
        <v>0</v>
      </c>
    </row>
    <row r="269" spans="1:30" x14ac:dyDescent="0.25">
      <c r="A269" s="63">
        <f>'II_Inkunabeln+'!A269</f>
        <v>260</v>
      </c>
      <c r="B269" s="63" t="str">
        <f>'II_Inkunabeln+'!B269</f>
        <v>L-1498-327280026</v>
      </c>
      <c r="C269" s="63">
        <f>'II_Inkunabeln+'!C269</f>
        <v>1072320371</v>
      </c>
      <c r="D269" s="84" t="str">
        <f>'II_Inkunabeln+'!D269</f>
        <v>https://portal.dnb.de/opac.htm?method=simpleSearch&amp;cqlMode=true&amp;query=idn%3D1072320371</v>
      </c>
      <c r="E269" s="63" t="str">
        <f>'II_Inkunabeln+'!E269</f>
        <v>II 18,5a</v>
      </c>
      <c r="F269" s="63">
        <f>'II_Inkunabeln+'!H269</f>
        <v>0</v>
      </c>
      <c r="G269" s="93">
        <f>'II_Inkunabeln+'!AG269</f>
        <v>0</v>
      </c>
      <c r="H269" s="93">
        <f>'II_Inkunabeln+'!AP269</f>
        <v>0</v>
      </c>
      <c r="I269" s="93">
        <f>'II_Inkunabeln+'!AQ269</f>
        <v>0</v>
      </c>
      <c r="J269" s="94"/>
      <c r="K269" s="93">
        <f>'II_Inkunabeln+'!AW269</f>
        <v>0</v>
      </c>
      <c r="L269" s="93">
        <f>'II_Inkunabeln+'!AX269</f>
        <v>0</v>
      </c>
      <c r="AA269" s="93">
        <f>'II_Inkunabeln+'!AY269</f>
        <v>0</v>
      </c>
      <c r="AB269" s="94">
        <f>'II_Inkunabeln+'!BA269</f>
        <v>0</v>
      </c>
      <c r="AC269" s="108"/>
      <c r="AD269" s="81">
        <f>'II_Inkunabeln+'!BJ269</f>
        <v>0</v>
      </c>
    </row>
    <row r="270" spans="1:30" x14ac:dyDescent="0.25">
      <c r="A270" s="63">
        <f>'II_Inkunabeln+'!A270</f>
        <v>261</v>
      </c>
      <c r="B270" s="63" t="str">
        <f>'II_Inkunabeln+'!B270</f>
        <v>L-1499-327280115</v>
      </c>
      <c r="C270" s="63">
        <f>'II_Inkunabeln+'!C270</f>
        <v>1072320568</v>
      </c>
      <c r="D270" s="84" t="str">
        <f>'II_Inkunabeln+'!D270</f>
        <v>https://portal.dnb.de/opac.htm?method=simpleSearch&amp;cqlMode=true&amp;query=idn%3D1072320568</v>
      </c>
      <c r="E270" s="63" t="str">
        <f>'II_Inkunabeln+'!E270</f>
        <v>II 18,5b</v>
      </c>
      <c r="F270" s="63">
        <f>'II_Inkunabeln+'!H270</f>
        <v>0</v>
      </c>
      <c r="G270" s="93">
        <f>'II_Inkunabeln+'!AG270</f>
        <v>0</v>
      </c>
      <c r="H270" s="93">
        <f>'II_Inkunabeln+'!AP270</f>
        <v>0</v>
      </c>
      <c r="I270" s="93">
        <f>'II_Inkunabeln+'!AQ270</f>
        <v>0</v>
      </c>
      <c r="J270" s="94"/>
      <c r="K270" s="93">
        <f>'II_Inkunabeln+'!AW270</f>
        <v>0</v>
      </c>
      <c r="L270" s="93">
        <f>'II_Inkunabeln+'!AX270</f>
        <v>0</v>
      </c>
      <c r="AA270" s="93">
        <f>'II_Inkunabeln+'!AY270</f>
        <v>0</v>
      </c>
      <c r="AB270" s="94">
        <f>'II_Inkunabeln+'!BA270</f>
        <v>0</v>
      </c>
      <c r="AC270" s="108"/>
      <c r="AD270" s="81">
        <f>'II_Inkunabeln+'!BJ270</f>
        <v>0</v>
      </c>
    </row>
    <row r="271" spans="1:30" x14ac:dyDescent="0.25">
      <c r="A271" s="63">
        <f>'II_Inkunabeln+'!A271</f>
        <v>262</v>
      </c>
      <c r="B271" s="63" t="str">
        <f>'II_Inkunabeln+'!B271</f>
        <v>L-1476-32685570X</v>
      </c>
      <c r="C271" s="63">
        <f>'II_Inkunabeln+'!C271</f>
        <v>1072059312</v>
      </c>
      <c r="D271" s="84" t="str">
        <f>'II_Inkunabeln+'!D271</f>
        <v>https://portal.dnb.de/opac.htm?method=simpleSearch&amp;cqlMode=true&amp;query=idn%3D1072059312</v>
      </c>
      <c r="E271" s="63" t="str">
        <f>'II_Inkunabeln+'!E271</f>
        <v>II 19,1a</v>
      </c>
      <c r="F271" s="63">
        <f>'II_Inkunabeln+'!H271</f>
        <v>0</v>
      </c>
      <c r="G271" s="93">
        <f>'II_Inkunabeln+'!AG271</f>
        <v>0</v>
      </c>
      <c r="H271" s="93">
        <f>'II_Inkunabeln+'!AP271</f>
        <v>0</v>
      </c>
      <c r="I271" s="93">
        <f>'II_Inkunabeln+'!AQ271</f>
        <v>0</v>
      </c>
      <c r="J271" s="94"/>
      <c r="K271" s="93">
        <f>'II_Inkunabeln+'!AW271</f>
        <v>0</v>
      </c>
      <c r="L271" s="93">
        <f>'II_Inkunabeln+'!AX271</f>
        <v>0</v>
      </c>
      <c r="AA271" s="93">
        <f>'II_Inkunabeln+'!AY271</f>
        <v>0</v>
      </c>
      <c r="AB271" s="94">
        <f>'II_Inkunabeln+'!BA271</f>
        <v>0</v>
      </c>
      <c r="AC271" s="108"/>
      <c r="AD271" s="81">
        <f>'II_Inkunabeln+'!BJ271</f>
        <v>0</v>
      </c>
    </row>
    <row r="272" spans="1:30" x14ac:dyDescent="0.25">
      <c r="A272" s="63">
        <f>'II_Inkunabeln+'!A272</f>
        <v>263</v>
      </c>
      <c r="B272" s="63" t="str">
        <f>'II_Inkunabeln+'!B272</f>
        <v>L-1488-316402206</v>
      </c>
      <c r="C272" s="63">
        <f>'II_Inkunabeln+'!C272</f>
        <v>1067438289</v>
      </c>
      <c r="D272" s="84" t="str">
        <f>'II_Inkunabeln+'!D272</f>
        <v>https://portal.dnb.de/opac.htm?method=simpleSearch&amp;cqlMode=true&amp;query=idn%3D1067438289</v>
      </c>
      <c r="E272" s="63" t="str">
        <f>'II_Inkunabeln+'!E272</f>
        <v>II 19,2a - Fragm.</v>
      </c>
      <c r="F272" s="63">
        <f>'II_Inkunabeln+'!H272</f>
        <v>0</v>
      </c>
      <c r="G272" s="93">
        <f>'II_Inkunabeln+'!AG272</f>
        <v>0</v>
      </c>
      <c r="H272" s="93">
        <f>'II_Inkunabeln+'!AP272</f>
        <v>0</v>
      </c>
      <c r="I272" s="93">
        <f>'II_Inkunabeln+'!AQ272</f>
        <v>0</v>
      </c>
      <c r="J272" s="94"/>
      <c r="K272" s="93">
        <f>'II_Inkunabeln+'!AW272</f>
        <v>0</v>
      </c>
      <c r="L272" s="93">
        <f>'II_Inkunabeln+'!AX272</f>
        <v>0</v>
      </c>
      <c r="AA272" s="93">
        <f>'II_Inkunabeln+'!AY272</f>
        <v>0</v>
      </c>
      <c r="AB272" s="94">
        <f>'II_Inkunabeln+'!BA272</f>
        <v>0</v>
      </c>
      <c r="AC272" s="108"/>
      <c r="AD272" s="81">
        <f>'II_Inkunabeln+'!BJ272</f>
        <v>0</v>
      </c>
    </row>
    <row r="273" spans="1:30" x14ac:dyDescent="0.25">
      <c r="A273" s="63">
        <f>'II_Inkunabeln+'!A273</f>
        <v>264</v>
      </c>
      <c r="B273" s="63" t="str">
        <f>'II_Inkunabeln+'!B273</f>
        <v>L-1487-316402281</v>
      </c>
      <c r="C273" s="63">
        <f>'II_Inkunabeln+'!C273</f>
        <v>1067438548</v>
      </c>
      <c r="D273" s="84" t="str">
        <f>'II_Inkunabeln+'!D273</f>
        <v>https://portal.dnb.de/opac.htm?method=simpleSearch&amp;cqlMode=true&amp;query=idn%3D1067438548</v>
      </c>
      <c r="E273" s="63" t="str">
        <f>'II_Inkunabeln+'!E273</f>
        <v>II 19,2c - Fragm.</v>
      </c>
      <c r="F273" s="63">
        <f>'II_Inkunabeln+'!H273</f>
        <v>0</v>
      </c>
      <c r="G273" s="93">
        <f>'II_Inkunabeln+'!AG273</f>
        <v>0</v>
      </c>
      <c r="H273" s="93">
        <f>'II_Inkunabeln+'!AP273</f>
        <v>0</v>
      </c>
      <c r="I273" s="93">
        <f>'II_Inkunabeln+'!AQ273</f>
        <v>0</v>
      </c>
      <c r="J273" s="94"/>
      <c r="K273" s="93">
        <f>'II_Inkunabeln+'!AW273</f>
        <v>0</v>
      </c>
      <c r="L273" s="93">
        <f>'II_Inkunabeln+'!AX273</f>
        <v>0</v>
      </c>
      <c r="AA273" s="93">
        <f>'II_Inkunabeln+'!AY273</f>
        <v>0</v>
      </c>
      <c r="AB273" s="94">
        <f>'II_Inkunabeln+'!BA273</f>
        <v>0</v>
      </c>
      <c r="AC273" s="108"/>
      <c r="AD273" s="81">
        <f>'II_Inkunabeln+'!BJ273</f>
        <v>0</v>
      </c>
    </row>
    <row r="274" spans="1:30" x14ac:dyDescent="0.25">
      <c r="A274" s="63">
        <f>'II_Inkunabeln+'!A274</f>
        <v>265</v>
      </c>
      <c r="B274" s="63" t="str">
        <f>'II_Inkunabeln+'!B274</f>
        <v>L-1487-316402540</v>
      </c>
      <c r="C274" s="63">
        <f>'II_Inkunabeln+'!C274</f>
        <v>1067439005</v>
      </c>
      <c r="D274" s="84" t="str">
        <f>'II_Inkunabeln+'!D274</f>
        <v>https://portal.dnb.de/opac.htm?method=simpleSearch&amp;cqlMode=true&amp;query=idn%3D1067439005</v>
      </c>
      <c r="E274" s="63" t="str">
        <f>'II_Inkunabeln+'!E274</f>
        <v>II 19,2d - Fragm.</v>
      </c>
      <c r="F274" s="63">
        <f>'II_Inkunabeln+'!H274</f>
        <v>0</v>
      </c>
      <c r="G274" s="93">
        <f>'II_Inkunabeln+'!AG274</f>
        <v>0</v>
      </c>
      <c r="H274" s="93">
        <f>'II_Inkunabeln+'!AP274</f>
        <v>0</v>
      </c>
      <c r="I274" s="93">
        <f>'II_Inkunabeln+'!AQ274</f>
        <v>0</v>
      </c>
      <c r="J274" s="94"/>
      <c r="K274" s="93">
        <f>'II_Inkunabeln+'!AW274</f>
        <v>0</v>
      </c>
      <c r="L274" s="93">
        <f>'II_Inkunabeln+'!AX274</f>
        <v>0</v>
      </c>
      <c r="AA274" s="93">
        <f>'II_Inkunabeln+'!AY274</f>
        <v>0</v>
      </c>
      <c r="AB274" s="94">
        <f>'II_Inkunabeln+'!BA274</f>
        <v>0</v>
      </c>
      <c r="AC274" s="108"/>
      <c r="AD274" s="81">
        <f>'II_Inkunabeln+'!BJ274</f>
        <v>0</v>
      </c>
    </row>
    <row r="275" spans="1:30" x14ac:dyDescent="0.25">
      <c r="A275" s="63">
        <f>'II_Inkunabeln+'!A275</f>
        <v>266</v>
      </c>
      <c r="B275" s="63" t="str">
        <f>'II_Inkunabeln+'!B275</f>
        <v>L-1493-326855874</v>
      </c>
      <c r="C275" s="63">
        <f>'II_Inkunabeln+'!C275</f>
        <v>1072059665</v>
      </c>
      <c r="D275" s="84" t="str">
        <f>'II_Inkunabeln+'!D275</f>
        <v>https://portal.dnb.de/opac.htm?method=simpleSearch&amp;cqlMode=true&amp;query=idn%3D1072059665</v>
      </c>
      <c r="E275" s="63" t="str">
        <f>'II_Inkunabeln+'!E275</f>
        <v>II 20,1a</v>
      </c>
      <c r="F275" s="63">
        <f>'II_Inkunabeln+'!H275</f>
        <v>0</v>
      </c>
      <c r="G275" s="93">
        <f>'II_Inkunabeln+'!AG275</f>
        <v>0</v>
      </c>
      <c r="H275" s="93">
        <f>'II_Inkunabeln+'!AP275</f>
        <v>0</v>
      </c>
      <c r="I275" s="93">
        <f>'II_Inkunabeln+'!AQ275</f>
        <v>0</v>
      </c>
      <c r="J275" s="94"/>
      <c r="K275" s="93">
        <f>'II_Inkunabeln+'!AW275</f>
        <v>0</v>
      </c>
      <c r="L275" s="93">
        <f>'II_Inkunabeln+'!AX275</f>
        <v>0</v>
      </c>
      <c r="AA275" s="93">
        <f>'II_Inkunabeln+'!AY275</f>
        <v>0</v>
      </c>
      <c r="AB275" s="94">
        <f>'II_Inkunabeln+'!BA275</f>
        <v>0</v>
      </c>
      <c r="AC275" s="108"/>
      <c r="AD275" s="81">
        <f>'II_Inkunabeln+'!BJ275</f>
        <v>0</v>
      </c>
    </row>
    <row r="276" spans="1:30" x14ac:dyDescent="0.25">
      <c r="A276" s="63">
        <f>'II_Inkunabeln+'!A276</f>
        <v>267</v>
      </c>
      <c r="B276" s="63" t="str">
        <f>'II_Inkunabeln+'!B276</f>
        <v>L-1474-315497467</v>
      </c>
      <c r="C276" s="63">
        <f>'II_Inkunabeln+'!C276</f>
        <v>1066967202</v>
      </c>
      <c r="D276" s="84" t="str">
        <f>'II_Inkunabeln+'!D276</f>
        <v>https://portal.dnb.de/opac.htm?method=simpleSearch&amp;cqlMode=true&amp;query=idn%3D1066967202</v>
      </c>
      <c r="E276" s="63" t="str">
        <f>'II_Inkunabeln+'!E276</f>
        <v>II 21,1a</v>
      </c>
      <c r="F276" s="63">
        <f>'II_Inkunabeln+'!H276</f>
        <v>0</v>
      </c>
      <c r="G276" s="93">
        <f>'II_Inkunabeln+'!AG276</f>
        <v>0</v>
      </c>
      <c r="H276" s="93">
        <f>'II_Inkunabeln+'!AP276</f>
        <v>0</v>
      </c>
      <c r="I276" s="93">
        <f>'II_Inkunabeln+'!AQ276</f>
        <v>0</v>
      </c>
      <c r="J276" s="94"/>
      <c r="K276" s="93">
        <f>'II_Inkunabeln+'!AW276</f>
        <v>0</v>
      </c>
      <c r="L276" s="93">
        <f>'II_Inkunabeln+'!AX276</f>
        <v>0</v>
      </c>
      <c r="AA276" s="93">
        <f>'II_Inkunabeln+'!AY276</f>
        <v>0</v>
      </c>
      <c r="AB276" s="94">
        <f>'II_Inkunabeln+'!BA276</f>
        <v>0</v>
      </c>
      <c r="AC276" s="108"/>
      <c r="AD276" s="81">
        <f>'II_Inkunabeln+'!BJ276</f>
        <v>0</v>
      </c>
    </row>
    <row r="277" spans="1:30" x14ac:dyDescent="0.25">
      <c r="A277" s="63">
        <f>'II_Inkunabeln+'!A277</f>
        <v>268</v>
      </c>
      <c r="B277" s="63" t="str">
        <f>'II_Inkunabeln+'!B277</f>
        <v>L-1476-316067881</v>
      </c>
      <c r="C277" s="63">
        <f>'II_Inkunabeln+'!C277</f>
        <v>1066967202</v>
      </c>
      <c r="D277" s="84" t="str">
        <f>'II_Inkunabeln+'!D277</f>
        <v>https://portal.dnb.de/opac.htm?method=simpleSearch&amp;cqlMode=true&amp;query=idn%3D1066967202</v>
      </c>
      <c r="E277" s="63" t="str">
        <f>'II_Inkunabeln+'!E277</f>
        <v>II 21,1b - Fragm.</v>
      </c>
      <c r="F277" s="63">
        <f>'II_Inkunabeln+'!H277</f>
        <v>0</v>
      </c>
      <c r="G277" s="93">
        <f>'II_Inkunabeln+'!AG277</f>
        <v>0</v>
      </c>
      <c r="H277" s="93">
        <f>'II_Inkunabeln+'!AP277</f>
        <v>0</v>
      </c>
      <c r="I277" s="93">
        <f>'II_Inkunabeln+'!AQ277</f>
        <v>0</v>
      </c>
      <c r="J277" s="94"/>
      <c r="K277" s="93">
        <f>'II_Inkunabeln+'!AW277</f>
        <v>0</v>
      </c>
      <c r="L277" s="93">
        <f>'II_Inkunabeln+'!AX277</f>
        <v>0</v>
      </c>
      <c r="AA277" s="93">
        <f>'II_Inkunabeln+'!AY277</f>
        <v>0</v>
      </c>
      <c r="AB277" s="94">
        <f>'II_Inkunabeln+'!BA277</f>
        <v>0</v>
      </c>
      <c r="AC277" s="108"/>
      <c r="AD277" s="81">
        <f>'II_Inkunabeln+'!BJ277</f>
        <v>0</v>
      </c>
    </row>
    <row r="278" spans="1:30" x14ac:dyDescent="0.25">
      <c r="A278" s="63">
        <f>'II_Inkunabeln+'!A278</f>
        <v>269</v>
      </c>
      <c r="B278" s="63" t="str">
        <f>'II_Inkunabeln+'!B278</f>
        <v>L-1474-315497882</v>
      </c>
      <c r="C278" s="63">
        <f>'II_Inkunabeln+'!C278</f>
        <v>1066967636</v>
      </c>
      <c r="D278" s="84" t="str">
        <f>'II_Inkunabeln+'!D278</f>
        <v>https://portal.dnb.de/opac.htm?method=simpleSearch&amp;cqlMode=true&amp;query=idn%3D1066967636</v>
      </c>
      <c r="E278" s="63" t="str">
        <f>'II_Inkunabeln+'!E278</f>
        <v>II 21,1c</v>
      </c>
      <c r="F278" s="63">
        <f>'II_Inkunabeln+'!H278</f>
        <v>0</v>
      </c>
      <c r="G278" s="93">
        <f>'II_Inkunabeln+'!AG278</f>
        <v>0</v>
      </c>
      <c r="H278" s="93">
        <f>'II_Inkunabeln+'!AP278</f>
        <v>0</v>
      </c>
      <c r="I278" s="93">
        <f>'II_Inkunabeln+'!AQ278</f>
        <v>0</v>
      </c>
      <c r="J278" s="94"/>
      <c r="K278" s="93">
        <f>'II_Inkunabeln+'!AW278</f>
        <v>0</v>
      </c>
      <c r="L278" s="93">
        <f>'II_Inkunabeln+'!AX278</f>
        <v>0</v>
      </c>
      <c r="AA278" s="93">
        <f>'II_Inkunabeln+'!AY278</f>
        <v>0</v>
      </c>
      <c r="AB278" s="94">
        <f>'II_Inkunabeln+'!BA278</f>
        <v>0</v>
      </c>
      <c r="AC278" s="108"/>
      <c r="AD278" s="81">
        <f>'II_Inkunabeln+'!BJ278</f>
        <v>0</v>
      </c>
    </row>
    <row r="279" spans="1:30" x14ac:dyDescent="0.25">
      <c r="A279" s="63">
        <f>'II_Inkunabeln+'!A279</f>
        <v>270</v>
      </c>
      <c r="B279" s="63" t="str">
        <f>'II_Inkunabeln+'!B279</f>
        <v>L-1475-316068217</v>
      </c>
      <c r="C279" s="63">
        <f>'II_Inkunabeln+'!C279</f>
        <v>1067300287</v>
      </c>
      <c r="D279" s="84" t="str">
        <f>'II_Inkunabeln+'!D279</f>
        <v>https://portal.dnb.de/opac.htm?method=simpleSearch&amp;cqlMode=true&amp;query=idn%3D1067300287</v>
      </c>
      <c r="E279" s="63" t="str">
        <f>'II_Inkunabeln+'!E279</f>
        <v>II 21,1d - Fragm.</v>
      </c>
      <c r="F279" s="63">
        <f>'II_Inkunabeln+'!H279</f>
        <v>0</v>
      </c>
      <c r="G279" s="93">
        <f>'II_Inkunabeln+'!AG279</f>
        <v>0</v>
      </c>
      <c r="H279" s="93">
        <f>'II_Inkunabeln+'!AP279</f>
        <v>0</v>
      </c>
      <c r="I279" s="93">
        <f>'II_Inkunabeln+'!AQ279</f>
        <v>0</v>
      </c>
      <c r="J279" s="94"/>
      <c r="K279" s="93">
        <f>'II_Inkunabeln+'!AW279</f>
        <v>0</v>
      </c>
      <c r="L279" s="93">
        <f>'II_Inkunabeln+'!AX279</f>
        <v>0</v>
      </c>
      <c r="AA279" s="93">
        <f>'II_Inkunabeln+'!AY279</f>
        <v>0</v>
      </c>
      <c r="AB279" s="94">
        <f>'II_Inkunabeln+'!BA279</f>
        <v>0</v>
      </c>
      <c r="AC279" s="108"/>
      <c r="AD279" s="81">
        <f>'II_Inkunabeln+'!BJ279</f>
        <v>0</v>
      </c>
    </row>
    <row r="280" spans="1:30" x14ac:dyDescent="0.25">
      <c r="A280" s="63">
        <f>'II_Inkunabeln+'!A280</f>
        <v>271</v>
      </c>
      <c r="B280" s="63" t="str">
        <f>'II_Inkunabeln+'!B280</f>
        <v>L-1483-315494964</v>
      </c>
      <c r="C280" s="63">
        <f>'II_Inkunabeln+'!C280</f>
        <v>1066964777</v>
      </c>
      <c r="D280" s="84" t="str">
        <f>'II_Inkunabeln+'!D280</f>
        <v>https://portal.dnb.de/opac.htm?method=simpleSearch&amp;cqlMode=true&amp;query=idn%3D1066964777</v>
      </c>
      <c r="E280" s="63" t="str">
        <f>'II_Inkunabeln+'!E280</f>
        <v>II 22,1b</v>
      </c>
      <c r="F280" s="63">
        <f>'II_Inkunabeln+'!H280</f>
        <v>0</v>
      </c>
      <c r="G280" s="93">
        <f>'II_Inkunabeln+'!AG280</f>
        <v>0</v>
      </c>
      <c r="H280" s="93">
        <f>'II_Inkunabeln+'!AP280</f>
        <v>0</v>
      </c>
      <c r="I280" s="93">
        <f>'II_Inkunabeln+'!AQ280</f>
        <v>0</v>
      </c>
      <c r="J280" s="94"/>
      <c r="K280" s="93">
        <f>'II_Inkunabeln+'!AW280</f>
        <v>0</v>
      </c>
      <c r="L280" s="93">
        <f>'II_Inkunabeln+'!AX280</f>
        <v>0</v>
      </c>
      <c r="AA280" s="93">
        <f>'II_Inkunabeln+'!AY280</f>
        <v>0</v>
      </c>
      <c r="AB280" s="94">
        <f>'II_Inkunabeln+'!BA280</f>
        <v>0</v>
      </c>
      <c r="AC280" s="108"/>
      <c r="AD280" s="81">
        <f>'II_Inkunabeln+'!BJ280</f>
        <v>0</v>
      </c>
    </row>
    <row r="281" spans="1:30" x14ac:dyDescent="0.25">
      <c r="A281" s="63">
        <f>'II_Inkunabeln+'!A281</f>
        <v>272</v>
      </c>
      <c r="B281" s="63" t="str">
        <f>'II_Inkunabeln+'!B281</f>
        <v>L-1483-343704935</v>
      </c>
      <c r="C281" s="63">
        <f>'II_Inkunabeln+'!C281</f>
        <v>1079554416</v>
      </c>
      <c r="D281" s="84" t="str">
        <f>'II_Inkunabeln+'!D281</f>
        <v>https://portal.dnb.de/opac.htm?method=simpleSearch&amp;cqlMode=true&amp;query=idn%3D1079554416</v>
      </c>
      <c r="E281" s="63" t="str">
        <f>'II_Inkunabeln+'!E281</f>
        <v>II 22,1b (angebundenes Werk)</v>
      </c>
      <c r="F281" s="63">
        <f>'II_Inkunabeln+'!H281</f>
        <v>0</v>
      </c>
      <c r="G281" s="93">
        <f>'II_Inkunabeln+'!AG281</f>
        <v>0</v>
      </c>
      <c r="H281" s="93">
        <f>'II_Inkunabeln+'!AP281</f>
        <v>0</v>
      </c>
      <c r="I281" s="93">
        <f>'II_Inkunabeln+'!AQ281</f>
        <v>0</v>
      </c>
      <c r="J281" s="94"/>
      <c r="K281" s="93">
        <f>'II_Inkunabeln+'!AW281</f>
        <v>0</v>
      </c>
      <c r="L281" s="93">
        <f>'II_Inkunabeln+'!AX281</f>
        <v>0</v>
      </c>
      <c r="AA281" s="93">
        <f>'II_Inkunabeln+'!AY281</f>
        <v>0</v>
      </c>
      <c r="AB281" s="94">
        <f>'II_Inkunabeln+'!BA281</f>
        <v>0</v>
      </c>
      <c r="AC281" s="108"/>
      <c r="AD281" s="81">
        <f>'II_Inkunabeln+'!BJ281</f>
        <v>0</v>
      </c>
    </row>
    <row r="282" spans="1:30" x14ac:dyDescent="0.25">
      <c r="A282" s="63">
        <f>'II_Inkunabeln+'!A282</f>
        <v>273</v>
      </c>
      <c r="B282" s="63" t="str">
        <f>'II_Inkunabeln+'!B282</f>
        <v>L-1492-315501537</v>
      </c>
      <c r="C282" s="63">
        <f>'II_Inkunabeln+'!C282</f>
        <v>1066971161</v>
      </c>
      <c r="D282" s="84" t="str">
        <f>'II_Inkunabeln+'!D282</f>
        <v>https://portal.dnb.de/opac.htm?method=simpleSearch&amp;cqlMode=true&amp;query=idn%3D1066971161</v>
      </c>
      <c r="E282" s="63" t="str">
        <f>'II_Inkunabeln+'!E282</f>
        <v>II 22,1d</v>
      </c>
      <c r="F282" s="63">
        <f>'II_Inkunabeln+'!H282</f>
        <v>0</v>
      </c>
      <c r="G282" s="93">
        <f>'II_Inkunabeln+'!AG282</f>
        <v>0</v>
      </c>
      <c r="H282" s="93">
        <f>'II_Inkunabeln+'!AP282</f>
        <v>0</v>
      </c>
      <c r="I282" s="93">
        <f>'II_Inkunabeln+'!AQ282</f>
        <v>0</v>
      </c>
      <c r="J282" s="94"/>
      <c r="K282" s="93">
        <f>'II_Inkunabeln+'!AW282</f>
        <v>0</v>
      </c>
      <c r="L282" s="93">
        <f>'II_Inkunabeln+'!AX282</f>
        <v>0</v>
      </c>
      <c r="AA282" s="93">
        <f>'II_Inkunabeln+'!AY282</f>
        <v>0</v>
      </c>
      <c r="AB282" s="94">
        <f>'II_Inkunabeln+'!BA282</f>
        <v>0</v>
      </c>
      <c r="AC282" s="108"/>
      <c r="AD282" s="81">
        <f>'II_Inkunabeln+'!BJ282</f>
        <v>0</v>
      </c>
    </row>
    <row r="283" spans="1:30" x14ac:dyDescent="0.25">
      <c r="A283" s="63">
        <f>'II_Inkunabeln+'!A283</f>
        <v>274</v>
      </c>
      <c r="B283" s="63" t="str">
        <f>'II_Inkunabeln+'!B283</f>
        <v>L-1488-326856064</v>
      </c>
      <c r="C283" s="63">
        <f>'II_Inkunabeln+'!C283</f>
        <v>1072060000</v>
      </c>
      <c r="D283" s="84" t="str">
        <f>'II_Inkunabeln+'!D283</f>
        <v>https://portal.dnb.de/opac.htm?method=simpleSearch&amp;cqlMode=true&amp;query=idn%3D1072060000</v>
      </c>
      <c r="E283" s="63" t="str">
        <f>'II_Inkunabeln+'!E283</f>
        <v>II 23,1a</v>
      </c>
      <c r="F283" s="63">
        <f>'II_Inkunabeln+'!H283</f>
        <v>0</v>
      </c>
      <c r="G283" s="93">
        <f>'II_Inkunabeln+'!AG283</f>
        <v>0</v>
      </c>
      <c r="H283" s="93">
        <f>'II_Inkunabeln+'!AP283</f>
        <v>0</v>
      </c>
      <c r="I283" s="93">
        <f>'II_Inkunabeln+'!AQ283</f>
        <v>0</v>
      </c>
      <c r="J283" s="94"/>
      <c r="K283" s="93">
        <f>'II_Inkunabeln+'!AW283</f>
        <v>0</v>
      </c>
      <c r="L283" s="93">
        <f>'II_Inkunabeln+'!AX283</f>
        <v>0</v>
      </c>
      <c r="AA283" s="93">
        <f>'II_Inkunabeln+'!AY283</f>
        <v>0</v>
      </c>
      <c r="AB283" s="94">
        <f>'II_Inkunabeln+'!BA283</f>
        <v>0</v>
      </c>
      <c r="AC283" s="108"/>
      <c r="AD283" s="81">
        <f>'II_Inkunabeln+'!BJ283</f>
        <v>0</v>
      </c>
    </row>
    <row r="284" spans="1:30" x14ac:dyDescent="0.25">
      <c r="A284" s="63">
        <f>'II_Inkunabeln+'!A284</f>
        <v>275</v>
      </c>
      <c r="B284" s="63" t="str">
        <f>'II_Inkunabeln+'!B284</f>
        <v>L-1500-343707918</v>
      </c>
      <c r="C284" s="63">
        <f>'II_Inkunabeln+'!C284</f>
        <v>1079559167</v>
      </c>
      <c r="D284" s="84" t="str">
        <f>'II_Inkunabeln+'!D284</f>
        <v>https://portal.dnb.de/opac.htm?method=simpleSearch&amp;cqlMode=true&amp;query=idn%3D1079559167</v>
      </c>
      <c r="E284" s="63" t="str">
        <f>'II_Inkunabeln+'!E284</f>
        <v>II 23,2a</v>
      </c>
      <c r="F284" s="63">
        <f>'II_Inkunabeln+'!H284</f>
        <v>0</v>
      </c>
      <c r="G284" s="93">
        <f>'II_Inkunabeln+'!AG284</f>
        <v>0</v>
      </c>
      <c r="H284" s="93">
        <f>'II_Inkunabeln+'!AP284</f>
        <v>0</v>
      </c>
      <c r="I284" s="93">
        <f>'II_Inkunabeln+'!AQ284</f>
        <v>0</v>
      </c>
      <c r="J284" s="94"/>
      <c r="K284" s="93">
        <f>'II_Inkunabeln+'!AW284</f>
        <v>0</v>
      </c>
      <c r="L284" s="93">
        <f>'II_Inkunabeln+'!AX284</f>
        <v>0</v>
      </c>
      <c r="AA284" s="93">
        <f>'II_Inkunabeln+'!AY284</f>
        <v>0</v>
      </c>
      <c r="AB284" s="94">
        <f>'II_Inkunabeln+'!BA284</f>
        <v>0</v>
      </c>
      <c r="AC284" s="108"/>
      <c r="AD284" s="81">
        <f>'II_Inkunabeln+'!BJ284</f>
        <v>0</v>
      </c>
    </row>
    <row r="285" spans="1:30" x14ac:dyDescent="0.25">
      <c r="A285" s="63">
        <f>'II_Inkunabeln+'!A285</f>
        <v>276</v>
      </c>
      <c r="B285" s="63" t="str">
        <f>'II_Inkunabeln+'!B285</f>
        <v>L-1470-315498706</v>
      </c>
      <c r="C285" s="63">
        <f>'II_Inkunabeln+'!C285</f>
        <v>1066968454</v>
      </c>
      <c r="D285" s="84" t="str">
        <f>'II_Inkunabeln+'!D285</f>
        <v>https://portal.dnb.de/opac.htm?method=simpleSearch&amp;cqlMode=true&amp;query=idn%3D1066968454</v>
      </c>
      <c r="E285" s="63" t="str">
        <f>'II_Inkunabeln+'!E285</f>
        <v>II 24,1a</v>
      </c>
      <c r="F285" s="63" t="str">
        <f>'II_Inkunabeln+'!H285</f>
        <v>bis 35 cm</v>
      </c>
      <c r="G285" s="93">
        <f>'II_Inkunabeln+'!AG285</f>
        <v>0</v>
      </c>
      <c r="H285" s="93">
        <f>'II_Inkunabeln+'!AP285</f>
        <v>0</v>
      </c>
      <c r="I285" s="93">
        <f>'II_Inkunabeln+'!AQ285</f>
        <v>0</v>
      </c>
      <c r="J285" s="94"/>
      <c r="K285" s="93">
        <f>'II_Inkunabeln+'!AW285</f>
        <v>0</v>
      </c>
      <c r="L285" s="93">
        <f>'II_Inkunabeln+'!AX285</f>
        <v>0</v>
      </c>
      <c r="AA285" s="93">
        <f>'II_Inkunabeln+'!AY285</f>
        <v>0</v>
      </c>
      <c r="AB285" s="94">
        <f>'II_Inkunabeln+'!BA285</f>
        <v>0</v>
      </c>
      <c r="AC285" s="108"/>
      <c r="AD285" s="81">
        <f>'II_Inkunabeln+'!BJ285</f>
        <v>0</v>
      </c>
    </row>
    <row r="286" spans="1:30" x14ac:dyDescent="0.25">
      <c r="A286" s="63">
        <f>'II_Inkunabeln+'!A286</f>
        <v>0</v>
      </c>
      <c r="B286" s="63">
        <f>'II_Inkunabeln+'!B286</f>
        <v>0</v>
      </c>
      <c r="C286" s="63">
        <f>'II_Inkunabeln+'!C286</f>
        <v>0</v>
      </c>
      <c r="D286" s="84">
        <f>'II_Inkunabeln+'!D286</f>
        <v>0</v>
      </c>
      <c r="E286" s="63" t="str">
        <f>'II_Inkunabeln+'!E286</f>
        <v>II 24,1a</v>
      </c>
      <c r="F286" s="63">
        <f>'II_Inkunabeln+'!H286</f>
        <v>0</v>
      </c>
      <c r="G286" s="93">
        <f>'II_Inkunabeln+'!AG286</f>
        <v>0</v>
      </c>
      <c r="H286" s="93">
        <f>'II_Inkunabeln+'!AP286</f>
        <v>0</v>
      </c>
      <c r="I286" s="93">
        <f>'II_Inkunabeln+'!AQ286</f>
        <v>0</v>
      </c>
      <c r="J286" s="94"/>
      <c r="K286" s="93">
        <f>'II_Inkunabeln+'!AW286</f>
        <v>0</v>
      </c>
      <c r="L286" s="93">
        <f>'II_Inkunabeln+'!AX286</f>
        <v>0</v>
      </c>
      <c r="AA286" s="93">
        <f>'II_Inkunabeln+'!AY286</f>
        <v>0</v>
      </c>
      <c r="AB286" s="94">
        <f>'II_Inkunabeln+'!BA286</f>
        <v>0</v>
      </c>
      <c r="AC286" s="108"/>
      <c r="AD286" s="81">
        <f>'II_Inkunabeln+'!BJ286</f>
        <v>0</v>
      </c>
    </row>
    <row r="287" spans="1:30" x14ac:dyDescent="0.25">
      <c r="A287" s="63">
        <f>'II_Inkunabeln+'!A287</f>
        <v>277</v>
      </c>
      <c r="B287" s="63" t="str">
        <f>'II_Inkunabeln+'!B287</f>
        <v>L-1472-315497181</v>
      </c>
      <c r="C287" s="63">
        <f>'II_Inkunabeln+'!C287</f>
        <v>1066966885</v>
      </c>
      <c r="D287" s="84" t="str">
        <f>'II_Inkunabeln+'!D287</f>
        <v>https://portal.dnb.de/opac.htm?method=simpleSearch&amp;cqlMode=true&amp;query=idn%3D1066966885</v>
      </c>
      <c r="E287" s="63" t="str">
        <f>'II_Inkunabeln+'!E287</f>
        <v>II 24,1b</v>
      </c>
      <c r="F287" s="63">
        <f>'II_Inkunabeln+'!H287</f>
        <v>0</v>
      </c>
      <c r="G287" s="93">
        <f>'II_Inkunabeln+'!AG287</f>
        <v>0</v>
      </c>
      <c r="H287" s="93">
        <f>'II_Inkunabeln+'!AP287</f>
        <v>0</v>
      </c>
      <c r="I287" s="93">
        <f>'II_Inkunabeln+'!AQ287</f>
        <v>0</v>
      </c>
      <c r="J287" s="94"/>
      <c r="K287" s="93">
        <f>'II_Inkunabeln+'!AW287</f>
        <v>0</v>
      </c>
      <c r="L287" s="93">
        <f>'II_Inkunabeln+'!AX287</f>
        <v>0</v>
      </c>
      <c r="AA287" s="93">
        <f>'II_Inkunabeln+'!AY287</f>
        <v>0</v>
      </c>
      <c r="AB287" s="94">
        <f>'II_Inkunabeln+'!BA287</f>
        <v>0</v>
      </c>
      <c r="AC287" s="108"/>
      <c r="AD287" s="81">
        <f>'II_Inkunabeln+'!BJ287</f>
        <v>0</v>
      </c>
    </row>
    <row r="288" spans="1:30" x14ac:dyDescent="0.25">
      <c r="A288" s="63">
        <f>'II_Inkunabeln+'!A288</f>
        <v>278</v>
      </c>
      <c r="B288" s="63" t="str">
        <f>'II_Inkunabeln+'!B288</f>
        <v>L-1473-287114600</v>
      </c>
      <c r="C288" s="63">
        <f>'II_Inkunabeln+'!C288</f>
        <v>1048306054</v>
      </c>
      <c r="D288" s="84" t="str">
        <f>'II_Inkunabeln+'!D288</f>
        <v>https://portal.dnb.de/opac.htm?method=simpleSearch&amp;cqlMode=true&amp;query=idn%3D1048306054</v>
      </c>
      <c r="E288" s="63" t="str">
        <f>'II_Inkunabeln+'!E288</f>
        <v>II 24,1c -1</v>
      </c>
      <c r="F288" s="63" t="str">
        <f>'II_Inkunabeln+'!H288</f>
        <v>bis 42 cm</v>
      </c>
      <c r="G288" s="93">
        <f>'II_Inkunabeln+'!AG288</f>
        <v>0</v>
      </c>
      <c r="H288" s="93">
        <f>'II_Inkunabeln+'!AP288</f>
        <v>0</v>
      </c>
      <c r="I288" s="93">
        <f>'II_Inkunabeln+'!AQ288</f>
        <v>0</v>
      </c>
      <c r="J288" s="94"/>
      <c r="K288" s="93">
        <f>'II_Inkunabeln+'!AW288</f>
        <v>0</v>
      </c>
      <c r="L288" s="93">
        <f>'II_Inkunabeln+'!AX288</f>
        <v>0</v>
      </c>
      <c r="AA288" s="93">
        <f>'II_Inkunabeln+'!AY288</f>
        <v>0</v>
      </c>
      <c r="AB288" s="94">
        <f>'II_Inkunabeln+'!BA288</f>
        <v>0</v>
      </c>
      <c r="AC288" s="108"/>
      <c r="AD288" s="81">
        <f>'II_Inkunabeln+'!BJ288</f>
        <v>0</v>
      </c>
    </row>
    <row r="289" spans="1:30" x14ac:dyDescent="0.25">
      <c r="A289" s="63">
        <f>'II_Inkunabeln+'!A289</f>
        <v>0</v>
      </c>
      <c r="B289" s="63">
        <f>'II_Inkunabeln+'!B289</f>
        <v>0</v>
      </c>
      <c r="C289" s="63">
        <f>'II_Inkunabeln+'!C289</f>
        <v>0</v>
      </c>
      <c r="D289" s="84">
        <f>'II_Inkunabeln+'!D289</f>
        <v>0</v>
      </c>
      <c r="E289" s="63" t="str">
        <f>'II_Inkunabeln+'!E289</f>
        <v>II 24,1c -2</v>
      </c>
      <c r="F289" s="63" t="str">
        <f>'II_Inkunabeln+'!H289</f>
        <v>bis 42 cm</v>
      </c>
      <c r="G289" s="93">
        <f>'II_Inkunabeln+'!AG289</f>
        <v>0</v>
      </c>
      <c r="H289" s="93">
        <f>'II_Inkunabeln+'!AP289</f>
        <v>0</v>
      </c>
      <c r="I289" s="93">
        <f>'II_Inkunabeln+'!AQ289</f>
        <v>0</v>
      </c>
      <c r="J289" s="94"/>
      <c r="K289" s="93">
        <f>'II_Inkunabeln+'!AW289</f>
        <v>0</v>
      </c>
      <c r="L289" s="93">
        <f>'II_Inkunabeln+'!AX289</f>
        <v>0</v>
      </c>
      <c r="AA289" s="93">
        <f>'II_Inkunabeln+'!AY289</f>
        <v>0</v>
      </c>
      <c r="AB289" s="94">
        <f>'II_Inkunabeln+'!BA289</f>
        <v>0</v>
      </c>
      <c r="AC289" s="108"/>
      <c r="AD289" s="81">
        <f>'II_Inkunabeln+'!BJ289</f>
        <v>0</v>
      </c>
    </row>
    <row r="290" spans="1:30" x14ac:dyDescent="0.25">
      <c r="A290" s="63">
        <f>'II_Inkunabeln+'!A290</f>
        <v>279</v>
      </c>
      <c r="B290" s="63" t="str">
        <f>'II_Inkunabeln+'!B290</f>
        <v>L-1471-315498668</v>
      </c>
      <c r="C290" s="63">
        <f>'II_Inkunabeln+'!C290</f>
        <v>1066968411</v>
      </c>
      <c r="D290" s="84" t="str">
        <f>'II_Inkunabeln+'!D290</f>
        <v>https://portal.dnb.de/opac.htm?method=simpleSearch&amp;cqlMode=true&amp;query=idn%3D1066968411</v>
      </c>
      <c r="E290" s="63" t="str">
        <f>'II_Inkunabeln+'!E290</f>
        <v>II 24,1d</v>
      </c>
      <c r="F290" s="63" t="str">
        <f>'II_Inkunabeln+'!H290</f>
        <v>bis 35 cm</v>
      </c>
      <c r="G290" s="93">
        <f>'II_Inkunabeln+'!AG290</f>
        <v>0</v>
      </c>
      <c r="H290" s="93">
        <f>'II_Inkunabeln+'!AP290</f>
        <v>0</v>
      </c>
      <c r="I290" s="93">
        <f>'II_Inkunabeln+'!AQ290</f>
        <v>0</v>
      </c>
      <c r="J290" s="94"/>
      <c r="K290" s="93">
        <f>'II_Inkunabeln+'!AW290</f>
        <v>0</v>
      </c>
      <c r="L290" s="93">
        <f>'II_Inkunabeln+'!AX290</f>
        <v>0</v>
      </c>
      <c r="AA290" s="93">
        <f>'II_Inkunabeln+'!AY290</f>
        <v>0</v>
      </c>
      <c r="AB290" s="94">
        <f>'II_Inkunabeln+'!BA290</f>
        <v>0</v>
      </c>
      <c r="AC290" s="108"/>
      <c r="AD290" s="81">
        <f>'II_Inkunabeln+'!BJ290</f>
        <v>0</v>
      </c>
    </row>
    <row r="291" spans="1:30" x14ac:dyDescent="0.25">
      <c r="A291" s="63">
        <f>'II_Inkunabeln+'!A291</f>
        <v>280</v>
      </c>
      <c r="B291" s="63" t="str">
        <f>'II_Inkunabeln+'!B291</f>
        <v>L-1474-315502959</v>
      </c>
      <c r="C291" s="63">
        <f>'II_Inkunabeln+'!C291</f>
        <v>1066972532</v>
      </c>
      <c r="D291" s="84" t="str">
        <f>'II_Inkunabeln+'!D291</f>
        <v>https://portal.dnb.de/opac.htm?method=simpleSearch&amp;cqlMode=true&amp;query=idn%3D1066972532</v>
      </c>
      <c r="E291" s="63" t="str">
        <f>'II_Inkunabeln+'!E291</f>
        <v>II 24,2a</v>
      </c>
      <c r="F291" s="63" t="str">
        <f>'II_Inkunabeln+'!H291</f>
        <v>bis 42 cm</v>
      </c>
      <c r="G291" s="93">
        <f>'II_Inkunabeln+'!AG291</f>
        <v>0</v>
      </c>
      <c r="H291" s="93">
        <f>'II_Inkunabeln+'!AP291</f>
        <v>0</v>
      </c>
      <c r="I291" s="93">
        <f>'II_Inkunabeln+'!AQ291</f>
        <v>0</v>
      </c>
      <c r="J291" s="94"/>
      <c r="K291" s="93">
        <f>'II_Inkunabeln+'!AW291</f>
        <v>0</v>
      </c>
      <c r="L291" s="93">
        <f>'II_Inkunabeln+'!AX291</f>
        <v>0</v>
      </c>
      <c r="AA291" s="93">
        <f>'II_Inkunabeln+'!AY291</f>
        <v>0</v>
      </c>
      <c r="AB291" s="94">
        <f>'II_Inkunabeln+'!BA291</f>
        <v>0</v>
      </c>
      <c r="AC291" s="108"/>
      <c r="AD291" s="81">
        <f>'II_Inkunabeln+'!BJ291</f>
        <v>0</v>
      </c>
    </row>
    <row r="292" spans="1:30" x14ac:dyDescent="0.25">
      <c r="A292" s="63">
        <f>'II_Inkunabeln+'!A292</f>
        <v>281</v>
      </c>
      <c r="B292" s="63" t="str">
        <f>'II_Inkunabeln+'!B292</f>
        <v>L-1475-316068608</v>
      </c>
      <c r="C292" s="63">
        <f>'II_Inkunabeln+'!C292</f>
        <v>1067300988</v>
      </c>
      <c r="D292" s="84" t="str">
        <f>'II_Inkunabeln+'!D292</f>
        <v>https://portal.dnb.de/opac.htm?method=simpleSearch&amp;cqlMode=true&amp;query=idn%3D1067300988</v>
      </c>
      <c r="E292" s="63" t="str">
        <f>'II_Inkunabeln+'!E292</f>
        <v>II 24,2ba - Fragm.</v>
      </c>
      <c r="F292" s="63">
        <f>'II_Inkunabeln+'!H292</f>
        <v>0</v>
      </c>
      <c r="G292" s="93">
        <f>'II_Inkunabeln+'!AG292</f>
        <v>0</v>
      </c>
      <c r="H292" s="93">
        <f>'II_Inkunabeln+'!AP292</f>
        <v>0</v>
      </c>
      <c r="I292" s="93">
        <f>'II_Inkunabeln+'!AQ292</f>
        <v>0</v>
      </c>
      <c r="J292" s="94"/>
      <c r="K292" s="93">
        <f>'II_Inkunabeln+'!AW292</f>
        <v>0</v>
      </c>
      <c r="L292" s="93">
        <f>'II_Inkunabeln+'!AX292</f>
        <v>0</v>
      </c>
      <c r="AA292" s="93">
        <f>'II_Inkunabeln+'!AY292</f>
        <v>0</v>
      </c>
      <c r="AB292" s="94">
        <f>'II_Inkunabeln+'!BA292</f>
        <v>0</v>
      </c>
      <c r="AC292" s="108"/>
      <c r="AD292" s="81">
        <f>'II_Inkunabeln+'!BJ292</f>
        <v>0</v>
      </c>
    </row>
    <row r="293" spans="1:30" x14ac:dyDescent="0.25">
      <c r="A293" s="63">
        <f>'II_Inkunabeln+'!A293</f>
        <v>282</v>
      </c>
      <c r="B293" s="63" t="str">
        <f>'II_Inkunabeln+'!B293</f>
        <v>L-1476-315500859</v>
      </c>
      <c r="C293" s="63">
        <f>'II_Inkunabeln+'!C293</f>
        <v>1066970491</v>
      </c>
      <c r="D293" s="84" t="str">
        <f>'II_Inkunabeln+'!D293</f>
        <v>https://portal.dnb.de/opac.htm?method=simpleSearch&amp;cqlMode=true&amp;query=idn%3D1066970491</v>
      </c>
      <c r="E293" s="63" t="str">
        <f>'II_Inkunabeln+'!E293</f>
        <v>II 24,2c</v>
      </c>
      <c r="F293" s="63" t="str">
        <f>'II_Inkunabeln+'!H293</f>
        <v>bis 42 cm</v>
      </c>
      <c r="G293" s="93">
        <f>'II_Inkunabeln+'!AG293</f>
        <v>0</v>
      </c>
      <c r="H293" s="93">
        <f>'II_Inkunabeln+'!AP293</f>
        <v>0</v>
      </c>
      <c r="I293" s="93">
        <f>'II_Inkunabeln+'!AQ293</f>
        <v>0</v>
      </c>
      <c r="J293" s="94"/>
      <c r="K293" s="93">
        <f>'II_Inkunabeln+'!AW293</f>
        <v>0</v>
      </c>
      <c r="L293" s="93">
        <f>'II_Inkunabeln+'!AX293</f>
        <v>0</v>
      </c>
      <c r="AA293" s="93">
        <f>'II_Inkunabeln+'!AY293</f>
        <v>0</v>
      </c>
      <c r="AB293" s="94">
        <f>'II_Inkunabeln+'!BA293</f>
        <v>0</v>
      </c>
      <c r="AC293" s="108"/>
      <c r="AD293" s="81">
        <f>'II_Inkunabeln+'!BJ293</f>
        <v>0</v>
      </c>
    </row>
    <row r="294" spans="1:30" x14ac:dyDescent="0.25">
      <c r="A294" s="63">
        <f>'II_Inkunabeln+'!A294</f>
        <v>283</v>
      </c>
      <c r="B294" s="63" t="str">
        <f>'II_Inkunabeln+'!B294</f>
        <v>L-1475-315496754</v>
      </c>
      <c r="C294" s="63" t="str">
        <f>'II_Inkunabeln+'!C294</f>
        <v>106696646X</v>
      </c>
      <c r="D294" s="84" t="str">
        <f>'II_Inkunabeln+'!D294</f>
        <v>https://portal.dnb.de/opac.htm?method=simpleSearch&amp;cqlMode=true&amp;query=idn%3D106696646X</v>
      </c>
      <c r="E294" s="63" t="str">
        <f>'II_Inkunabeln+'!E294</f>
        <v>II 24,3 a</v>
      </c>
      <c r="F294" s="63" t="str">
        <f>'II_Inkunabeln+'!H294</f>
        <v>bis 42 cm</v>
      </c>
      <c r="G294" s="93">
        <f>'II_Inkunabeln+'!AG294</f>
        <v>0</v>
      </c>
      <c r="H294" s="93">
        <f>'II_Inkunabeln+'!AP294</f>
        <v>0</v>
      </c>
      <c r="I294" s="93">
        <f>'II_Inkunabeln+'!AQ294</f>
        <v>0</v>
      </c>
      <c r="J294" s="94"/>
      <c r="K294" s="93">
        <f>'II_Inkunabeln+'!AW294</f>
        <v>0</v>
      </c>
      <c r="L294" s="93">
        <f>'II_Inkunabeln+'!AX294</f>
        <v>0</v>
      </c>
      <c r="AA294" s="93">
        <f>'II_Inkunabeln+'!AY294</f>
        <v>0</v>
      </c>
      <c r="AB294" s="94">
        <f>'II_Inkunabeln+'!BA294</f>
        <v>0</v>
      </c>
      <c r="AC294" s="108"/>
      <c r="AD294" s="81">
        <f>'II_Inkunabeln+'!BJ294</f>
        <v>0</v>
      </c>
    </row>
    <row r="295" spans="1:30" x14ac:dyDescent="0.25">
      <c r="A295" s="63">
        <f>'II_Inkunabeln+'!A295</f>
        <v>284</v>
      </c>
      <c r="B295" s="63" t="str">
        <f>'II_Inkunabeln+'!B295</f>
        <v>L-1481-315498129</v>
      </c>
      <c r="C295" s="63">
        <f>'II_Inkunabeln+'!C295</f>
        <v>1066967873</v>
      </c>
      <c r="D295" s="84" t="str">
        <f>'II_Inkunabeln+'!D295</f>
        <v>https://portal.dnb.de/opac.htm?method=simpleSearch&amp;cqlMode=true&amp;query=idn%3D1066967873</v>
      </c>
      <c r="E295" s="63" t="str">
        <f>'II_Inkunabeln+'!E295</f>
        <v>II 24,3 k</v>
      </c>
      <c r="F295" s="63" t="str">
        <f>'II_Inkunabeln+'!H295</f>
        <v>bis 42 cm</v>
      </c>
      <c r="G295" s="93">
        <f>'II_Inkunabeln+'!AG295</f>
        <v>0</v>
      </c>
      <c r="H295" s="93">
        <f>'II_Inkunabeln+'!AP295</f>
        <v>0</v>
      </c>
      <c r="I295" s="93">
        <f>'II_Inkunabeln+'!AQ295</f>
        <v>0</v>
      </c>
      <c r="J295" s="94"/>
      <c r="K295" s="93">
        <f>'II_Inkunabeln+'!AW295</f>
        <v>0</v>
      </c>
      <c r="L295" s="93">
        <f>'II_Inkunabeln+'!AX295</f>
        <v>0</v>
      </c>
      <c r="AA295" s="93">
        <f>'II_Inkunabeln+'!AY295</f>
        <v>0</v>
      </c>
      <c r="AB295" s="94">
        <f>'II_Inkunabeln+'!BA295</f>
        <v>0</v>
      </c>
      <c r="AC295" s="108"/>
      <c r="AD295" s="81">
        <f>'II_Inkunabeln+'!BJ295</f>
        <v>0</v>
      </c>
    </row>
    <row r="296" spans="1:30" x14ac:dyDescent="0.25">
      <c r="A296" s="63">
        <f>'II_Inkunabeln+'!A296</f>
        <v>285</v>
      </c>
      <c r="B296" s="63" t="str">
        <f>'II_Inkunabeln+'!B296</f>
        <v>L-1498-315495499</v>
      </c>
      <c r="C296" s="63">
        <f>'II_Inkunabeln+'!C296</f>
        <v>1066965315</v>
      </c>
      <c r="D296" s="84" t="str">
        <f>'II_Inkunabeln+'!D296</f>
        <v>https://portal.dnb.de/opac.htm?method=simpleSearch&amp;cqlMode=true&amp;query=idn%3D1066965315</v>
      </c>
      <c r="E296" s="63" t="str">
        <f>'II_Inkunabeln+'!E296</f>
        <v>II 24,3a kursiv</v>
      </c>
      <c r="F296" s="63">
        <f>'II_Inkunabeln+'!H296</f>
        <v>0</v>
      </c>
      <c r="G296" s="93">
        <f>'II_Inkunabeln+'!AG296</f>
        <v>0</v>
      </c>
      <c r="H296" s="93">
        <f>'II_Inkunabeln+'!AP296</f>
        <v>0</v>
      </c>
      <c r="I296" s="93">
        <f>'II_Inkunabeln+'!AQ296</f>
        <v>0</v>
      </c>
      <c r="J296" s="94"/>
      <c r="K296" s="93">
        <f>'II_Inkunabeln+'!AW296</f>
        <v>0</v>
      </c>
      <c r="L296" s="93">
        <f>'II_Inkunabeln+'!AX296</f>
        <v>0</v>
      </c>
      <c r="AA296" s="93">
        <f>'II_Inkunabeln+'!AY296</f>
        <v>0</v>
      </c>
      <c r="AB296" s="94">
        <f>'II_Inkunabeln+'!BA296</f>
        <v>0</v>
      </c>
      <c r="AC296" s="108"/>
      <c r="AD296" s="81">
        <f>'II_Inkunabeln+'!BJ296</f>
        <v>0</v>
      </c>
    </row>
    <row r="297" spans="1:30" x14ac:dyDescent="0.25">
      <c r="A297" s="63">
        <f>'II_Inkunabeln+'!A297</f>
        <v>286</v>
      </c>
      <c r="B297" s="63" t="str">
        <f>'II_Inkunabeln+'!B297</f>
        <v>L-1478-315495537</v>
      </c>
      <c r="C297" s="63">
        <f>'II_Inkunabeln+'!C297</f>
        <v>1067336133</v>
      </c>
      <c r="D297" s="84" t="str">
        <f>'II_Inkunabeln+'!D297</f>
        <v>https://portal.dnb.de/opac.htm?method=simpleSearch&amp;cqlMode=true&amp;query=idn%3D1067336133</v>
      </c>
      <c r="E297" s="63" t="str">
        <f>'II_Inkunabeln+'!E297</f>
        <v>II 24,3b</v>
      </c>
      <c r="F297" s="63" t="str">
        <f>'II_Inkunabeln+'!H297</f>
        <v>&gt; 42 cm</v>
      </c>
      <c r="G297" s="93">
        <f>'II_Inkunabeln+'!AG297</f>
        <v>0</v>
      </c>
      <c r="H297" s="93">
        <f>'II_Inkunabeln+'!AP297</f>
        <v>0</v>
      </c>
      <c r="I297" s="93">
        <f>'II_Inkunabeln+'!AQ297</f>
        <v>0</v>
      </c>
      <c r="J297" s="94"/>
      <c r="K297" s="93">
        <f>'II_Inkunabeln+'!AW297</f>
        <v>0</v>
      </c>
      <c r="L297" s="93">
        <f>'II_Inkunabeln+'!AX297</f>
        <v>0</v>
      </c>
      <c r="AA297" s="93">
        <f>'II_Inkunabeln+'!AY297</f>
        <v>0</v>
      </c>
      <c r="AB297" s="94">
        <f>'II_Inkunabeln+'!BA297</f>
        <v>0</v>
      </c>
      <c r="AC297" s="108"/>
      <c r="AD297" s="81">
        <f>'II_Inkunabeln+'!BJ297</f>
        <v>0</v>
      </c>
    </row>
    <row r="298" spans="1:30" x14ac:dyDescent="0.25">
      <c r="A298" s="63">
        <f>'II_Inkunabeln+'!A298</f>
        <v>287</v>
      </c>
      <c r="B298" s="63" t="str">
        <f>'II_Inkunabeln+'!B298</f>
        <v>L-1478-315495545</v>
      </c>
      <c r="C298" s="63">
        <f>'II_Inkunabeln+'!C298</f>
        <v>1067336222</v>
      </c>
      <c r="D298" s="84" t="str">
        <f>'II_Inkunabeln+'!D298</f>
        <v>https://portal.dnb.de/opac.htm?method=simpleSearch&amp;cqlMode=true&amp;query=idn%3D1067336222</v>
      </c>
      <c r="E298" s="63" t="str">
        <f>'II_Inkunabeln+'!E298</f>
        <v>II 24,3c</v>
      </c>
      <c r="F298" s="63" t="str">
        <f>'II_Inkunabeln+'!H298</f>
        <v>&gt; 42 cm</v>
      </c>
      <c r="G298" s="93">
        <f>'II_Inkunabeln+'!AG298</f>
        <v>0</v>
      </c>
      <c r="H298" s="93">
        <f>'II_Inkunabeln+'!AP298</f>
        <v>0</v>
      </c>
      <c r="I298" s="93">
        <f>'II_Inkunabeln+'!AQ298</f>
        <v>0</v>
      </c>
      <c r="J298" s="94"/>
      <c r="K298" s="93">
        <f>'II_Inkunabeln+'!AW298</f>
        <v>0</v>
      </c>
      <c r="L298" s="93">
        <f>'II_Inkunabeln+'!AX298</f>
        <v>0</v>
      </c>
      <c r="AA298" s="93">
        <f>'II_Inkunabeln+'!AY298</f>
        <v>0</v>
      </c>
      <c r="AB298" s="94">
        <f>'II_Inkunabeln+'!BA298</f>
        <v>0</v>
      </c>
      <c r="AC298" s="108"/>
      <c r="AD298" s="81">
        <f>'II_Inkunabeln+'!BJ298</f>
        <v>0</v>
      </c>
    </row>
    <row r="299" spans="1:30" x14ac:dyDescent="0.25">
      <c r="A299" s="63">
        <f>'II_Inkunabeln+'!A299</f>
        <v>288</v>
      </c>
      <c r="B299" s="63" t="str">
        <f>'II_Inkunabeln+'!B299</f>
        <v>L-1473-31549753X</v>
      </c>
      <c r="C299" s="63" t="str">
        <f>'II_Inkunabeln+'!C299</f>
        <v>106696727X</v>
      </c>
      <c r="D299" s="84" t="str">
        <f>'II_Inkunabeln+'!D299</f>
        <v>https://portal.dnb.de/opac.htm?method=simpleSearch&amp;cqlMode=true&amp;query=idn%3D106696727X</v>
      </c>
      <c r="E299" s="63" t="str">
        <f>'II_Inkunabeln+'!E299</f>
        <v>II 24,3c kursiv</v>
      </c>
      <c r="F299" s="63">
        <f>'II_Inkunabeln+'!H299</f>
        <v>0</v>
      </c>
      <c r="G299" s="93">
        <f>'II_Inkunabeln+'!AG299</f>
        <v>0</v>
      </c>
      <c r="H299" s="93">
        <f>'II_Inkunabeln+'!AP299</f>
        <v>0</v>
      </c>
      <c r="I299" s="93">
        <f>'II_Inkunabeln+'!AQ299</f>
        <v>0</v>
      </c>
      <c r="J299" s="94"/>
      <c r="K299" s="93">
        <f>'II_Inkunabeln+'!AW299</f>
        <v>0</v>
      </c>
      <c r="L299" s="93">
        <f>'II_Inkunabeln+'!AX299</f>
        <v>0</v>
      </c>
      <c r="AA299" s="93">
        <f>'II_Inkunabeln+'!AY299</f>
        <v>0</v>
      </c>
      <c r="AB299" s="94">
        <f>'II_Inkunabeln+'!BA299</f>
        <v>0</v>
      </c>
      <c r="AC299" s="108"/>
      <c r="AD299" s="81">
        <f>'II_Inkunabeln+'!BJ299</f>
        <v>0</v>
      </c>
    </row>
    <row r="300" spans="1:30" x14ac:dyDescent="0.25">
      <c r="A300" s="63">
        <f>'II_Inkunabeln+'!A300</f>
        <v>289</v>
      </c>
      <c r="B300" s="63" t="str">
        <f>'II_Inkunabeln+'!B300</f>
        <v>L-1472-343956888</v>
      </c>
      <c r="C300" s="63">
        <f>'II_Inkunabeln+'!C300</f>
        <v>1079733698</v>
      </c>
      <c r="D300" s="84" t="str">
        <f>'II_Inkunabeln+'!D300</f>
        <v>https://portal.dnb.de/opac.htm?method=simpleSearch&amp;cqlMode=true&amp;query=idn%3D1079733698</v>
      </c>
      <c r="E300" s="63" t="str">
        <f>'II_Inkunabeln+'!E300</f>
        <v>II 24,3c kursiv (angebunden)</v>
      </c>
      <c r="F300" s="63">
        <f>'II_Inkunabeln+'!H300</f>
        <v>0</v>
      </c>
      <c r="G300" s="93">
        <f>'II_Inkunabeln+'!AG300</f>
        <v>0</v>
      </c>
      <c r="H300" s="93">
        <f>'II_Inkunabeln+'!AP300</f>
        <v>0</v>
      </c>
      <c r="I300" s="93">
        <f>'II_Inkunabeln+'!AQ300</f>
        <v>0</v>
      </c>
      <c r="J300" s="94"/>
      <c r="K300" s="93">
        <f>'II_Inkunabeln+'!AW300</f>
        <v>0</v>
      </c>
      <c r="L300" s="93">
        <f>'II_Inkunabeln+'!AX300</f>
        <v>0</v>
      </c>
      <c r="AA300" s="93">
        <f>'II_Inkunabeln+'!AY300</f>
        <v>0</v>
      </c>
      <c r="AB300" s="94">
        <f>'II_Inkunabeln+'!BA300</f>
        <v>0</v>
      </c>
      <c r="AC300" s="108"/>
      <c r="AD300" s="81">
        <f>'II_Inkunabeln+'!BJ300</f>
        <v>0</v>
      </c>
    </row>
    <row r="301" spans="1:30" x14ac:dyDescent="0.25">
      <c r="A301" s="63">
        <f>'II_Inkunabeln+'!A301</f>
        <v>290</v>
      </c>
      <c r="B301" s="63" t="str">
        <f>'II_Inkunabeln+'!B301</f>
        <v>L-1478-315495553</v>
      </c>
      <c r="C301" s="63">
        <f>'II_Inkunabeln+'!C301</f>
        <v>1067336257</v>
      </c>
      <c r="D301" s="84" t="str">
        <f>'II_Inkunabeln+'!D301</f>
        <v>https://portal.dnb.de/opac.htm?method=simpleSearch&amp;cqlMode=true&amp;query=idn%3D1067336257</v>
      </c>
      <c r="E301" s="63" t="str">
        <f>'II_Inkunabeln+'!E301</f>
        <v>II 24,3d</v>
      </c>
      <c r="F301" s="63" t="str">
        <f>'II_Inkunabeln+'!H301</f>
        <v>&gt; 42 cm</v>
      </c>
      <c r="G301" s="93">
        <f>'II_Inkunabeln+'!AG301</f>
        <v>0</v>
      </c>
      <c r="H301" s="93">
        <f>'II_Inkunabeln+'!AP301</f>
        <v>0</v>
      </c>
      <c r="I301" s="93">
        <f>'II_Inkunabeln+'!AQ301</f>
        <v>0</v>
      </c>
      <c r="J301" s="94"/>
      <c r="K301" s="93">
        <f>'II_Inkunabeln+'!AW301</f>
        <v>0</v>
      </c>
      <c r="L301" s="93">
        <f>'II_Inkunabeln+'!AX301</f>
        <v>0</v>
      </c>
      <c r="AA301" s="93">
        <f>'II_Inkunabeln+'!AY301</f>
        <v>0</v>
      </c>
      <c r="AB301" s="94">
        <f>'II_Inkunabeln+'!BA301</f>
        <v>0</v>
      </c>
      <c r="AC301" s="108"/>
      <c r="AD301" s="81">
        <f>'II_Inkunabeln+'!BJ301</f>
        <v>0</v>
      </c>
    </row>
    <row r="302" spans="1:30" x14ac:dyDescent="0.25">
      <c r="A302" s="63">
        <f>'II_Inkunabeln+'!A302</f>
        <v>291</v>
      </c>
      <c r="B302" s="63" t="str">
        <f>'II_Inkunabeln+'!B302</f>
        <v>L-1480-316101710</v>
      </c>
      <c r="C302" s="63">
        <f>'II_Inkunabeln+'!C302</f>
        <v>1067339086</v>
      </c>
      <c r="D302" s="84" t="str">
        <f>'II_Inkunabeln+'!D302</f>
        <v>https://portal.dnb.de/opac.htm?method=simpleSearch&amp;cqlMode=true&amp;query=idn%3D1067339086</v>
      </c>
      <c r="E302" s="63" t="str">
        <f>'II_Inkunabeln+'!E302</f>
        <v>II 24,3d kursiv</v>
      </c>
      <c r="F302" s="63">
        <f>'II_Inkunabeln+'!H302</f>
        <v>0</v>
      </c>
      <c r="G302" s="93">
        <f>'II_Inkunabeln+'!AG302</f>
        <v>0</v>
      </c>
      <c r="H302" s="93">
        <f>'II_Inkunabeln+'!AP302</f>
        <v>0</v>
      </c>
      <c r="I302" s="93">
        <f>'II_Inkunabeln+'!AQ302</f>
        <v>0</v>
      </c>
      <c r="J302" s="94"/>
      <c r="K302" s="93">
        <f>'II_Inkunabeln+'!AW302</f>
        <v>0</v>
      </c>
      <c r="L302" s="93">
        <f>'II_Inkunabeln+'!AX302</f>
        <v>0</v>
      </c>
      <c r="AA302" s="93">
        <f>'II_Inkunabeln+'!AY302</f>
        <v>0</v>
      </c>
      <c r="AB302" s="94">
        <f>'II_Inkunabeln+'!BA302</f>
        <v>0</v>
      </c>
      <c r="AC302" s="108"/>
      <c r="AD302" s="81">
        <f>'II_Inkunabeln+'!BJ302</f>
        <v>0</v>
      </c>
    </row>
    <row r="303" spans="1:30" x14ac:dyDescent="0.25">
      <c r="A303" s="63">
        <f>'II_Inkunabeln+'!A303</f>
        <v>292</v>
      </c>
      <c r="B303" s="63" t="str">
        <f>'II_Inkunabeln+'!B303</f>
        <v>L-1478-315495561</v>
      </c>
      <c r="C303" s="63">
        <f>'II_Inkunabeln+'!C303</f>
        <v>1067336257</v>
      </c>
      <c r="D303" s="84" t="str">
        <f>'II_Inkunabeln+'!D303</f>
        <v>https://portal.dnb.de/opac.htm?method=simpleSearch&amp;cqlMode=true&amp;query=idn%3D1067336257</v>
      </c>
      <c r="E303" s="63" t="str">
        <f>'II_Inkunabeln+'!E303</f>
        <v>II 24,3da - Fragm.</v>
      </c>
      <c r="F303" s="63">
        <f>'II_Inkunabeln+'!H303</f>
        <v>0</v>
      </c>
      <c r="G303" s="93">
        <f>'II_Inkunabeln+'!AG303</f>
        <v>0</v>
      </c>
      <c r="H303" s="93">
        <f>'II_Inkunabeln+'!AP303</f>
        <v>0</v>
      </c>
      <c r="I303" s="93">
        <f>'II_Inkunabeln+'!AQ303</f>
        <v>0</v>
      </c>
      <c r="J303" s="94"/>
      <c r="K303" s="93">
        <f>'II_Inkunabeln+'!AW303</f>
        <v>0</v>
      </c>
      <c r="L303" s="93">
        <f>'II_Inkunabeln+'!AX303</f>
        <v>0</v>
      </c>
      <c r="AA303" s="93">
        <f>'II_Inkunabeln+'!AY303</f>
        <v>0</v>
      </c>
      <c r="AB303" s="94">
        <f>'II_Inkunabeln+'!BA303</f>
        <v>0</v>
      </c>
      <c r="AC303" s="108"/>
      <c r="AD303" s="81">
        <f>'II_Inkunabeln+'!BJ303</f>
        <v>0</v>
      </c>
    </row>
    <row r="304" spans="1:30" x14ac:dyDescent="0.25">
      <c r="A304" s="63">
        <f>'II_Inkunabeln+'!A304</f>
        <v>293</v>
      </c>
      <c r="B304" s="63" t="str">
        <f>'II_Inkunabeln+'!B304</f>
        <v>L-1478-31549557X</v>
      </c>
      <c r="C304" s="63">
        <f>'II_Inkunabeln+'!C304</f>
        <v>1067336281</v>
      </c>
      <c r="D304" s="84" t="str">
        <f>'II_Inkunabeln+'!D304</f>
        <v>https://portal.dnb.de/opac.htm?method=simpleSearch&amp;cqlMode=true&amp;query=idn%3D1067336281</v>
      </c>
      <c r="E304" s="63" t="str">
        <f>'II_Inkunabeln+'!E304</f>
        <v>II 24,3e</v>
      </c>
      <c r="F304" s="63" t="str">
        <f>'II_Inkunabeln+'!H304</f>
        <v>&gt; 42 cm</v>
      </c>
      <c r="G304" s="93">
        <f>'II_Inkunabeln+'!AG304</f>
        <v>0</v>
      </c>
      <c r="H304" s="93">
        <f>'II_Inkunabeln+'!AP304</f>
        <v>0</v>
      </c>
      <c r="I304" s="93">
        <f>'II_Inkunabeln+'!AQ304</f>
        <v>0</v>
      </c>
      <c r="J304" s="94"/>
      <c r="K304" s="93">
        <f>'II_Inkunabeln+'!AW304</f>
        <v>0</v>
      </c>
      <c r="L304" s="93">
        <f>'II_Inkunabeln+'!AX304</f>
        <v>0</v>
      </c>
      <c r="AA304" s="93">
        <f>'II_Inkunabeln+'!AY304</f>
        <v>0</v>
      </c>
      <c r="AB304" s="94">
        <f>'II_Inkunabeln+'!BA304</f>
        <v>0</v>
      </c>
      <c r="AC304" s="108"/>
      <c r="AD304" s="81">
        <f>'II_Inkunabeln+'!BJ304</f>
        <v>0</v>
      </c>
    </row>
    <row r="305" spans="1:30" x14ac:dyDescent="0.25">
      <c r="A305" s="63">
        <f>'II_Inkunabeln+'!A305</f>
        <v>294</v>
      </c>
      <c r="B305" s="63" t="str">
        <f>'II_Inkunabeln+'!B305</f>
        <v>L-1481-315501928</v>
      </c>
      <c r="C305" s="63">
        <f>'II_Inkunabeln+'!C305</f>
        <v>1066971544</v>
      </c>
      <c r="D305" s="84" t="str">
        <f>'II_Inkunabeln+'!D305</f>
        <v>https://portal.dnb.de/opac.htm?method=simpleSearch&amp;cqlMode=true&amp;query=idn%3D1066971544</v>
      </c>
      <c r="E305" s="63" t="str">
        <f>'II_Inkunabeln+'!E305</f>
        <v>II 24,3e kursiv</v>
      </c>
      <c r="F305" s="63" t="str">
        <f>'II_Inkunabeln+'!H305</f>
        <v>bis 35 cm</v>
      </c>
      <c r="G305" s="93">
        <f>'II_Inkunabeln+'!AG305</f>
        <v>0</v>
      </c>
      <c r="H305" s="93">
        <f>'II_Inkunabeln+'!AP305</f>
        <v>0</v>
      </c>
      <c r="I305" s="93">
        <f>'II_Inkunabeln+'!AQ305</f>
        <v>0</v>
      </c>
      <c r="J305" s="94"/>
      <c r="K305" s="93">
        <f>'II_Inkunabeln+'!AW305</f>
        <v>0</v>
      </c>
      <c r="L305" s="93">
        <f>'II_Inkunabeln+'!AX305</f>
        <v>0</v>
      </c>
      <c r="AA305" s="93">
        <f>'II_Inkunabeln+'!AY305</f>
        <v>0</v>
      </c>
      <c r="AB305" s="94">
        <f>'II_Inkunabeln+'!BA305</f>
        <v>0</v>
      </c>
      <c r="AC305" s="108"/>
      <c r="AD305" s="81">
        <f>'II_Inkunabeln+'!BJ305</f>
        <v>0</v>
      </c>
    </row>
    <row r="306" spans="1:30" x14ac:dyDescent="0.25">
      <c r="A306" s="63">
        <f>'II_Inkunabeln+'!A306</f>
        <v>295</v>
      </c>
      <c r="B306" s="63" t="str">
        <f>'II_Inkunabeln+'!B306</f>
        <v>L-1480-315498226</v>
      </c>
      <c r="C306" s="63">
        <f>'II_Inkunabeln+'!C306</f>
        <v>1066967954</v>
      </c>
      <c r="D306" s="84" t="str">
        <f>'II_Inkunabeln+'!D306</f>
        <v>https://portal.dnb.de/opac.htm?method=simpleSearch&amp;cqlMode=true&amp;query=idn%3D1066967954</v>
      </c>
      <c r="E306" s="63" t="str">
        <f>'II_Inkunabeln+'!E306</f>
        <v>II 24,3ea</v>
      </c>
      <c r="F306" s="63">
        <f>'II_Inkunabeln+'!H306</f>
        <v>0</v>
      </c>
      <c r="G306" s="93">
        <f>'II_Inkunabeln+'!AG306</f>
        <v>0</v>
      </c>
      <c r="H306" s="93">
        <f>'II_Inkunabeln+'!AP306</f>
        <v>0</v>
      </c>
      <c r="I306" s="93">
        <f>'II_Inkunabeln+'!AQ306</f>
        <v>0</v>
      </c>
      <c r="J306" s="94"/>
      <c r="K306" s="93">
        <f>'II_Inkunabeln+'!AW306</f>
        <v>0</v>
      </c>
      <c r="L306" s="93">
        <f>'II_Inkunabeln+'!AX306</f>
        <v>0</v>
      </c>
      <c r="AA306" s="93">
        <f>'II_Inkunabeln+'!AY306</f>
        <v>0</v>
      </c>
      <c r="AB306" s="94">
        <f>'II_Inkunabeln+'!BA306</f>
        <v>0</v>
      </c>
      <c r="AC306" s="108"/>
      <c r="AD306" s="81">
        <f>'II_Inkunabeln+'!BJ306</f>
        <v>0</v>
      </c>
    </row>
    <row r="307" spans="1:30" x14ac:dyDescent="0.25">
      <c r="A307" s="63">
        <f>'II_Inkunabeln+'!A307</f>
        <v>296</v>
      </c>
      <c r="B307" s="63" t="str">
        <f>'II_Inkunabeln+'!B307</f>
        <v>L-1481-315501472</v>
      </c>
      <c r="C307" s="63">
        <f>'II_Inkunabeln+'!C307</f>
        <v>1066971110</v>
      </c>
      <c r="D307" s="84" t="str">
        <f>'II_Inkunabeln+'!D307</f>
        <v>https://portal.dnb.de/opac.htm?method=simpleSearch&amp;cqlMode=true&amp;query=idn%3D1066971110</v>
      </c>
      <c r="E307" s="63" t="str">
        <f>'II_Inkunabeln+'!E307</f>
        <v>II 24,3f -1</v>
      </c>
      <c r="F307" s="63" t="str">
        <f>'II_Inkunabeln+'!H307</f>
        <v>bis 42 cm</v>
      </c>
      <c r="G307" s="93">
        <f>'II_Inkunabeln+'!AG307</f>
        <v>0</v>
      </c>
      <c r="H307" s="93">
        <f>'II_Inkunabeln+'!AP307</f>
        <v>0</v>
      </c>
      <c r="I307" s="93">
        <f>'II_Inkunabeln+'!AQ307</f>
        <v>0</v>
      </c>
      <c r="J307" s="94"/>
      <c r="K307" s="93">
        <f>'II_Inkunabeln+'!AW307</f>
        <v>0</v>
      </c>
      <c r="L307" s="93">
        <f>'II_Inkunabeln+'!AX307</f>
        <v>0</v>
      </c>
      <c r="AA307" s="93">
        <f>'II_Inkunabeln+'!AY307</f>
        <v>0</v>
      </c>
      <c r="AB307" s="94">
        <f>'II_Inkunabeln+'!BA307</f>
        <v>0</v>
      </c>
      <c r="AC307" s="108"/>
      <c r="AD307" s="81">
        <f>'II_Inkunabeln+'!BJ307</f>
        <v>0</v>
      </c>
    </row>
    <row r="308" spans="1:30" x14ac:dyDescent="0.25">
      <c r="A308" s="63">
        <f>'II_Inkunabeln+'!A308</f>
        <v>0</v>
      </c>
      <c r="B308" s="63">
        <f>'II_Inkunabeln+'!B308</f>
        <v>0</v>
      </c>
      <c r="C308" s="63">
        <f>'II_Inkunabeln+'!C308</f>
        <v>0</v>
      </c>
      <c r="D308" s="84">
        <f>'II_Inkunabeln+'!D308</f>
        <v>0</v>
      </c>
      <c r="E308" s="63" t="str">
        <f>'II_Inkunabeln+'!E308</f>
        <v>II 24,3f -2</v>
      </c>
      <c r="F308" s="63" t="str">
        <f>'II_Inkunabeln+'!H308</f>
        <v>bis 42 cm</v>
      </c>
      <c r="G308" s="93">
        <f>'II_Inkunabeln+'!AG308</f>
        <v>0</v>
      </c>
      <c r="H308" s="93">
        <f>'II_Inkunabeln+'!AP308</f>
        <v>0</v>
      </c>
      <c r="I308" s="93">
        <f>'II_Inkunabeln+'!AQ308</f>
        <v>0</v>
      </c>
      <c r="J308" s="94"/>
      <c r="K308" s="93">
        <f>'II_Inkunabeln+'!AW308</f>
        <v>0</v>
      </c>
      <c r="L308" s="93">
        <f>'II_Inkunabeln+'!AX308</f>
        <v>0</v>
      </c>
      <c r="AA308" s="93">
        <f>'II_Inkunabeln+'!AY308</f>
        <v>0</v>
      </c>
      <c r="AB308" s="94">
        <f>'II_Inkunabeln+'!BA308</f>
        <v>0</v>
      </c>
      <c r="AC308" s="108"/>
      <c r="AD308" s="81">
        <f>'II_Inkunabeln+'!BJ308</f>
        <v>0</v>
      </c>
    </row>
    <row r="309" spans="1:30" x14ac:dyDescent="0.25">
      <c r="A309" s="63">
        <f>'II_Inkunabeln+'!A309</f>
        <v>0</v>
      </c>
      <c r="B309" s="63">
        <f>'II_Inkunabeln+'!B309</f>
        <v>0</v>
      </c>
      <c r="C309" s="63">
        <f>'II_Inkunabeln+'!C309</f>
        <v>0</v>
      </c>
      <c r="D309" s="84">
        <f>'II_Inkunabeln+'!D309</f>
        <v>0</v>
      </c>
      <c r="E309" s="63" t="str">
        <f>'II_Inkunabeln+'!E309</f>
        <v>II 24,3f -3</v>
      </c>
      <c r="F309" s="63" t="str">
        <f>'II_Inkunabeln+'!H309</f>
        <v>bis 42 cm</v>
      </c>
      <c r="G309" s="93">
        <f>'II_Inkunabeln+'!AG309</f>
        <v>0</v>
      </c>
      <c r="H309" s="93">
        <f>'II_Inkunabeln+'!AP309</f>
        <v>0</v>
      </c>
      <c r="I309" s="93">
        <f>'II_Inkunabeln+'!AQ309</f>
        <v>0</v>
      </c>
      <c r="J309" s="94"/>
      <c r="K309" s="93">
        <f>'II_Inkunabeln+'!AW309</f>
        <v>0</v>
      </c>
      <c r="L309" s="93">
        <f>'II_Inkunabeln+'!AX309</f>
        <v>0</v>
      </c>
      <c r="AA309" s="93">
        <f>'II_Inkunabeln+'!AY309</f>
        <v>0</v>
      </c>
      <c r="AB309" s="94">
        <f>'II_Inkunabeln+'!BA309</f>
        <v>0</v>
      </c>
      <c r="AC309" s="108"/>
      <c r="AD309" s="81">
        <f>'II_Inkunabeln+'!BJ309</f>
        <v>0</v>
      </c>
    </row>
    <row r="310" spans="1:30" x14ac:dyDescent="0.25">
      <c r="A310" s="63">
        <f>'II_Inkunabeln+'!A310</f>
        <v>297</v>
      </c>
      <c r="B310" s="63" t="str">
        <f>'II_Inkunabeln+'!B310</f>
        <v>L-1497-315496916</v>
      </c>
      <c r="C310" s="63">
        <f>'II_Inkunabeln+'!C310</f>
        <v>1066966621</v>
      </c>
      <c r="D310" s="84" t="str">
        <f>'II_Inkunabeln+'!D310</f>
        <v>https://portal.dnb.de/opac.htm?method=simpleSearch&amp;cqlMode=true&amp;query=idn%3D1066966621</v>
      </c>
      <c r="E310" s="63" t="str">
        <f>'II_Inkunabeln+'!E310</f>
        <v>II 24,3f kursiv - P1</v>
      </c>
      <c r="F310" s="63" t="str">
        <f>'II_Inkunabeln+'!H310</f>
        <v>bis 25 cm</v>
      </c>
      <c r="G310" s="93">
        <f>'II_Inkunabeln+'!AG310</f>
        <v>0</v>
      </c>
      <c r="H310" s="93">
        <f>'II_Inkunabeln+'!AP310</f>
        <v>0</v>
      </c>
      <c r="I310" s="93">
        <f>'II_Inkunabeln+'!AQ310</f>
        <v>0</v>
      </c>
      <c r="J310" s="94"/>
      <c r="K310" s="93">
        <f>'II_Inkunabeln+'!AW310</f>
        <v>0</v>
      </c>
      <c r="L310" s="93">
        <f>'II_Inkunabeln+'!AX310</f>
        <v>0</v>
      </c>
      <c r="AA310" s="93">
        <f>'II_Inkunabeln+'!AY310</f>
        <v>0</v>
      </c>
      <c r="AB310" s="94">
        <f>'II_Inkunabeln+'!BA310</f>
        <v>0</v>
      </c>
      <c r="AC310" s="108"/>
      <c r="AD310" s="81">
        <f>'II_Inkunabeln+'!BJ310</f>
        <v>0</v>
      </c>
    </row>
    <row r="311" spans="1:30" x14ac:dyDescent="0.25">
      <c r="A311" s="63">
        <f>'II_Inkunabeln+'!A311</f>
        <v>298</v>
      </c>
      <c r="B311" s="63" t="str">
        <f>'II_Inkunabeln+'!B311</f>
        <v>L-1481-315498234</v>
      </c>
      <c r="C311" s="63">
        <f>'II_Inkunabeln+'!C311</f>
        <v>1066967962</v>
      </c>
      <c r="D311" s="84" t="str">
        <f>'II_Inkunabeln+'!D311</f>
        <v>https://portal.dnb.de/opac.htm?method=simpleSearch&amp;cqlMode=true&amp;query=idn%3D1066967962</v>
      </c>
      <c r="E311" s="63" t="str">
        <f>'II_Inkunabeln+'!E311</f>
        <v>II 24,3i</v>
      </c>
      <c r="F311" s="63" t="str">
        <f>'II_Inkunabeln+'!H311</f>
        <v>bis 35 cm</v>
      </c>
      <c r="G311" s="93">
        <f>'II_Inkunabeln+'!AG311</f>
        <v>0</v>
      </c>
      <c r="H311" s="93">
        <f>'II_Inkunabeln+'!AP311</f>
        <v>0</v>
      </c>
      <c r="I311" s="93">
        <f>'II_Inkunabeln+'!AQ311</f>
        <v>0</v>
      </c>
      <c r="J311" s="94"/>
      <c r="K311" s="93">
        <f>'II_Inkunabeln+'!AW311</f>
        <v>0</v>
      </c>
      <c r="L311" s="93">
        <f>'II_Inkunabeln+'!AX311</f>
        <v>0</v>
      </c>
      <c r="AA311" s="93">
        <f>'II_Inkunabeln+'!AY311</f>
        <v>0</v>
      </c>
      <c r="AB311" s="94">
        <f>'II_Inkunabeln+'!BA311</f>
        <v>0</v>
      </c>
      <c r="AC311" s="108"/>
      <c r="AD311" s="81">
        <f>'II_Inkunabeln+'!BJ311</f>
        <v>0</v>
      </c>
    </row>
    <row r="312" spans="1:30" x14ac:dyDescent="0.25">
      <c r="A312" s="63">
        <f>'II_Inkunabeln+'!A312</f>
        <v>299</v>
      </c>
      <c r="B312" s="63" t="str">
        <f>'II_Inkunabeln+'!B312</f>
        <v>L-1483-315500573</v>
      </c>
      <c r="C312" s="63">
        <f>'II_Inkunabeln+'!C312</f>
        <v>1066970238</v>
      </c>
      <c r="D312" s="84" t="str">
        <f>'II_Inkunabeln+'!D312</f>
        <v>https://portal.dnb.de/opac.htm?method=simpleSearch&amp;cqlMode=true&amp;query=idn%3D1066970238</v>
      </c>
      <c r="E312" s="63" t="str">
        <f>'II_Inkunabeln+'!E312</f>
        <v>II 24,3o</v>
      </c>
      <c r="F312" s="63" t="str">
        <f>'II_Inkunabeln+'!H312</f>
        <v>bis 35 cm</v>
      </c>
      <c r="G312" s="93">
        <f>'II_Inkunabeln+'!AG312</f>
        <v>0</v>
      </c>
      <c r="H312" s="93">
        <f>'II_Inkunabeln+'!AP312</f>
        <v>0</v>
      </c>
      <c r="I312" s="93">
        <f>'II_Inkunabeln+'!AQ312</f>
        <v>0</v>
      </c>
      <c r="J312" s="94"/>
      <c r="K312" s="93">
        <f>'II_Inkunabeln+'!AW312</f>
        <v>0</v>
      </c>
      <c r="L312" s="93">
        <f>'II_Inkunabeln+'!AX312</f>
        <v>0</v>
      </c>
      <c r="AA312" s="93">
        <f>'II_Inkunabeln+'!AY312</f>
        <v>0</v>
      </c>
      <c r="AB312" s="94">
        <f>'II_Inkunabeln+'!BA312</f>
        <v>0</v>
      </c>
      <c r="AC312" s="108"/>
      <c r="AD312" s="81">
        <f>'II_Inkunabeln+'!BJ312</f>
        <v>0</v>
      </c>
    </row>
    <row r="313" spans="1:30" x14ac:dyDescent="0.25">
      <c r="A313" s="63">
        <f>'II_Inkunabeln+'!A313</f>
        <v>300</v>
      </c>
      <c r="B313" s="63" t="str">
        <f>'II_Inkunabeln+'!B313</f>
        <v>L-1485-315495073</v>
      </c>
      <c r="C313" s="63">
        <f>'II_Inkunabeln+'!C313</f>
        <v>1066964912</v>
      </c>
      <c r="D313" s="84" t="str">
        <f>'II_Inkunabeln+'!D313</f>
        <v>https://portal.dnb.de/opac.htm?method=simpleSearch&amp;cqlMode=true&amp;query=idn%3D1066964912</v>
      </c>
      <c r="E313" s="63" t="str">
        <f>'II_Inkunabeln+'!E313</f>
        <v>II 24,3q</v>
      </c>
      <c r="F313" s="63" t="str">
        <f>'II_Inkunabeln+'!H313</f>
        <v>bis 35 cm</v>
      </c>
      <c r="G313" s="93">
        <f>'II_Inkunabeln+'!AG313</f>
        <v>0</v>
      </c>
      <c r="H313" s="93">
        <f>'II_Inkunabeln+'!AP313</f>
        <v>0</v>
      </c>
      <c r="I313" s="93">
        <f>'II_Inkunabeln+'!AQ313</f>
        <v>0</v>
      </c>
      <c r="J313" s="94"/>
      <c r="K313" s="93">
        <f>'II_Inkunabeln+'!AW313</f>
        <v>0</v>
      </c>
      <c r="L313" s="93">
        <f>'II_Inkunabeln+'!AX313</f>
        <v>0</v>
      </c>
      <c r="AA313" s="93">
        <f>'II_Inkunabeln+'!AY313</f>
        <v>0</v>
      </c>
      <c r="AB313" s="94">
        <f>'II_Inkunabeln+'!BA313</f>
        <v>0</v>
      </c>
      <c r="AC313" s="108"/>
      <c r="AD313" s="81">
        <f>'II_Inkunabeln+'!BJ313</f>
        <v>0</v>
      </c>
    </row>
    <row r="314" spans="1:30" x14ac:dyDescent="0.25">
      <c r="A314" s="63">
        <f>'II_Inkunabeln+'!A314</f>
        <v>301</v>
      </c>
      <c r="B314" s="63" t="str">
        <f>'II_Inkunabeln+'!B314</f>
        <v>L-1486-315500565</v>
      </c>
      <c r="C314" s="63" t="str">
        <f>'II_Inkunabeln+'!C314</f>
        <v>106697022X</v>
      </c>
      <c r="D314" s="84" t="str">
        <f>'II_Inkunabeln+'!D314</f>
        <v>https://portal.dnb.de/opac.htm?method=simpleSearch&amp;cqlMode=true&amp;query=idn%3D106697022X</v>
      </c>
      <c r="E314" s="63" t="str">
        <f>'II_Inkunabeln+'!E314</f>
        <v>II 24,3r</v>
      </c>
      <c r="F314" s="63" t="str">
        <f>'II_Inkunabeln+'!H314</f>
        <v>bis 42 cm</v>
      </c>
      <c r="G314" s="93">
        <f>'II_Inkunabeln+'!AG314</f>
        <v>0</v>
      </c>
      <c r="H314" s="93">
        <f>'II_Inkunabeln+'!AP314</f>
        <v>0</v>
      </c>
      <c r="I314" s="93">
        <f>'II_Inkunabeln+'!AQ314</f>
        <v>0</v>
      </c>
      <c r="J314" s="94"/>
      <c r="K314" s="93">
        <f>'II_Inkunabeln+'!AW314</f>
        <v>0</v>
      </c>
      <c r="L314" s="93">
        <f>'II_Inkunabeln+'!AX314</f>
        <v>0</v>
      </c>
      <c r="AA314" s="93">
        <f>'II_Inkunabeln+'!AY314</f>
        <v>0</v>
      </c>
      <c r="AB314" s="94">
        <f>'II_Inkunabeln+'!BA314</f>
        <v>0</v>
      </c>
      <c r="AC314" s="108"/>
      <c r="AD314" s="81">
        <f>'II_Inkunabeln+'!BJ314</f>
        <v>0</v>
      </c>
    </row>
    <row r="315" spans="1:30" x14ac:dyDescent="0.25">
      <c r="A315" s="63">
        <f>'II_Inkunabeln+'!A315</f>
        <v>302</v>
      </c>
      <c r="B315" s="63" t="str">
        <f>'II_Inkunabeln+'!B315</f>
        <v>L-1487-315501227</v>
      </c>
      <c r="C315" s="63">
        <f>'II_Inkunabeln+'!C315</f>
        <v>1066970866</v>
      </c>
      <c r="D315" s="84" t="str">
        <f>'II_Inkunabeln+'!D315</f>
        <v>https://portal.dnb.de/opac.htm?method=simpleSearch&amp;cqlMode=true&amp;query=idn%3D1066970866</v>
      </c>
      <c r="E315" s="63" t="str">
        <f>'II_Inkunabeln+'!E315</f>
        <v>II 24,3s</v>
      </c>
      <c r="F315" s="63" t="str">
        <f>'II_Inkunabeln+'!H315</f>
        <v>bis 42 cm</v>
      </c>
      <c r="G315" s="93">
        <f>'II_Inkunabeln+'!AG315</f>
        <v>0</v>
      </c>
      <c r="H315" s="93">
        <f>'II_Inkunabeln+'!AP315</f>
        <v>0</v>
      </c>
      <c r="I315" s="93">
        <f>'II_Inkunabeln+'!AQ315</f>
        <v>0</v>
      </c>
      <c r="J315" s="94"/>
      <c r="K315" s="93">
        <f>'II_Inkunabeln+'!AW315</f>
        <v>0</v>
      </c>
      <c r="L315" s="93">
        <f>'II_Inkunabeln+'!AX315</f>
        <v>0</v>
      </c>
      <c r="AA315" s="93">
        <f>'II_Inkunabeln+'!AY315</f>
        <v>0</v>
      </c>
      <c r="AB315" s="94">
        <f>'II_Inkunabeln+'!BA315</f>
        <v>0</v>
      </c>
      <c r="AC315" s="108"/>
      <c r="AD315" s="81">
        <f>'II_Inkunabeln+'!BJ315</f>
        <v>0</v>
      </c>
    </row>
    <row r="316" spans="1:30" x14ac:dyDescent="0.25">
      <c r="A316" s="63">
        <f>'II_Inkunabeln+'!A316</f>
        <v>303</v>
      </c>
      <c r="B316" s="63" t="str">
        <f>'II_Inkunabeln+'!B316</f>
        <v>L-1492-315496320</v>
      </c>
      <c r="C316" s="63">
        <f>'II_Inkunabeln+'!C316</f>
        <v>1066966028</v>
      </c>
      <c r="D316" s="84" t="str">
        <f>'II_Inkunabeln+'!D316</f>
        <v>https://portal.dnb.de/opac.htm?method=simpleSearch&amp;cqlMode=true&amp;query=idn%3D1066966028</v>
      </c>
      <c r="E316" s="63" t="str">
        <f>'II_Inkunabeln+'!E316</f>
        <v>II 24,3ta</v>
      </c>
      <c r="F316" s="63" t="str">
        <f>'II_Inkunabeln+'!H316</f>
        <v>bis 35 cm</v>
      </c>
      <c r="G316" s="93">
        <f>'II_Inkunabeln+'!AG316</f>
        <v>0</v>
      </c>
      <c r="H316" s="93">
        <f>'II_Inkunabeln+'!AP316</f>
        <v>0</v>
      </c>
      <c r="I316" s="93">
        <f>'II_Inkunabeln+'!AQ316</f>
        <v>0</v>
      </c>
      <c r="J316" s="94"/>
      <c r="K316" s="93">
        <f>'II_Inkunabeln+'!AW316</f>
        <v>0</v>
      </c>
      <c r="L316" s="93">
        <f>'II_Inkunabeln+'!AX316</f>
        <v>0</v>
      </c>
      <c r="AA316" s="93">
        <f>'II_Inkunabeln+'!AY316</f>
        <v>0</v>
      </c>
      <c r="AB316" s="94">
        <f>'II_Inkunabeln+'!BA316</f>
        <v>0</v>
      </c>
      <c r="AC316" s="108"/>
      <c r="AD316" s="81">
        <f>'II_Inkunabeln+'!BJ316</f>
        <v>0</v>
      </c>
    </row>
    <row r="317" spans="1:30" x14ac:dyDescent="0.25">
      <c r="A317" s="63">
        <f>'II_Inkunabeln+'!A317</f>
        <v>304</v>
      </c>
      <c r="B317" s="63" t="str">
        <f>'II_Inkunabeln+'!B317</f>
        <v>L-1492-315496339</v>
      </c>
      <c r="C317" s="63">
        <f>'II_Inkunabeln+'!C317</f>
        <v>1066966028</v>
      </c>
      <c r="D317" s="84" t="str">
        <f>'II_Inkunabeln+'!D317</f>
        <v>https://portal.dnb.de/opac.htm?method=simpleSearch&amp;cqlMode=true&amp;query=idn%3D1066966028</v>
      </c>
      <c r="E317" s="63" t="str">
        <f>'II_Inkunabeln+'!E317</f>
        <v>II 24,3tab</v>
      </c>
      <c r="F317" s="63">
        <f>'II_Inkunabeln+'!H317</f>
        <v>0</v>
      </c>
      <c r="G317" s="93">
        <f>'II_Inkunabeln+'!AG317</f>
        <v>0</v>
      </c>
      <c r="H317" s="93">
        <f>'II_Inkunabeln+'!AP317</f>
        <v>0</v>
      </c>
      <c r="I317" s="93">
        <f>'II_Inkunabeln+'!AQ317</f>
        <v>0</v>
      </c>
      <c r="J317" s="94"/>
      <c r="K317" s="93">
        <f>'II_Inkunabeln+'!AW317</f>
        <v>0</v>
      </c>
      <c r="L317" s="93">
        <f>'II_Inkunabeln+'!AX317</f>
        <v>0</v>
      </c>
      <c r="AA317" s="93">
        <f>'II_Inkunabeln+'!AY317</f>
        <v>0</v>
      </c>
      <c r="AB317" s="94">
        <f>'II_Inkunabeln+'!BA317</f>
        <v>0</v>
      </c>
      <c r="AC317" s="108"/>
      <c r="AD317" s="81">
        <f>'II_Inkunabeln+'!BJ317</f>
        <v>0</v>
      </c>
    </row>
    <row r="318" spans="1:30" x14ac:dyDescent="0.25">
      <c r="A318" s="63">
        <f>'II_Inkunabeln+'!A318</f>
        <v>305</v>
      </c>
      <c r="B318" s="63" t="str">
        <f>'II_Inkunabeln+'!B318</f>
        <v>L-1492-315503386</v>
      </c>
      <c r="C318" s="63">
        <f>'II_Inkunabeln+'!C318</f>
        <v>1066973016</v>
      </c>
      <c r="D318" s="84" t="str">
        <f>'II_Inkunabeln+'!D318</f>
        <v>https://portal.dnb.de/opac.htm?method=simpleSearch&amp;cqlMode=true&amp;query=idn%3D1066973016</v>
      </c>
      <c r="E318" s="63" t="str">
        <f>'II_Inkunabeln+'!E318</f>
        <v>II 24,3u</v>
      </c>
      <c r="F318" s="63">
        <f>'II_Inkunabeln+'!H318</f>
        <v>0</v>
      </c>
      <c r="G318" s="93">
        <f>'II_Inkunabeln+'!AG318</f>
        <v>0</v>
      </c>
      <c r="H318" s="93">
        <f>'II_Inkunabeln+'!AP318</f>
        <v>0</v>
      </c>
      <c r="I318" s="93">
        <f>'II_Inkunabeln+'!AQ318</f>
        <v>0</v>
      </c>
      <c r="J318" s="94"/>
      <c r="K318" s="93">
        <f>'II_Inkunabeln+'!AW318</f>
        <v>0</v>
      </c>
      <c r="L318" s="93">
        <f>'II_Inkunabeln+'!AX318</f>
        <v>0</v>
      </c>
      <c r="AA318" s="93">
        <f>'II_Inkunabeln+'!AY318</f>
        <v>0</v>
      </c>
      <c r="AB318" s="94">
        <f>'II_Inkunabeln+'!BA318</f>
        <v>0</v>
      </c>
      <c r="AC318" s="108"/>
      <c r="AD318" s="81">
        <f>'II_Inkunabeln+'!BJ318</f>
        <v>0</v>
      </c>
    </row>
    <row r="319" spans="1:30" x14ac:dyDescent="0.25">
      <c r="A319" s="63">
        <f>'II_Inkunabeln+'!A319</f>
        <v>306</v>
      </c>
      <c r="B319" s="63" t="str">
        <f>'II_Inkunabeln+'!B319</f>
        <v>L-1493-315502568</v>
      </c>
      <c r="C319" s="63">
        <f>'II_Inkunabeln+'!C319</f>
        <v>1066972141</v>
      </c>
      <c r="D319" s="84" t="str">
        <f>'II_Inkunabeln+'!D319</f>
        <v>https://portal.dnb.de/opac.htm?method=simpleSearch&amp;cqlMode=true&amp;query=idn%3D1066972141</v>
      </c>
      <c r="E319" s="63" t="str">
        <f>'II_Inkunabeln+'!E319</f>
        <v>II 24,3v</v>
      </c>
      <c r="F319" s="63" t="str">
        <f>'II_Inkunabeln+'!H319</f>
        <v>bis 42 cm</v>
      </c>
      <c r="G319" s="93">
        <f>'II_Inkunabeln+'!AG319</f>
        <v>0</v>
      </c>
      <c r="H319" s="93">
        <f>'II_Inkunabeln+'!AP319</f>
        <v>0</v>
      </c>
      <c r="I319" s="93">
        <f>'II_Inkunabeln+'!AQ319</f>
        <v>0</v>
      </c>
      <c r="J319" s="94"/>
      <c r="K319" s="93">
        <f>'II_Inkunabeln+'!AW319</f>
        <v>0</v>
      </c>
      <c r="L319" s="93">
        <f>'II_Inkunabeln+'!AX319</f>
        <v>0</v>
      </c>
      <c r="AA319" s="93">
        <f>'II_Inkunabeln+'!AY319</f>
        <v>0</v>
      </c>
      <c r="AB319" s="94">
        <f>'II_Inkunabeln+'!BA319</f>
        <v>0</v>
      </c>
      <c r="AC319" s="108"/>
      <c r="AD319" s="81">
        <f>'II_Inkunabeln+'!BJ319</f>
        <v>0</v>
      </c>
    </row>
    <row r="320" spans="1:30" x14ac:dyDescent="0.25">
      <c r="A320" s="63">
        <f>'II_Inkunabeln+'!A320</f>
        <v>307</v>
      </c>
      <c r="B320" s="63" t="str">
        <f>'II_Inkunabeln+'!B320</f>
        <v>L-1494-315499745</v>
      </c>
      <c r="C320" s="63">
        <f>'II_Inkunabeln+'!C320</f>
        <v>1066969426</v>
      </c>
      <c r="D320" s="84" t="str">
        <f>'II_Inkunabeln+'!D320</f>
        <v>https://portal.dnb.de/opac.htm?method=simpleSearch&amp;cqlMode=true&amp;query=idn%3D1066969426</v>
      </c>
      <c r="E320" s="63" t="str">
        <f>'II_Inkunabeln+'!E320</f>
        <v>II 24,3w</v>
      </c>
      <c r="F320" s="63" t="str">
        <f>'II_Inkunabeln+'!H320</f>
        <v>bis 25 cm</v>
      </c>
      <c r="G320" s="93">
        <f>'II_Inkunabeln+'!AG320</f>
        <v>0</v>
      </c>
      <c r="H320" s="93">
        <f>'II_Inkunabeln+'!AP320</f>
        <v>0</v>
      </c>
      <c r="I320" s="93">
        <f>'II_Inkunabeln+'!AQ320</f>
        <v>0</v>
      </c>
      <c r="J320" s="94"/>
      <c r="K320" s="93">
        <f>'II_Inkunabeln+'!AW320</f>
        <v>0</v>
      </c>
      <c r="L320" s="93">
        <f>'II_Inkunabeln+'!AX320</f>
        <v>0</v>
      </c>
      <c r="AA320" s="93">
        <f>'II_Inkunabeln+'!AY320</f>
        <v>0</v>
      </c>
      <c r="AB320" s="94">
        <f>'II_Inkunabeln+'!BA320</f>
        <v>0</v>
      </c>
      <c r="AC320" s="108"/>
      <c r="AD320" s="81">
        <f>'II_Inkunabeln+'!BJ320</f>
        <v>0</v>
      </c>
    </row>
    <row r="321" spans="1:30" x14ac:dyDescent="0.25">
      <c r="A321" s="63">
        <f>'II_Inkunabeln+'!A321</f>
        <v>308</v>
      </c>
      <c r="B321" s="63" t="str">
        <f>'II_Inkunabeln+'!B321</f>
        <v>L-1496-315501995</v>
      </c>
      <c r="C321" s="63">
        <f>'II_Inkunabeln+'!C321</f>
        <v>1066971617</v>
      </c>
      <c r="D321" s="84" t="str">
        <f>'II_Inkunabeln+'!D321</f>
        <v>https://portal.dnb.de/opac.htm?method=simpleSearch&amp;cqlMode=true&amp;query=idn%3D1066971617</v>
      </c>
      <c r="E321" s="63" t="str">
        <f>'II_Inkunabeln+'!E321</f>
        <v>II 24,3x</v>
      </c>
      <c r="F321" s="63" t="str">
        <f>'II_Inkunabeln+'!H321</f>
        <v>bis 25 cm</v>
      </c>
      <c r="G321" s="93">
        <f>'II_Inkunabeln+'!AG321</f>
        <v>0</v>
      </c>
      <c r="H321" s="93">
        <f>'II_Inkunabeln+'!AP321</f>
        <v>0</v>
      </c>
      <c r="I321" s="93">
        <f>'II_Inkunabeln+'!AQ321</f>
        <v>0</v>
      </c>
      <c r="J321" s="94"/>
      <c r="K321" s="93">
        <f>'II_Inkunabeln+'!AW321</f>
        <v>0</v>
      </c>
      <c r="L321" s="93">
        <f>'II_Inkunabeln+'!AX321</f>
        <v>0</v>
      </c>
      <c r="AA321" s="93">
        <f>'II_Inkunabeln+'!AY321</f>
        <v>0</v>
      </c>
      <c r="AB321" s="94">
        <f>'II_Inkunabeln+'!BA321</f>
        <v>0</v>
      </c>
      <c r="AC321" s="108"/>
      <c r="AD321" s="81">
        <f>'II_Inkunabeln+'!BJ321</f>
        <v>0</v>
      </c>
    </row>
    <row r="322" spans="1:30" x14ac:dyDescent="0.25">
      <c r="A322" s="63">
        <f>'II_Inkunabeln+'!A322</f>
        <v>309</v>
      </c>
      <c r="B322" s="63" t="str">
        <f>'II_Inkunabeln+'!B322</f>
        <v>L-1496-315495332</v>
      </c>
      <c r="C322" s="63">
        <f>'II_Inkunabeln+'!C322</f>
        <v>1066965188</v>
      </c>
      <c r="D322" s="84" t="str">
        <f>'II_Inkunabeln+'!D322</f>
        <v>https://portal.dnb.de/opac.htm?method=simpleSearch&amp;cqlMode=true&amp;query=idn%3D1066965188</v>
      </c>
      <c r="E322" s="63" t="str">
        <f>'II_Inkunabeln+'!E322</f>
        <v>II 24,3y</v>
      </c>
      <c r="F322" s="63" t="str">
        <f>'II_Inkunabeln+'!H322</f>
        <v>bis 35 cm</v>
      </c>
      <c r="G322" s="93">
        <f>'II_Inkunabeln+'!AG322</f>
        <v>0</v>
      </c>
      <c r="H322" s="93">
        <f>'II_Inkunabeln+'!AP322</f>
        <v>0</v>
      </c>
      <c r="I322" s="93">
        <f>'II_Inkunabeln+'!AQ322</f>
        <v>0</v>
      </c>
      <c r="J322" s="94"/>
      <c r="K322" s="93">
        <f>'II_Inkunabeln+'!AW322</f>
        <v>0</v>
      </c>
      <c r="L322" s="93">
        <f>'II_Inkunabeln+'!AX322</f>
        <v>0</v>
      </c>
      <c r="AA322" s="93">
        <f>'II_Inkunabeln+'!AY322</f>
        <v>0</v>
      </c>
      <c r="AB322" s="94">
        <f>'II_Inkunabeln+'!BA322</f>
        <v>0</v>
      </c>
      <c r="AC322" s="108"/>
      <c r="AD322" s="81">
        <f>'II_Inkunabeln+'!BJ322</f>
        <v>0</v>
      </c>
    </row>
    <row r="323" spans="1:30" x14ac:dyDescent="0.25">
      <c r="A323" s="63">
        <f>'II_Inkunabeln+'!A323</f>
        <v>310</v>
      </c>
      <c r="B323" s="63" t="str">
        <f>'II_Inkunabeln+'!B323</f>
        <v>L-1497-31549994X</v>
      </c>
      <c r="C323" s="63">
        <f>'II_Inkunabeln+'!C323</f>
        <v>1066969612</v>
      </c>
      <c r="D323" s="84" t="str">
        <f>'II_Inkunabeln+'!D323</f>
        <v>https://portal.dnb.de/opac.htm?method=simpleSearch&amp;cqlMode=true&amp;query=idn%3D1066969612</v>
      </c>
      <c r="E323" s="63" t="str">
        <f>'II_Inkunabeln+'!E323</f>
        <v>II 24,3z</v>
      </c>
      <c r="F323" s="63">
        <f>'II_Inkunabeln+'!H323</f>
        <v>0</v>
      </c>
      <c r="G323" s="93">
        <f>'II_Inkunabeln+'!AG323</f>
        <v>0</v>
      </c>
      <c r="H323" s="93">
        <f>'II_Inkunabeln+'!AP323</f>
        <v>0</v>
      </c>
      <c r="I323" s="93">
        <f>'II_Inkunabeln+'!AQ323</f>
        <v>0</v>
      </c>
      <c r="J323" s="94"/>
      <c r="K323" s="93">
        <f>'II_Inkunabeln+'!AW323</f>
        <v>0</v>
      </c>
      <c r="L323" s="93">
        <f>'II_Inkunabeln+'!AX323</f>
        <v>0</v>
      </c>
      <c r="AA323" s="93">
        <f>'II_Inkunabeln+'!AY323</f>
        <v>0</v>
      </c>
      <c r="AB323" s="94">
        <f>'II_Inkunabeln+'!BA323</f>
        <v>0</v>
      </c>
      <c r="AC323" s="108"/>
      <c r="AD323" s="81">
        <f>'II_Inkunabeln+'!BJ323</f>
        <v>0</v>
      </c>
    </row>
    <row r="324" spans="1:30" x14ac:dyDescent="0.25">
      <c r="A324" s="63">
        <f>'II_Inkunabeln+'!A324</f>
        <v>311</v>
      </c>
      <c r="B324" s="63" t="str">
        <f>'II_Inkunabeln+'!B324</f>
        <v>L-1482-302645780</v>
      </c>
      <c r="C324" s="63">
        <f>'II_Inkunabeln+'!C324</f>
        <v>1060137496</v>
      </c>
      <c r="D324" s="84" t="str">
        <f>'II_Inkunabeln+'!D324</f>
        <v>https://portal.dnb.de/opac.htm?method=simpleSearch&amp;cqlMode=true&amp;query=idn%3D1060137496</v>
      </c>
      <c r="E324" s="63" t="str">
        <f>'II_Inkunabeln+'!E324</f>
        <v>II 24,4 f</v>
      </c>
      <c r="F324" s="63">
        <f>'II_Inkunabeln+'!H324</f>
        <v>0</v>
      </c>
      <c r="G324" s="93">
        <f>'II_Inkunabeln+'!AG324</f>
        <v>0</v>
      </c>
      <c r="H324" s="93">
        <f>'II_Inkunabeln+'!AP324</f>
        <v>0</v>
      </c>
      <c r="I324" s="93">
        <f>'II_Inkunabeln+'!AQ324</f>
        <v>0</v>
      </c>
      <c r="J324" s="94"/>
      <c r="K324" s="93">
        <f>'II_Inkunabeln+'!AW324</f>
        <v>0</v>
      </c>
      <c r="L324" s="93">
        <f>'II_Inkunabeln+'!AX324</f>
        <v>0</v>
      </c>
      <c r="AA324" s="93">
        <f>'II_Inkunabeln+'!AY324</f>
        <v>0</v>
      </c>
      <c r="AB324" s="94">
        <f>'II_Inkunabeln+'!BA324</f>
        <v>0</v>
      </c>
      <c r="AC324" s="108"/>
      <c r="AD324" s="81">
        <f>'II_Inkunabeln+'!BJ324</f>
        <v>0</v>
      </c>
    </row>
    <row r="325" spans="1:30" x14ac:dyDescent="0.25">
      <c r="A325" s="63">
        <f>'II_Inkunabeln+'!A325</f>
        <v>312</v>
      </c>
      <c r="B325" s="63" t="str">
        <f>'II_Inkunabeln+'!B325</f>
        <v>L-1485-302645535</v>
      </c>
      <c r="C325" s="63">
        <f>'II_Inkunabeln+'!C325</f>
        <v>1060136910</v>
      </c>
      <c r="D325" s="84" t="str">
        <f>'II_Inkunabeln+'!D325</f>
        <v>https://portal.dnb.de/opac.htm?method=simpleSearch&amp;cqlMode=true&amp;query=idn%3D1060136910</v>
      </c>
      <c r="E325" s="63" t="str">
        <f>'II_Inkunabeln+'!E325</f>
        <v>II 24,4 h</v>
      </c>
      <c r="F325" s="63">
        <f>'II_Inkunabeln+'!H325</f>
        <v>0</v>
      </c>
      <c r="G325" s="93">
        <f>'II_Inkunabeln+'!AG325</f>
        <v>0</v>
      </c>
      <c r="H325" s="93">
        <f>'II_Inkunabeln+'!AP325</f>
        <v>0</v>
      </c>
      <c r="I325" s="93">
        <f>'II_Inkunabeln+'!AQ325</f>
        <v>0</v>
      </c>
      <c r="J325" s="94"/>
      <c r="K325" s="93">
        <f>'II_Inkunabeln+'!AW325</f>
        <v>0</v>
      </c>
      <c r="L325" s="93">
        <f>'II_Inkunabeln+'!AX325</f>
        <v>0</v>
      </c>
      <c r="AA325" s="93">
        <f>'II_Inkunabeln+'!AY325</f>
        <v>0</v>
      </c>
      <c r="AB325" s="94">
        <f>'II_Inkunabeln+'!BA325</f>
        <v>0</v>
      </c>
      <c r="AC325" s="108"/>
      <c r="AD325" s="81">
        <f>'II_Inkunabeln+'!BJ325</f>
        <v>0</v>
      </c>
    </row>
    <row r="326" spans="1:30" x14ac:dyDescent="0.25">
      <c r="A326" s="63">
        <f>'II_Inkunabeln+'!A326</f>
        <v>313</v>
      </c>
      <c r="B326" s="63" t="str">
        <f>'II_Inkunabeln+'!B326</f>
        <v>L-1472-315495197</v>
      </c>
      <c r="C326" s="63">
        <f>'II_Inkunabeln+'!C326</f>
        <v>1066965056</v>
      </c>
      <c r="D326" s="84" t="str">
        <f>'II_Inkunabeln+'!D326</f>
        <v>https://portal.dnb.de/opac.htm?method=simpleSearch&amp;cqlMode=true&amp;query=idn%3D1066965056</v>
      </c>
      <c r="E326" s="63" t="str">
        <f>'II_Inkunabeln+'!E326</f>
        <v>II 24,4a</v>
      </c>
      <c r="F326" s="63" t="str">
        <f>'II_Inkunabeln+'!H326</f>
        <v>bis 25 cm</v>
      </c>
      <c r="G326" s="93">
        <f>'II_Inkunabeln+'!AG326</f>
        <v>0</v>
      </c>
      <c r="H326" s="93">
        <f>'II_Inkunabeln+'!AP326</f>
        <v>0</v>
      </c>
      <c r="I326" s="93">
        <f>'II_Inkunabeln+'!AQ326</f>
        <v>0</v>
      </c>
      <c r="J326" s="94"/>
      <c r="K326" s="93">
        <f>'II_Inkunabeln+'!AW326</f>
        <v>0</v>
      </c>
      <c r="L326" s="93">
        <f>'II_Inkunabeln+'!AX326</f>
        <v>0</v>
      </c>
      <c r="AA326" s="93">
        <f>'II_Inkunabeln+'!AY326</f>
        <v>0</v>
      </c>
      <c r="AB326" s="94">
        <f>'II_Inkunabeln+'!BA326</f>
        <v>0</v>
      </c>
      <c r="AC326" s="108"/>
      <c r="AD326" s="81">
        <f>'II_Inkunabeln+'!BJ326</f>
        <v>0</v>
      </c>
    </row>
    <row r="327" spans="1:30" x14ac:dyDescent="0.25">
      <c r="A327" s="63">
        <f>'II_Inkunabeln+'!A327</f>
        <v>314</v>
      </c>
      <c r="B327" s="63" t="str">
        <f>'II_Inkunabeln+'!B327</f>
        <v>L-1476-315499397</v>
      </c>
      <c r="C327" s="63">
        <f>'II_Inkunabeln+'!C327</f>
        <v>1066969094</v>
      </c>
      <c r="D327" s="84" t="str">
        <f>'II_Inkunabeln+'!D327</f>
        <v>https://portal.dnb.de/opac.htm?method=simpleSearch&amp;cqlMode=true&amp;query=idn%3D1066969094</v>
      </c>
      <c r="E327" s="63" t="str">
        <f>'II_Inkunabeln+'!E327</f>
        <v>II 24,4b</v>
      </c>
      <c r="F327" s="63" t="str">
        <f>'II_Inkunabeln+'!H327</f>
        <v>bis 42 cm</v>
      </c>
      <c r="G327" s="93">
        <f>'II_Inkunabeln+'!AG327</f>
        <v>0</v>
      </c>
      <c r="H327" s="93">
        <f>'II_Inkunabeln+'!AP327</f>
        <v>0</v>
      </c>
      <c r="I327" s="93">
        <f>'II_Inkunabeln+'!AQ327</f>
        <v>0</v>
      </c>
      <c r="J327" s="94"/>
      <c r="K327" s="93">
        <f>'II_Inkunabeln+'!AW327</f>
        <v>0</v>
      </c>
      <c r="L327" s="93">
        <f>'II_Inkunabeln+'!AX327</f>
        <v>0</v>
      </c>
      <c r="AA327" s="93">
        <f>'II_Inkunabeln+'!AY327</f>
        <v>0</v>
      </c>
      <c r="AB327" s="94">
        <f>'II_Inkunabeln+'!BA327</f>
        <v>0</v>
      </c>
      <c r="AC327" s="108"/>
      <c r="AD327" s="81">
        <f>'II_Inkunabeln+'!BJ327</f>
        <v>0</v>
      </c>
    </row>
    <row r="328" spans="1:30" x14ac:dyDescent="0.25">
      <c r="A328" s="63">
        <f>'II_Inkunabeln+'!A328</f>
        <v>315</v>
      </c>
      <c r="B328" s="63" t="str">
        <f>'II_Inkunabeln+'!B328</f>
        <v>L-1478-315500166</v>
      </c>
      <c r="C328" s="63">
        <f>'II_Inkunabeln+'!C328</f>
        <v>1066969825</v>
      </c>
      <c r="D328" s="84" t="str">
        <f>'II_Inkunabeln+'!D328</f>
        <v>https://portal.dnb.de/opac.htm?method=simpleSearch&amp;cqlMode=true&amp;query=idn%3D1066969825</v>
      </c>
      <c r="E328" s="63" t="str">
        <f>'II_Inkunabeln+'!E328</f>
        <v>II 24,4c</v>
      </c>
      <c r="F328" s="63">
        <f>'II_Inkunabeln+'!H328</f>
        <v>0</v>
      </c>
      <c r="G328" s="93">
        <f>'II_Inkunabeln+'!AG328</f>
        <v>0</v>
      </c>
      <c r="H328" s="93">
        <f>'II_Inkunabeln+'!AP328</f>
        <v>0</v>
      </c>
      <c r="I328" s="93">
        <f>'II_Inkunabeln+'!AQ328</f>
        <v>0</v>
      </c>
      <c r="J328" s="94"/>
      <c r="K328" s="93">
        <f>'II_Inkunabeln+'!AW328</f>
        <v>0</v>
      </c>
      <c r="L328" s="93">
        <f>'II_Inkunabeln+'!AX328</f>
        <v>0</v>
      </c>
      <c r="AA328" s="93">
        <f>'II_Inkunabeln+'!AY328</f>
        <v>0</v>
      </c>
      <c r="AB328" s="94">
        <f>'II_Inkunabeln+'!BA328</f>
        <v>0</v>
      </c>
      <c r="AC328" s="108"/>
      <c r="AD328" s="81">
        <f>'II_Inkunabeln+'!BJ328</f>
        <v>0</v>
      </c>
    </row>
    <row r="329" spans="1:30" x14ac:dyDescent="0.25">
      <c r="A329" s="63">
        <f>'II_Inkunabeln+'!A329</f>
        <v>316</v>
      </c>
      <c r="B329" s="63" t="str">
        <f>'II_Inkunabeln+'!B329</f>
        <v>L-1481-315502290</v>
      </c>
      <c r="C329" s="63">
        <f>'II_Inkunabeln+'!C329</f>
        <v>1066971897</v>
      </c>
      <c r="D329" s="84" t="str">
        <f>'II_Inkunabeln+'!D329</f>
        <v>https://portal.dnb.de/opac.htm?method=simpleSearch&amp;cqlMode=true&amp;query=idn%3D1066971897</v>
      </c>
      <c r="E329" s="63" t="str">
        <f>'II_Inkunabeln+'!E329</f>
        <v>II 24,4d</v>
      </c>
      <c r="F329" s="63" t="str">
        <f>'II_Inkunabeln+'!H329</f>
        <v>bis 35 cm</v>
      </c>
      <c r="G329" s="93">
        <f>'II_Inkunabeln+'!AG329</f>
        <v>0</v>
      </c>
      <c r="H329" s="93">
        <f>'II_Inkunabeln+'!AP329</f>
        <v>0</v>
      </c>
      <c r="I329" s="93">
        <f>'II_Inkunabeln+'!AQ329</f>
        <v>0</v>
      </c>
      <c r="J329" s="94"/>
      <c r="K329" s="93">
        <f>'II_Inkunabeln+'!AW329</f>
        <v>0</v>
      </c>
      <c r="L329" s="93">
        <f>'II_Inkunabeln+'!AX329</f>
        <v>0</v>
      </c>
      <c r="AA329" s="93">
        <f>'II_Inkunabeln+'!AY329</f>
        <v>0</v>
      </c>
      <c r="AB329" s="94">
        <f>'II_Inkunabeln+'!BA329</f>
        <v>0</v>
      </c>
      <c r="AC329" s="108"/>
      <c r="AD329" s="81">
        <f>'II_Inkunabeln+'!BJ329</f>
        <v>0</v>
      </c>
    </row>
    <row r="330" spans="1:30" x14ac:dyDescent="0.25">
      <c r="A330" s="63">
        <f>'II_Inkunabeln+'!A330</f>
        <v>317</v>
      </c>
      <c r="B330" s="63" t="str">
        <f>'II_Inkunabeln+'!B330</f>
        <v>L-1482-315503211</v>
      </c>
      <c r="C330" s="63" t="str">
        <f>'II_Inkunabeln+'!C330</f>
        <v>106697280X</v>
      </c>
      <c r="D330" s="84" t="str">
        <f>'II_Inkunabeln+'!D330</f>
        <v>https://portal.dnb.de/opac.htm?method=simpleSearch&amp;cqlMode=true&amp;query=idn%3D106697280X</v>
      </c>
      <c r="E330" s="63" t="str">
        <f>'II_Inkunabeln+'!E330</f>
        <v>II 24,4e</v>
      </c>
      <c r="F330" s="63" t="str">
        <f>'II_Inkunabeln+'!H330</f>
        <v>bis 35 cm</v>
      </c>
      <c r="G330" s="93">
        <f>'II_Inkunabeln+'!AG330</f>
        <v>0</v>
      </c>
      <c r="H330" s="93">
        <f>'II_Inkunabeln+'!AP330</f>
        <v>0</v>
      </c>
      <c r="I330" s="93">
        <f>'II_Inkunabeln+'!AQ330</f>
        <v>0</v>
      </c>
      <c r="J330" s="94"/>
      <c r="K330" s="93">
        <f>'II_Inkunabeln+'!AW330</f>
        <v>0</v>
      </c>
      <c r="L330" s="93">
        <f>'II_Inkunabeln+'!AX330</f>
        <v>0</v>
      </c>
      <c r="AA330" s="93">
        <f>'II_Inkunabeln+'!AY330</f>
        <v>0</v>
      </c>
      <c r="AB330" s="94">
        <f>'II_Inkunabeln+'!BA330</f>
        <v>0</v>
      </c>
      <c r="AC330" s="108"/>
      <c r="AD330" s="81">
        <f>'II_Inkunabeln+'!BJ330</f>
        <v>0</v>
      </c>
    </row>
    <row r="331" spans="1:30" x14ac:dyDescent="0.25">
      <c r="A331" s="63">
        <f>'II_Inkunabeln+'!A331</f>
        <v>318</v>
      </c>
      <c r="B331" s="63" t="str">
        <f>'II_Inkunabeln+'!B331</f>
        <v>L-1474-315502304</v>
      </c>
      <c r="C331" s="63">
        <f>'II_Inkunabeln+'!C331</f>
        <v>1066971900</v>
      </c>
      <c r="D331" s="84" t="str">
        <f>'II_Inkunabeln+'!D331</f>
        <v>https://portal.dnb.de/opac.htm?method=simpleSearch&amp;cqlMode=true&amp;query=idn%3D1066971900</v>
      </c>
      <c r="E331" s="63" t="str">
        <f>'II_Inkunabeln+'!E331</f>
        <v>II 24,5a</v>
      </c>
      <c r="F331" s="63" t="str">
        <f>'II_Inkunabeln+'!H331</f>
        <v>bis 25 cm</v>
      </c>
      <c r="G331" s="93">
        <f>'II_Inkunabeln+'!AG331</f>
        <v>0</v>
      </c>
      <c r="H331" s="93">
        <f>'II_Inkunabeln+'!AP331</f>
        <v>0</v>
      </c>
      <c r="I331" s="93">
        <f>'II_Inkunabeln+'!AQ331</f>
        <v>0</v>
      </c>
      <c r="J331" s="94"/>
      <c r="K331" s="93">
        <f>'II_Inkunabeln+'!AW331</f>
        <v>0</v>
      </c>
      <c r="L331" s="93">
        <f>'II_Inkunabeln+'!AX331</f>
        <v>0</v>
      </c>
      <c r="AA331" s="93">
        <f>'II_Inkunabeln+'!AY331</f>
        <v>0</v>
      </c>
      <c r="AB331" s="94">
        <f>'II_Inkunabeln+'!BA331</f>
        <v>0</v>
      </c>
      <c r="AC331" s="108"/>
      <c r="AD331" s="81">
        <f>'II_Inkunabeln+'!BJ331</f>
        <v>0</v>
      </c>
    </row>
    <row r="332" spans="1:30" x14ac:dyDescent="0.25">
      <c r="A332" s="63">
        <f>'II_Inkunabeln+'!A332</f>
        <v>319</v>
      </c>
      <c r="B332" s="63" t="str">
        <f>'II_Inkunabeln+'!B332</f>
        <v>L-1480-326856560</v>
      </c>
      <c r="C332" s="63">
        <f>'II_Inkunabeln+'!C332</f>
        <v>1072060566</v>
      </c>
      <c r="D332" s="84" t="str">
        <f>'II_Inkunabeln+'!D332</f>
        <v>https://portal.dnb.de/opac.htm?method=simpleSearch&amp;cqlMode=true&amp;query=idn%3D1072060566</v>
      </c>
      <c r="E332" s="63" t="str">
        <f>'II_Inkunabeln+'!E332</f>
        <v>II 24,6a</v>
      </c>
      <c r="F332" s="63" t="str">
        <f>'II_Inkunabeln+'!H332</f>
        <v>bis 25 cm</v>
      </c>
      <c r="G332" s="93">
        <f>'II_Inkunabeln+'!AG332</f>
        <v>0</v>
      </c>
      <c r="H332" s="93">
        <f>'II_Inkunabeln+'!AP332</f>
        <v>0</v>
      </c>
      <c r="I332" s="93">
        <f>'II_Inkunabeln+'!AQ332</f>
        <v>0</v>
      </c>
      <c r="J332" s="94"/>
      <c r="K332" s="93">
        <f>'II_Inkunabeln+'!AW332</f>
        <v>0</v>
      </c>
      <c r="L332" s="93">
        <f>'II_Inkunabeln+'!AX332</f>
        <v>0</v>
      </c>
      <c r="AA332" s="93">
        <f>'II_Inkunabeln+'!AY332</f>
        <v>0</v>
      </c>
      <c r="AB332" s="94">
        <f>'II_Inkunabeln+'!BA332</f>
        <v>0</v>
      </c>
      <c r="AC332" s="108"/>
      <c r="AD332" s="81">
        <f>'II_Inkunabeln+'!BJ332</f>
        <v>0</v>
      </c>
    </row>
    <row r="333" spans="1:30" x14ac:dyDescent="0.25">
      <c r="A333" s="63">
        <f>'II_Inkunabeln+'!A333</f>
        <v>320</v>
      </c>
      <c r="B333" s="63" t="str">
        <f>'II_Inkunabeln+'!B333</f>
        <v>L-1483-315503483</v>
      </c>
      <c r="C333" s="63">
        <f>'II_Inkunabeln+'!C333</f>
        <v>1066973105</v>
      </c>
      <c r="D333" s="84" t="str">
        <f>'II_Inkunabeln+'!D333</f>
        <v>https://portal.dnb.de/opac.htm?method=simpleSearch&amp;cqlMode=true&amp;query=idn%3D1066973105</v>
      </c>
      <c r="E333" s="63" t="str">
        <f>'II_Inkunabeln+'!E333</f>
        <v>II 24,6b</v>
      </c>
      <c r="F333" s="63" t="str">
        <f>'II_Inkunabeln+'!H333</f>
        <v>bis 25 cm</v>
      </c>
      <c r="G333" s="93">
        <f>'II_Inkunabeln+'!AG333</f>
        <v>0</v>
      </c>
      <c r="H333" s="93">
        <f>'II_Inkunabeln+'!AP333</f>
        <v>0</v>
      </c>
      <c r="I333" s="93">
        <f>'II_Inkunabeln+'!AQ333</f>
        <v>0</v>
      </c>
      <c r="J333" s="94"/>
      <c r="K333" s="93">
        <f>'II_Inkunabeln+'!AW333</f>
        <v>0</v>
      </c>
      <c r="L333" s="93">
        <f>'II_Inkunabeln+'!AX333</f>
        <v>0</v>
      </c>
      <c r="AA333" s="93">
        <f>'II_Inkunabeln+'!AY333</f>
        <v>0</v>
      </c>
      <c r="AB333" s="94">
        <f>'II_Inkunabeln+'!BA333</f>
        <v>0</v>
      </c>
      <c r="AC333" s="108"/>
      <c r="AD333" s="81">
        <f>'II_Inkunabeln+'!BJ333</f>
        <v>0</v>
      </c>
    </row>
    <row r="334" spans="1:30" x14ac:dyDescent="0.25">
      <c r="A334" s="63">
        <f>'II_Inkunabeln+'!A334</f>
        <v>321</v>
      </c>
      <c r="B334" s="63" t="str">
        <f>'II_Inkunabeln+'!B334</f>
        <v>L-1481-315503238</v>
      </c>
      <c r="C334" s="63">
        <f>'II_Inkunabeln+'!C334</f>
        <v>1066972834</v>
      </c>
      <c r="D334" s="84" t="str">
        <f>'II_Inkunabeln+'!D334</f>
        <v>https://portal.dnb.de/opac.htm?method=simpleSearch&amp;cqlMode=true&amp;query=idn%3D1066972834</v>
      </c>
      <c r="E334" s="63" t="str">
        <f>'II_Inkunabeln+'!E334</f>
        <v>II 24,7a</v>
      </c>
      <c r="F334" s="63" t="str">
        <f>'II_Inkunabeln+'!H334</f>
        <v>bis 25 cm</v>
      </c>
      <c r="G334" s="93">
        <f>'II_Inkunabeln+'!AG334</f>
        <v>0</v>
      </c>
      <c r="H334" s="93">
        <f>'II_Inkunabeln+'!AP334</f>
        <v>0</v>
      </c>
      <c r="I334" s="93">
        <f>'II_Inkunabeln+'!AQ334</f>
        <v>0</v>
      </c>
      <c r="J334" s="94"/>
      <c r="K334" s="93">
        <f>'II_Inkunabeln+'!AW334</f>
        <v>0</v>
      </c>
      <c r="L334" s="93">
        <f>'II_Inkunabeln+'!AX334</f>
        <v>0</v>
      </c>
      <c r="AA334" s="93">
        <f>'II_Inkunabeln+'!AY334</f>
        <v>0</v>
      </c>
      <c r="AB334" s="94">
        <f>'II_Inkunabeln+'!BA334</f>
        <v>0</v>
      </c>
      <c r="AC334" s="108"/>
      <c r="AD334" s="81">
        <f>'II_Inkunabeln+'!BJ334</f>
        <v>0</v>
      </c>
    </row>
    <row r="335" spans="1:30" x14ac:dyDescent="0.25">
      <c r="A335" s="63">
        <f>'II_Inkunabeln+'!A335</f>
        <v>322</v>
      </c>
      <c r="B335" s="63" t="str">
        <f>'II_Inkunabeln+'!B335</f>
        <v>L-1481-315503475</v>
      </c>
      <c r="C335" s="63">
        <f>'II_Inkunabeln+'!C335</f>
        <v>1066973091</v>
      </c>
      <c r="D335" s="84" t="str">
        <f>'II_Inkunabeln+'!D335</f>
        <v>https://portal.dnb.de/opac.htm?method=simpleSearch&amp;cqlMode=true&amp;query=idn%3D1066973091</v>
      </c>
      <c r="E335" s="63" t="str">
        <f>'II_Inkunabeln+'!E335</f>
        <v>II 24,7b</v>
      </c>
      <c r="F335" s="63" t="str">
        <f>'II_Inkunabeln+'!H335</f>
        <v>bis 25 cm</v>
      </c>
      <c r="G335" s="93">
        <f>'II_Inkunabeln+'!AG335</f>
        <v>0</v>
      </c>
      <c r="H335" s="93">
        <f>'II_Inkunabeln+'!AP335</f>
        <v>0</v>
      </c>
      <c r="I335" s="93">
        <f>'II_Inkunabeln+'!AQ335</f>
        <v>0</v>
      </c>
      <c r="J335" s="94"/>
      <c r="K335" s="93">
        <f>'II_Inkunabeln+'!AW335</f>
        <v>0</v>
      </c>
      <c r="L335" s="93">
        <f>'II_Inkunabeln+'!AX335</f>
        <v>0</v>
      </c>
      <c r="AA335" s="93">
        <f>'II_Inkunabeln+'!AY335</f>
        <v>0</v>
      </c>
      <c r="AB335" s="94">
        <f>'II_Inkunabeln+'!BA335</f>
        <v>0</v>
      </c>
      <c r="AC335" s="108"/>
      <c r="AD335" s="81">
        <f>'II_Inkunabeln+'!BJ335</f>
        <v>0</v>
      </c>
    </row>
    <row r="336" spans="1:30" x14ac:dyDescent="0.25">
      <c r="A336" s="63">
        <f>'II_Inkunabeln+'!A336</f>
        <v>323</v>
      </c>
      <c r="B336" s="63" t="str">
        <f>'II_Inkunabeln+'!B336</f>
        <v>L-1486-315503491</v>
      </c>
      <c r="C336" s="63">
        <f>'II_Inkunabeln+'!C336</f>
        <v>1066973113</v>
      </c>
      <c r="D336" s="84" t="str">
        <f>'II_Inkunabeln+'!D336</f>
        <v>https://portal.dnb.de/opac.htm?method=simpleSearch&amp;cqlMode=true&amp;query=idn%3D1066973113</v>
      </c>
      <c r="E336" s="63" t="str">
        <f>'II_Inkunabeln+'!E336</f>
        <v>II 24,7c</v>
      </c>
      <c r="F336" s="63" t="str">
        <f>'II_Inkunabeln+'!H336</f>
        <v>bis 25 cm</v>
      </c>
      <c r="G336" s="93">
        <f>'II_Inkunabeln+'!AG336</f>
        <v>0</v>
      </c>
      <c r="H336" s="93">
        <f>'II_Inkunabeln+'!AP336</f>
        <v>0</v>
      </c>
      <c r="I336" s="93">
        <f>'II_Inkunabeln+'!AQ336</f>
        <v>0</v>
      </c>
      <c r="J336" s="94"/>
      <c r="K336" s="93">
        <f>'II_Inkunabeln+'!AW336</f>
        <v>0</v>
      </c>
      <c r="L336" s="93">
        <f>'II_Inkunabeln+'!AX336</f>
        <v>0</v>
      </c>
      <c r="AA336" s="93">
        <f>'II_Inkunabeln+'!AY336</f>
        <v>0</v>
      </c>
      <c r="AB336" s="94">
        <f>'II_Inkunabeln+'!BA336</f>
        <v>0</v>
      </c>
      <c r="AC336" s="108"/>
      <c r="AD336" s="81">
        <f>'II_Inkunabeln+'!BJ336</f>
        <v>0</v>
      </c>
    </row>
    <row r="337" spans="1:30" x14ac:dyDescent="0.25">
      <c r="A337" s="63">
        <f>'II_Inkunabeln+'!A337</f>
        <v>324</v>
      </c>
      <c r="B337" s="63" t="str">
        <f>'II_Inkunabeln+'!B337</f>
        <v>L-1483-315501235</v>
      </c>
      <c r="C337" s="63">
        <f>'II_Inkunabeln+'!C337</f>
        <v>1066970874</v>
      </c>
      <c r="D337" s="84" t="str">
        <f>'II_Inkunabeln+'!D337</f>
        <v>https://portal.dnb.de/opac.htm?method=simpleSearch&amp;cqlMode=true&amp;query=idn%3D1066970874</v>
      </c>
      <c r="E337" s="63" t="str">
        <f>'II_Inkunabeln+'!E337</f>
        <v>II 24,8a</v>
      </c>
      <c r="F337" s="63" t="str">
        <f>'II_Inkunabeln+'!H337</f>
        <v>bis 25 cm</v>
      </c>
      <c r="G337" s="93">
        <f>'II_Inkunabeln+'!AG337</f>
        <v>0</v>
      </c>
      <c r="H337" s="93">
        <f>'II_Inkunabeln+'!AP337</f>
        <v>0</v>
      </c>
      <c r="I337" s="93">
        <f>'II_Inkunabeln+'!AQ337</f>
        <v>0</v>
      </c>
      <c r="J337" s="94"/>
      <c r="K337" s="93">
        <f>'II_Inkunabeln+'!AW337</f>
        <v>0</v>
      </c>
      <c r="L337" s="93">
        <f>'II_Inkunabeln+'!AX337</f>
        <v>0</v>
      </c>
      <c r="AA337" s="93">
        <f>'II_Inkunabeln+'!AY337</f>
        <v>0</v>
      </c>
      <c r="AB337" s="94">
        <f>'II_Inkunabeln+'!BA337</f>
        <v>0</v>
      </c>
      <c r="AC337" s="108"/>
      <c r="AD337" s="81">
        <f>'II_Inkunabeln+'!BJ337</f>
        <v>0</v>
      </c>
    </row>
    <row r="338" spans="1:30" x14ac:dyDescent="0.25">
      <c r="A338" s="63">
        <f>'II_Inkunabeln+'!A338</f>
        <v>325</v>
      </c>
      <c r="B338" s="63" t="str">
        <f>'II_Inkunabeln+'!B338</f>
        <v>L-1495-315498056</v>
      </c>
      <c r="C338" s="63">
        <f>'II_Inkunabeln+'!C338</f>
        <v>1066967784</v>
      </c>
      <c r="D338" s="84" t="str">
        <f>'II_Inkunabeln+'!D338</f>
        <v>https://portal.dnb.de/opac.htm?method=simpleSearch&amp;cqlMode=true&amp;query=idn%3D1066967784</v>
      </c>
      <c r="E338" s="63" t="str">
        <f>'II_Inkunabeln+'!E338</f>
        <v>II 24,8b</v>
      </c>
      <c r="F338" s="63" t="str">
        <f>'II_Inkunabeln+'!H338</f>
        <v>bis 25 cm</v>
      </c>
      <c r="G338" s="93">
        <f>'II_Inkunabeln+'!AG338</f>
        <v>0</v>
      </c>
      <c r="H338" s="93">
        <f>'II_Inkunabeln+'!AP338</f>
        <v>0</v>
      </c>
      <c r="I338" s="93">
        <f>'II_Inkunabeln+'!AQ338</f>
        <v>0</v>
      </c>
      <c r="J338" s="94"/>
      <c r="K338" s="93">
        <f>'II_Inkunabeln+'!AW338</f>
        <v>0</v>
      </c>
      <c r="L338" s="93">
        <f>'II_Inkunabeln+'!AX338</f>
        <v>0</v>
      </c>
      <c r="AA338" s="93">
        <f>'II_Inkunabeln+'!AY338</f>
        <v>0</v>
      </c>
      <c r="AB338" s="94">
        <f>'II_Inkunabeln+'!BA338</f>
        <v>0</v>
      </c>
      <c r="AC338" s="108"/>
      <c r="AD338" s="81">
        <f>'II_Inkunabeln+'!BJ338</f>
        <v>0</v>
      </c>
    </row>
    <row r="339" spans="1:30" x14ac:dyDescent="0.25">
      <c r="A339" s="63">
        <f>'II_Inkunabeln+'!A339</f>
        <v>326</v>
      </c>
      <c r="B339" s="63" t="str">
        <f>'II_Inkunabeln+'!B339</f>
        <v>L-1489-315503394</v>
      </c>
      <c r="C339" s="63">
        <f>'II_Inkunabeln+'!C339</f>
        <v>1066973024</v>
      </c>
      <c r="D339" s="84" t="str">
        <f>'II_Inkunabeln+'!D339</f>
        <v>https://portal.dnb.de/opac.htm?method=simpleSearch&amp;cqlMode=true&amp;query=idn%3D1066973024</v>
      </c>
      <c r="E339" s="63" t="str">
        <f>'II_Inkunabeln+'!E339</f>
        <v>II 24,8c</v>
      </c>
      <c r="F339" s="63" t="str">
        <f>'II_Inkunabeln+'!H339</f>
        <v>bis 25 cm</v>
      </c>
      <c r="G339" s="93">
        <f>'II_Inkunabeln+'!AG339</f>
        <v>0</v>
      </c>
      <c r="H339" s="93">
        <f>'II_Inkunabeln+'!AP339</f>
        <v>0</v>
      </c>
      <c r="I339" s="93">
        <f>'II_Inkunabeln+'!AQ339</f>
        <v>0</v>
      </c>
      <c r="J339" s="94"/>
      <c r="K339" s="93">
        <f>'II_Inkunabeln+'!AW339</f>
        <v>0</v>
      </c>
      <c r="L339" s="93">
        <f>'II_Inkunabeln+'!AX339</f>
        <v>0</v>
      </c>
      <c r="AA339" s="93">
        <f>'II_Inkunabeln+'!AY339</f>
        <v>0</v>
      </c>
      <c r="AB339" s="94">
        <f>'II_Inkunabeln+'!BA339</f>
        <v>0</v>
      </c>
      <c r="AC339" s="108"/>
      <c r="AD339" s="81">
        <f>'II_Inkunabeln+'!BJ339</f>
        <v>0</v>
      </c>
    </row>
    <row r="340" spans="1:30" x14ac:dyDescent="0.25">
      <c r="A340" s="63">
        <f>'II_Inkunabeln+'!A340</f>
        <v>327</v>
      </c>
      <c r="B340" s="63" t="str">
        <f>'II_Inkunabeln+'!B340</f>
        <v>L-1484-286786508</v>
      </c>
      <c r="C340" s="63">
        <f>'II_Inkunabeln+'!C340</f>
        <v>1048166694</v>
      </c>
      <c r="D340" s="84" t="str">
        <f>'II_Inkunabeln+'!D340</f>
        <v>https://portal.dnb.de/opac.htm?method=simpleSearch&amp;cqlMode=true&amp;query=idn%3D1048166694</v>
      </c>
      <c r="E340" s="63" t="str">
        <f>'II_Inkunabeln+'!E340</f>
        <v>II 24,9a</v>
      </c>
      <c r="F340" s="63" t="str">
        <f>'II_Inkunabeln+'!H340</f>
        <v>bis 25 cm</v>
      </c>
      <c r="G340" s="93">
        <f>'II_Inkunabeln+'!AG340</f>
        <v>0</v>
      </c>
      <c r="H340" s="93">
        <f>'II_Inkunabeln+'!AP340</f>
        <v>0</v>
      </c>
      <c r="I340" s="93">
        <f>'II_Inkunabeln+'!AQ340</f>
        <v>0</v>
      </c>
      <c r="J340" s="94"/>
      <c r="K340" s="93">
        <f>'II_Inkunabeln+'!AW340</f>
        <v>0</v>
      </c>
      <c r="L340" s="93">
        <f>'II_Inkunabeln+'!AX340</f>
        <v>0</v>
      </c>
      <c r="AA340" s="93">
        <f>'II_Inkunabeln+'!AY340</f>
        <v>0</v>
      </c>
      <c r="AB340" s="94">
        <f>'II_Inkunabeln+'!BA340</f>
        <v>0</v>
      </c>
      <c r="AC340" s="108"/>
      <c r="AD340" s="81">
        <f>'II_Inkunabeln+'!BJ340</f>
        <v>0</v>
      </c>
    </row>
    <row r="341" spans="1:30" x14ac:dyDescent="0.25">
      <c r="A341" s="63">
        <f>'II_Inkunabeln+'!A341</f>
        <v>328</v>
      </c>
      <c r="B341" s="63" t="str">
        <f>'II_Inkunabeln+'!B341</f>
        <v>L-1489-31550062X</v>
      </c>
      <c r="C341" s="63">
        <f>'II_Inkunabeln+'!C341</f>
        <v>1066970289</v>
      </c>
      <c r="D341" s="84" t="str">
        <f>'II_Inkunabeln+'!D341</f>
        <v>https://portal.dnb.de/opac.htm?method=simpleSearch&amp;cqlMode=true&amp;query=idn%3D1066970289</v>
      </c>
      <c r="E341" s="63" t="str">
        <f>'II_Inkunabeln+'!E341</f>
        <v>II 24,9b</v>
      </c>
      <c r="F341" s="63" t="str">
        <f>'II_Inkunabeln+'!H341</f>
        <v>bis 25 cm</v>
      </c>
      <c r="G341" s="93">
        <f>'II_Inkunabeln+'!AG341</f>
        <v>0</v>
      </c>
      <c r="H341" s="93">
        <f>'II_Inkunabeln+'!AP341</f>
        <v>0</v>
      </c>
      <c r="I341" s="93">
        <f>'II_Inkunabeln+'!AQ341</f>
        <v>0</v>
      </c>
      <c r="J341" s="94"/>
      <c r="K341" s="93">
        <f>'II_Inkunabeln+'!AW341</f>
        <v>0</v>
      </c>
      <c r="L341" s="93">
        <f>'II_Inkunabeln+'!AX341</f>
        <v>0</v>
      </c>
      <c r="AA341" s="93">
        <f>'II_Inkunabeln+'!AY341</f>
        <v>0</v>
      </c>
      <c r="AB341" s="94">
        <f>'II_Inkunabeln+'!BA341</f>
        <v>0</v>
      </c>
      <c r="AC341" s="108"/>
      <c r="AD341" s="81">
        <f>'II_Inkunabeln+'!BJ341</f>
        <v>0</v>
      </c>
    </row>
    <row r="342" spans="1:30" x14ac:dyDescent="0.25">
      <c r="A342" s="63">
        <f>'II_Inkunabeln+'!A342</f>
        <v>329</v>
      </c>
      <c r="B342" s="63" t="str">
        <f>'II_Inkunabeln+'!B342</f>
        <v>L-1492-32685682X</v>
      </c>
      <c r="C342" s="63">
        <f>'II_Inkunabeln+'!C342</f>
        <v>1072060930</v>
      </c>
      <c r="D342" s="84" t="str">
        <f>'II_Inkunabeln+'!D342</f>
        <v>https://portal.dnb.de/opac.htm?method=simpleSearch&amp;cqlMode=true&amp;query=idn%3D1072060930</v>
      </c>
      <c r="E342" s="63" t="str">
        <f>'II_Inkunabeln+'!E342</f>
        <v>II 24,9c</v>
      </c>
      <c r="F342" s="63" t="str">
        <f>'II_Inkunabeln+'!H342</f>
        <v>bis 42 cm</v>
      </c>
      <c r="G342" s="93">
        <f>'II_Inkunabeln+'!AG342</f>
        <v>0</v>
      </c>
      <c r="H342" s="93">
        <f>'II_Inkunabeln+'!AP342</f>
        <v>0</v>
      </c>
      <c r="I342" s="93">
        <f>'II_Inkunabeln+'!AQ342</f>
        <v>0</v>
      </c>
      <c r="J342" s="94"/>
      <c r="K342" s="93">
        <f>'II_Inkunabeln+'!AW342</f>
        <v>0</v>
      </c>
      <c r="L342" s="93">
        <f>'II_Inkunabeln+'!AX342</f>
        <v>0</v>
      </c>
      <c r="AA342" s="93">
        <f>'II_Inkunabeln+'!AY342</f>
        <v>0</v>
      </c>
      <c r="AB342" s="94">
        <f>'II_Inkunabeln+'!BA342</f>
        <v>0</v>
      </c>
      <c r="AC342" s="108"/>
      <c r="AD342" s="81">
        <f>'II_Inkunabeln+'!BJ342</f>
        <v>0</v>
      </c>
    </row>
    <row r="343" spans="1:30" x14ac:dyDescent="0.25">
      <c r="A343" s="63">
        <f>'II_Inkunabeln+'!A343</f>
        <v>330</v>
      </c>
      <c r="B343" s="63" t="str">
        <f>'II_Inkunabeln+'!B343</f>
        <v>L-1493-316402567</v>
      </c>
      <c r="C343" s="63">
        <f>'II_Inkunabeln+'!C343</f>
        <v>1067439137</v>
      </c>
      <c r="D343" s="84" t="str">
        <f>'II_Inkunabeln+'!D343</f>
        <v>https://portal.dnb.de/opac.htm?method=simpleSearch&amp;cqlMode=true&amp;query=idn%3D1067439137</v>
      </c>
      <c r="E343" s="63" t="str">
        <f>'II_Inkunabeln+'!E343</f>
        <v>II 24,9d - Fragm.</v>
      </c>
      <c r="F343" s="63">
        <f>'II_Inkunabeln+'!H343</f>
        <v>0</v>
      </c>
      <c r="G343" s="93">
        <f>'II_Inkunabeln+'!AG343</f>
        <v>0</v>
      </c>
      <c r="H343" s="93">
        <f>'II_Inkunabeln+'!AP343</f>
        <v>0</v>
      </c>
      <c r="I343" s="93">
        <f>'II_Inkunabeln+'!AQ343</f>
        <v>0</v>
      </c>
      <c r="J343" s="94"/>
      <c r="K343" s="93">
        <f>'II_Inkunabeln+'!AW343</f>
        <v>0</v>
      </c>
      <c r="L343" s="93">
        <f>'II_Inkunabeln+'!AX343</f>
        <v>0</v>
      </c>
      <c r="AA343" s="93">
        <f>'II_Inkunabeln+'!AY343</f>
        <v>0</v>
      </c>
      <c r="AB343" s="94">
        <f>'II_Inkunabeln+'!BA343</f>
        <v>0</v>
      </c>
      <c r="AC343" s="108"/>
      <c r="AD343" s="81">
        <f>'II_Inkunabeln+'!BJ343</f>
        <v>0</v>
      </c>
    </row>
    <row r="344" spans="1:30" x14ac:dyDescent="0.25">
      <c r="A344" s="63">
        <f>'II_Inkunabeln+'!A344</f>
        <v>331</v>
      </c>
      <c r="B344" s="63" t="str">
        <f>'II_Inkunabeln+'!B344</f>
        <v>L-1498-316402575</v>
      </c>
      <c r="C344" s="63">
        <f>'II_Inkunabeln+'!C344</f>
        <v>1067439188</v>
      </c>
      <c r="D344" s="84" t="str">
        <f>'II_Inkunabeln+'!D344</f>
        <v>https://portal.dnb.de/opac.htm?method=simpleSearch&amp;cqlMode=true&amp;query=idn%3D1067439188</v>
      </c>
      <c r="E344" s="63" t="str">
        <f>'II_Inkunabeln+'!E344</f>
        <v>II 24,9e - Fragm.</v>
      </c>
      <c r="F344" s="63">
        <f>'II_Inkunabeln+'!H344</f>
        <v>0</v>
      </c>
      <c r="G344" s="93">
        <f>'II_Inkunabeln+'!AG344</f>
        <v>0</v>
      </c>
      <c r="H344" s="93">
        <f>'II_Inkunabeln+'!AP344</f>
        <v>0</v>
      </c>
      <c r="I344" s="93">
        <f>'II_Inkunabeln+'!AQ344</f>
        <v>0</v>
      </c>
      <c r="J344" s="94"/>
      <c r="K344" s="93">
        <f>'II_Inkunabeln+'!AW344</f>
        <v>0</v>
      </c>
      <c r="L344" s="93">
        <f>'II_Inkunabeln+'!AX344</f>
        <v>0</v>
      </c>
      <c r="AA344" s="93">
        <f>'II_Inkunabeln+'!AY344</f>
        <v>0</v>
      </c>
      <c r="AB344" s="94">
        <f>'II_Inkunabeln+'!BA344</f>
        <v>0</v>
      </c>
      <c r="AC344" s="108"/>
      <c r="AD344" s="81">
        <f>'II_Inkunabeln+'!BJ344</f>
        <v>0</v>
      </c>
    </row>
    <row r="345" spans="1:30" x14ac:dyDescent="0.25">
      <c r="A345" s="63">
        <f>'II_Inkunabeln+'!A345</f>
        <v>332</v>
      </c>
      <c r="B345" s="63" t="str">
        <f>'II_Inkunabeln+'!B345</f>
        <v>L-1496-315499184</v>
      </c>
      <c r="C345" s="63" t="str">
        <f>'II_Inkunabeln+'!C345</f>
        <v>106696890X</v>
      </c>
      <c r="D345" s="84" t="str">
        <f>'II_Inkunabeln+'!D345</f>
        <v>https://portal.dnb.de/opac.htm?method=simpleSearch&amp;cqlMode=true&amp;query=idn%3D106696890X</v>
      </c>
      <c r="E345" s="63" t="str">
        <f>'II_Inkunabeln+'!E345</f>
        <v>II 24,9f</v>
      </c>
      <c r="F345" s="63" t="str">
        <f>'II_Inkunabeln+'!H345</f>
        <v>bis 35 cm</v>
      </c>
      <c r="G345" s="93">
        <f>'II_Inkunabeln+'!AG345</f>
        <v>0</v>
      </c>
      <c r="H345" s="93">
        <f>'II_Inkunabeln+'!AP345</f>
        <v>0</v>
      </c>
      <c r="I345" s="93">
        <f>'II_Inkunabeln+'!AQ345</f>
        <v>0</v>
      </c>
      <c r="J345" s="94"/>
      <c r="K345" s="93">
        <f>'II_Inkunabeln+'!AW345</f>
        <v>0</v>
      </c>
      <c r="L345" s="93">
        <f>'II_Inkunabeln+'!AX345</f>
        <v>0</v>
      </c>
      <c r="AA345" s="93">
        <f>'II_Inkunabeln+'!AY345</f>
        <v>0</v>
      </c>
      <c r="AB345" s="94">
        <f>'II_Inkunabeln+'!BA345</f>
        <v>0</v>
      </c>
      <c r="AC345" s="108"/>
      <c r="AD345" s="81">
        <f>'II_Inkunabeln+'!BJ345</f>
        <v>0</v>
      </c>
    </row>
    <row r="346" spans="1:30" x14ac:dyDescent="0.25">
      <c r="A346" s="63">
        <f>'II_Inkunabeln+'!A346</f>
        <v>333</v>
      </c>
      <c r="B346" s="63" t="str">
        <f>'II_Inkunabeln+'!B346</f>
        <v>L-1498-315495014</v>
      </c>
      <c r="C346" s="63" t="str">
        <f>'II_Inkunabeln+'!C346</f>
        <v>106696484X</v>
      </c>
      <c r="D346" s="84" t="str">
        <f>'II_Inkunabeln+'!D346</f>
        <v>https://portal.dnb.de/opac.htm?method=simpleSearch&amp;cqlMode=true&amp;query=idn%3D106696484X</v>
      </c>
      <c r="E346" s="63" t="str">
        <f>'II_Inkunabeln+'!E346</f>
        <v>II 24,10a</v>
      </c>
      <c r="F346" s="63" t="str">
        <f>'II_Inkunabeln+'!H346</f>
        <v>bis 25 cm</v>
      </c>
      <c r="G346" s="93">
        <f>'II_Inkunabeln+'!AG346</f>
        <v>0</v>
      </c>
      <c r="H346" s="93">
        <f>'II_Inkunabeln+'!AP346</f>
        <v>0</v>
      </c>
      <c r="I346" s="93">
        <f>'II_Inkunabeln+'!AQ346</f>
        <v>0</v>
      </c>
      <c r="J346" s="94"/>
      <c r="K346" s="93">
        <f>'II_Inkunabeln+'!AW346</f>
        <v>0</v>
      </c>
      <c r="L346" s="93">
        <f>'II_Inkunabeln+'!AX346</f>
        <v>0</v>
      </c>
      <c r="AA346" s="93">
        <f>'II_Inkunabeln+'!AY346</f>
        <v>0</v>
      </c>
      <c r="AB346" s="94">
        <f>'II_Inkunabeln+'!BA346</f>
        <v>0</v>
      </c>
      <c r="AC346" s="108"/>
      <c r="AD346" s="81">
        <f>'II_Inkunabeln+'!BJ346</f>
        <v>0</v>
      </c>
    </row>
    <row r="347" spans="1:30" x14ac:dyDescent="0.25">
      <c r="A347" s="63">
        <f>'II_Inkunabeln+'!A347</f>
        <v>334</v>
      </c>
      <c r="B347" s="63" t="str">
        <f>'II_Inkunabeln+'!B347</f>
        <v>L-1497-315499516</v>
      </c>
      <c r="C347" s="63">
        <f>'II_Inkunabeln+'!C347</f>
        <v>1066969205</v>
      </c>
      <c r="D347" s="84" t="str">
        <f>'II_Inkunabeln+'!D347</f>
        <v>https://portal.dnb.de/opac.htm?method=simpleSearch&amp;cqlMode=true&amp;query=idn%3D1066969205</v>
      </c>
      <c r="E347" s="63" t="str">
        <f>'II_Inkunabeln+'!E347</f>
        <v>II 24,10b</v>
      </c>
      <c r="F347" s="63" t="str">
        <f>'II_Inkunabeln+'!H347</f>
        <v>bis 25 cm</v>
      </c>
      <c r="G347" s="93">
        <f>'II_Inkunabeln+'!AG347</f>
        <v>0</v>
      </c>
      <c r="H347" s="93">
        <f>'II_Inkunabeln+'!AP347</f>
        <v>0</v>
      </c>
      <c r="I347" s="93">
        <f>'II_Inkunabeln+'!AQ347</f>
        <v>0</v>
      </c>
      <c r="J347" s="94"/>
      <c r="K347" s="93">
        <f>'II_Inkunabeln+'!AW347</f>
        <v>0</v>
      </c>
      <c r="L347" s="93">
        <f>'II_Inkunabeln+'!AX347</f>
        <v>0</v>
      </c>
      <c r="AA347" s="93">
        <f>'II_Inkunabeln+'!AY347</f>
        <v>0</v>
      </c>
      <c r="AB347" s="94">
        <f>'II_Inkunabeln+'!BA347</f>
        <v>0</v>
      </c>
      <c r="AC347" s="108"/>
      <c r="AD347" s="81">
        <f>'II_Inkunabeln+'!BJ347</f>
        <v>0</v>
      </c>
    </row>
    <row r="348" spans="1:30" x14ac:dyDescent="0.25">
      <c r="A348" s="63">
        <f>'II_Inkunabeln+'!A348</f>
        <v>335</v>
      </c>
      <c r="B348" s="63" t="str">
        <f>'II_Inkunabeln+'!B348</f>
        <v>L-1496-315497629</v>
      </c>
      <c r="C348" s="63">
        <f>'II_Inkunabeln+'!C348</f>
        <v>1066967377</v>
      </c>
      <c r="D348" s="84" t="str">
        <f>'II_Inkunabeln+'!D348</f>
        <v>https://portal.dnb.de/opac.htm?method=simpleSearch&amp;cqlMode=true&amp;query=idn%3D1066967377</v>
      </c>
      <c r="E348" s="63" t="str">
        <f>'II_Inkunabeln+'!E348</f>
        <v>II 25,1a</v>
      </c>
      <c r="F348" s="63" t="str">
        <f>'II_Inkunabeln+'!H348</f>
        <v>bis 25 cm</v>
      </c>
      <c r="G348" s="93">
        <f>'II_Inkunabeln+'!AG348</f>
        <v>0</v>
      </c>
      <c r="H348" s="93">
        <f>'II_Inkunabeln+'!AP348</f>
        <v>0</v>
      </c>
      <c r="I348" s="93">
        <f>'II_Inkunabeln+'!AQ348</f>
        <v>0</v>
      </c>
      <c r="J348" s="94"/>
      <c r="K348" s="93">
        <f>'II_Inkunabeln+'!AW348</f>
        <v>0</v>
      </c>
      <c r="L348" s="93">
        <f>'II_Inkunabeln+'!AX348</f>
        <v>0</v>
      </c>
      <c r="AA348" s="93">
        <f>'II_Inkunabeln+'!AY348</f>
        <v>0</v>
      </c>
      <c r="AB348" s="94">
        <f>'II_Inkunabeln+'!BA348</f>
        <v>0</v>
      </c>
      <c r="AC348" s="108"/>
      <c r="AD348" s="81">
        <f>'II_Inkunabeln+'!BJ348</f>
        <v>0</v>
      </c>
    </row>
    <row r="349" spans="1:30" x14ac:dyDescent="0.25">
      <c r="A349" s="63">
        <f>'II_Inkunabeln+'!A349</f>
        <v>336</v>
      </c>
      <c r="B349" s="63" t="str">
        <f>'II_Inkunabeln+'!B349</f>
        <v>L-1482-315498390</v>
      </c>
      <c r="C349" s="63">
        <f>'II_Inkunabeln+'!C349</f>
        <v>1066968128</v>
      </c>
      <c r="D349" s="84" t="str">
        <f>'II_Inkunabeln+'!D349</f>
        <v>https://portal.dnb.de/opac.htm?method=simpleSearch&amp;cqlMode=true&amp;query=idn%3D1066968128</v>
      </c>
      <c r="E349" s="63" t="str">
        <f>'II_Inkunabeln+'!E349</f>
        <v>II 26,1a</v>
      </c>
      <c r="F349" s="63" t="str">
        <f>'II_Inkunabeln+'!H349</f>
        <v>bis 25 cm</v>
      </c>
      <c r="G349" s="93">
        <f>'II_Inkunabeln+'!AG349</f>
        <v>0</v>
      </c>
      <c r="H349" s="93">
        <f>'II_Inkunabeln+'!AP349</f>
        <v>0</v>
      </c>
      <c r="I349" s="93">
        <f>'II_Inkunabeln+'!AQ349</f>
        <v>0</v>
      </c>
      <c r="J349" s="94"/>
      <c r="K349" s="93">
        <f>'II_Inkunabeln+'!AW349</f>
        <v>0</v>
      </c>
      <c r="L349" s="93">
        <f>'II_Inkunabeln+'!AX349</f>
        <v>0</v>
      </c>
      <c r="AA349" s="93">
        <f>'II_Inkunabeln+'!AY349</f>
        <v>0</v>
      </c>
      <c r="AB349" s="94">
        <f>'II_Inkunabeln+'!BA349</f>
        <v>0</v>
      </c>
      <c r="AC349" s="108"/>
      <c r="AD349" s="81">
        <f>'II_Inkunabeln+'!BJ349</f>
        <v>0</v>
      </c>
    </row>
    <row r="350" spans="1:30" x14ac:dyDescent="0.25">
      <c r="A350" s="63">
        <f>'II_Inkunabeln+'!A350</f>
        <v>337</v>
      </c>
      <c r="B350" s="63" t="str">
        <f>'II_Inkunabeln+'!B350</f>
        <v>L-1482-327280239</v>
      </c>
      <c r="C350" s="63">
        <f>'II_Inkunabeln+'!C350</f>
        <v>1072320673</v>
      </c>
      <c r="D350" s="84" t="str">
        <f>'II_Inkunabeln+'!D350</f>
        <v>https://portal.dnb.de/opac.htm?method=simpleSearch&amp;cqlMode=true&amp;query=idn%3D1072320673</v>
      </c>
      <c r="E350" s="63" t="str">
        <f>'II_Inkunabeln+'!E350</f>
        <v>II 26,1b</v>
      </c>
      <c r="F350" s="63" t="str">
        <f>'II_Inkunabeln+'!H350</f>
        <v>bis 25 cm</v>
      </c>
      <c r="G350" s="93">
        <f>'II_Inkunabeln+'!AG350</f>
        <v>0</v>
      </c>
      <c r="H350" s="93">
        <f>'II_Inkunabeln+'!AP350</f>
        <v>0</v>
      </c>
      <c r="I350" s="93">
        <f>'II_Inkunabeln+'!AQ350</f>
        <v>0</v>
      </c>
      <c r="J350" s="94"/>
      <c r="K350" s="93">
        <f>'II_Inkunabeln+'!AW350</f>
        <v>0</v>
      </c>
      <c r="L350" s="93">
        <f>'II_Inkunabeln+'!AX350</f>
        <v>0</v>
      </c>
      <c r="AA350" s="93">
        <f>'II_Inkunabeln+'!AY350</f>
        <v>0</v>
      </c>
      <c r="AB350" s="94">
        <f>'II_Inkunabeln+'!BA350</f>
        <v>0</v>
      </c>
      <c r="AC350" s="108"/>
      <c r="AD350" s="81">
        <f>'II_Inkunabeln+'!BJ350</f>
        <v>0</v>
      </c>
    </row>
    <row r="351" spans="1:30" x14ac:dyDescent="0.25">
      <c r="A351" s="63">
        <f>'II_Inkunabeln+'!A351</f>
        <v>338</v>
      </c>
      <c r="B351" s="63" t="str">
        <f>'II_Inkunabeln+'!B351</f>
        <v>L-9999-343686457</v>
      </c>
      <c r="C351" s="63">
        <f>'II_Inkunabeln+'!C351</f>
        <v>1079531114</v>
      </c>
      <c r="D351" s="84" t="str">
        <f>'II_Inkunabeln+'!D351</f>
        <v>https://portal.dnb.de/opac.htm?method=simpleSearch&amp;cqlMode=true&amp;query=idn%3D1079531114</v>
      </c>
      <c r="E351" s="63" t="str">
        <f>'II_Inkunabeln+'!E351</f>
        <v>II 26,2a</v>
      </c>
      <c r="F351" s="63" t="str">
        <f>'II_Inkunabeln+'!H351</f>
        <v>bis 42 cm</v>
      </c>
      <c r="G351" s="93">
        <f>'II_Inkunabeln+'!AG351</f>
        <v>0</v>
      </c>
      <c r="H351" s="93">
        <f>'II_Inkunabeln+'!AP351</f>
        <v>0</v>
      </c>
      <c r="I351" s="93">
        <f>'II_Inkunabeln+'!AQ351</f>
        <v>0</v>
      </c>
      <c r="J351" s="94"/>
      <c r="K351" s="93">
        <f>'II_Inkunabeln+'!AW351</f>
        <v>0</v>
      </c>
      <c r="L351" s="93">
        <f>'II_Inkunabeln+'!AX351</f>
        <v>0</v>
      </c>
      <c r="AA351" s="93">
        <f>'II_Inkunabeln+'!AY351</f>
        <v>0</v>
      </c>
      <c r="AB351" s="94">
        <f>'II_Inkunabeln+'!BA351</f>
        <v>0</v>
      </c>
      <c r="AC351" s="108"/>
      <c r="AD351" s="81">
        <f>'II_Inkunabeln+'!BJ351</f>
        <v>0</v>
      </c>
    </row>
    <row r="352" spans="1:30" x14ac:dyDescent="0.25">
      <c r="A352" s="63">
        <f>'II_Inkunabeln+'!A352</f>
        <v>339</v>
      </c>
      <c r="B352" s="63" t="str">
        <f>'II_Inkunabeln+'!B352</f>
        <v>L-1477-315498013</v>
      </c>
      <c r="C352" s="63" t="str">
        <f>'II_Inkunabeln+'!C352</f>
        <v>106696775X</v>
      </c>
      <c r="D352" s="84" t="str">
        <f>'II_Inkunabeln+'!D352</f>
        <v>https://portal.dnb.de/opac.htm?method=simpleSearch&amp;cqlMode=true&amp;query=idn%3D106696775X</v>
      </c>
      <c r="E352" s="63" t="str">
        <f>'II_Inkunabeln+'!E352</f>
        <v>II 27,1a</v>
      </c>
      <c r="F352" s="63" t="str">
        <f>'II_Inkunabeln+'!H352</f>
        <v>bis 35 cm</v>
      </c>
      <c r="G352" s="93">
        <f>'II_Inkunabeln+'!AG352</f>
        <v>0</v>
      </c>
      <c r="H352" s="93">
        <f>'II_Inkunabeln+'!AP352</f>
        <v>0</v>
      </c>
      <c r="I352" s="93">
        <f>'II_Inkunabeln+'!AQ352</f>
        <v>0</v>
      </c>
      <c r="J352" s="94"/>
      <c r="K352" s="93">
        <f>'II_Inkunabeln+'!AW352</f>
        <v>0</v>
      </c>
      <c r="L352" s="93">
        <f>'II_Inkunabeln+'!AX352</f>
        <v>0</v>
      </c>
      <c r="AA352" s="93">
        <f>'II_Inkunabeln+'!AY352</f>
        <v>0</v>
      </c>
      <c r="AB352" s="94">
        <f>'II_Inkunabeln+'!BA352</f>
        <v>0</v>
      </c>
      <c r="AC352" s="108"/>
      <c r="AD352" s="81">
        <f>'II_Inkunabeln+'!BJ352</f>
        <v>0</v>
      </c>
    </row>
    <row r="353" spans="1:30" x14ac:dyDescent="0.25">
      <c r="A353" s="63">
        <f>'II_Inkunabeln+'!A353</f>
        <v>340</v>
      </c>
      <c r="B353" s="63" t="str">
        <f>'II_Inkunabeln+'!B353</f>
        <v>L-1486-315503165</v>
      </c>
      <c r="C353" s="63">
        <f>'II_Inkunabeln+'!C353</f>
        <v>1066972753</v>
      </c>
      <c r="D353" s="84" t="str">
        <f>'II_Inkunabeln+'!D353</f>
        <v>https://portal.dnb.de/opac.htm?method=simpleSearch&amp;cqlMode=true&amp;query=idn%3D1066972753</v>
      </c>
      <c r="E353" s="63" t="str">
        <f>'II_Inkunabeln+'!E353</f>
        <v>II 28,1a</v>
      </c>
      <c r="F353" s="63" t="str">
        <f>'II_Inkunabeln+'!H353</f>
        <v>bis 35 cm</v>
      </c>
      <c r="G353" s="93">
        <f>'II_Inkunabeln+'!AG353</f>
        <v>0</v>
      </c>
      <c r="H353" s="93">
        <f>'II_Inkunabeln+'!AP353</f>
        <v>0</v>
      </c>
      <c r="I353" s="93">
        <f>'II_Inkunabeln+'!AQ353</f>
        <v>0</v>
      </c>
      <c r="J353" s="94"/>
      <c r="K353" s="93">
        <f>'II_Inkunabeln+'!AW353</f>
        <v>0</v>
      </c>
      <c r="L353" s="93">
        <f>'II_Inkunabeln+'!AX353</f>
        <v>0</v>
      </c>
      <c r="AA353" s="93">
        <f>'II_Inkunabeln+'!AY353</f>
        <v>0</v>
      </c>
      <c r="AB353" s="94">
        <f>'II_Inkunabeln+'!BA353</f>
        <v>0</v>
      </c>
      <c r="AC353" s="108"/>
      <c r="AD353" s="81">
        <f>'II_Inkunabeln+'!BJ353</f>
        <v>0</v>
      </c>
    </row>
    <row r="354" spans="1:30" x14ac:dyDescent="0.25">
      <c r="A354" s="63">
        <f>'II_Inkunabeln+'!A354</f>
        <v>341</v>
      </c>
      <c r="B354" s="63" t="str">
        <f>'II_Inkunabeln+'!B354</f>
        <v>L-1478-31549526X</v>
      </c>
      <c r="C354" s="63">
        <f>'II_Inkunabeln+'!C354</f>
        <v>1066965129</v>
      </c>
      <c r="D354" s="84" t="str">
        <f>'II_Inkunabeln+'!D354</f>
        <v>https://portal.dnb.de/opac.htm?method=simpleSearch&amp;cqlMode=true&amp;query=idn%3D1066965129</v>
      </c>
      <c r="E354" s="63" t="str">
        <f>'II_Inkunabeln+'!E354</f>
        <v>II 28,1b</v>
      </c>
      <c r="F354" s="63" t="str">
        <f>'II_Inkunabeln+'!H354</f>
        <v>bis 35 cm</v>
      </c>
      <c r="G354" s="93">
        <f>'II_Inkunabeln+'!AG354</f>
        <v>0</v>
      </c>
      <c r="H354" s="93">
        <f>'II_Inkunabeln+'!AP354</f>
        <v>0</v>
      </c>
      <c r="I354" s="93">
        <f>'II_Inkunabeln+'!AQ354</f>
        <v>0</v>
      </c>
      <c r="J354" s="94"/>
      <c r="K354" s="93">
        <f>'II_Inkunabeln+'!AW354</f>
        <v>0</v>
      </c>
      <c r="L354" s="93">
        <f>'II_Inkunabeln+'!AX354</f>
        <v>0</v>
      </c>
      <c r="AA354" s="93">
        <f>'II_Inkunabeln+'!AY354</f>
        <v>0</v>
      </c>
      <c r="AB354" s="94">
        <f>'II_Inkunabeln+'!BA354</f>
        <v>0</v>
      </c>
      <c r="AC354" s="108"/>
      <c r="AD354" s="81">
        <f>'II_Inkunabeln+'!BJ354</f>
        <v>0</v>
      </c>
    </row>
    <row r="355" spans="1:30" x14ac:dyDescent="0.25">
      <c r="A355" s="63">
        <f>'II_Inkunabeln+'!A355</f>
        <v>342</v>
      </c>
      <c r="B355" s="63" t="str">
        <f>'II_Inkunabeln+'!B355</f>
        <v>L-1476-32685729X</v>
      </c>
      <c r="C355" s="63">
        <f>'II_Inkunabeln+'!C355</f>
        <v>1072061481</v>
      </c>
      <c r="D355" s="84" t="str">
        <f>'II_Inkunabeln+'!D355</f>
        <v>https://portal.dnb.de/opac.htm?method=simpleSearch&amp;cqlMode=true&amp;query=idn%3D1072061481</v>
      </c>
      <c r="E355" s="63" t="str">
        <f>'II_Inkunabeln+'!E355</f>
        <v>II 28,1c</v>
      </c>
      <c r="F355" s="63" t="str">
        <f>'II_Inkunabeln+'!H355</f>
        <v>bis 35 cm</v>
      </c>
      <c r="G355" s="93">
        <f>'II_Inkunabeln+'!AG355</f>
        <v>0</v>
      </c>
      <c r="H355" s="93">
        <f>'II_Inkunabeln+'!AP355</f>
        <v>0</v>
      </c>
      <c r="I355" s="93">
        <f>'II_Inkunabeln+'!AQ355</f>
        <v>0</v>
      </c>
      <c r="J355" s="94"/>
      <c r="K355" s="93">
        <f>'II_Inkunabeln+'!AW355</f>
        <v>0</v>
      </c>
      <c r="L355" s="93">
        <f>'II_Inkunabeln+'!AX355</f>
        <v>0</v>
      </c>
      <c r="AA355" s="93">
        <f>'II_Inkunabeln+'!AY355</f>
        <v>0</v>
      </c>
      <c r="AB355" s="94">
        <f>'II_Inkunabeln+'!BA355</f>
        <v>0</v>
      </c>
      <c r="AC355" s="108"/>
      <c r="AD355" s="81">
        <f>'II_Inkunabeln+'!BJ355</f>
        <v>0</v>
      </c>
    </row>
    <row r="356" spans="1:30" x14ac:dyDescent="0.25">
      <c r="A356" s="63">
        <f>'II_Inkunabeln+'!A356</f>
        <v>343</v>
      </c>
      <c r="B356" s="63" t="str">
        <f>'II_Inkunabeln+'!B356</f>
        <v>L-1478-315499192</v>
      </c>
      <c r="C356" s="63">
        <f>'II_Inkunabeln+'!C356</f>
        <v>1066968918</v>
      </c>
      <c r="D356" s="84" t="str">
        <f>'II_Inkunabeln+'!D356</f>
        <v>https://portal.dnb.de/opac.htm?method=simpleSearch&amp;cqlMode=true&amp;query=idn%3D1066968918</v>
      </c>
      <c r="E356" s="63" t="str">
        <f>'II_Inkunabeln+'!E356</f>
        <v>II 28,1d</v>
      </c>
      <c r="F356" s="63" t="str">
        <f>'II_Inkunabeln+'!H356</f>
        <v>bis 35 cm</v>
      </c>
      <c r="G356" s="93">
        <f>'II_Inkunabeln+'!AG356</f>
        <v>0</v>
      </c>
      <c r="H356" s="93">
        <f>'II_Inkunabeln+'!AP356</f>
        <v>0</v>
      </c>
      <c r="I356" s="93">
        <f>'II_Inkunabeln+'!AQ356</f>
        <v>0</v>
      </c>
      <c r="J356" s="94"/>
      <c r="K356" s="93">
        <f>'II_Inkunabeln+'!AW356</f>
        <v>0</v>
      </c>
      <c r="L356" s="93">
        <f>'II_Inkunabeln+'!AX356</f>
        <v>0</v>
      </c>
      <c r="AA356" s="93">
        <f>'II_Inkunabeln+'!AY356</f>
        <v>0</v>
      </c>
      <c r="AB356" s="94">
        <f>'II_Inkunabeln+'!BA356</f>
        <v>0</v>
      </c>
      <c r="AC356" s="108"/>
      <c r="AD356" s="81">
        <f>'II_Inkunabeln+'!BJ356</f>
        <v>0</v>
      </c>
    </row>
    <row r="357" spans="1:30" x14ac:dyDescent="0.25">
      <c r="A357" s="63">
        <f>'II_Inkunabeln+'!A357</f>
        <v>344</v>
      </c>
      <c r="B357" s="63" t="str">
        <f>'II_Inkunabeln+'!B357</f>
        <v>L-1478-315497815</v>
      </c>
      <c r="C357" s="63">
        <f>'II_Inkunabeln+'!C357</f>
        <v>1066967555</v>
      </c>
      <c r="D357" s="84" t="str">
        <f>'II_Inkunabeln+'!D357</f>
        <v>https://portal.dnb.de/opac.htm?method=simpleSearch&amp;cqlMode=true&amp;query=idn%3D1066967555</v>
      </c>
      <c r="E357" s="63" t="str">
        <f>'II_Inkunabeln+'!E357</f>
        <v>II 28,1e</v>
      </c>
      <c r="F357" s="63" t="str">
        <f>'II_Inkunabeln+'!H357</f>
        <v>bis 35 cm</v>
      </c>
      <c r="G357" s="93">
        <f>'II_Inkunabeln+'!AG357</f>
        <v>0</v>
      </c>
      <c r="H357" s="93">
        <f>'II_Inkunabeln+'!AP357</f>
        <v>0</v>
      </c>
      <c r="I357" s="93">
        <f>'II_Inkunabeln+'!AQ357</f>
        <v>0</v>
      </c>
      <c r="J357" s="94"/>
      <c r="K357" s="93">
        <f>'II_Inkunabeln+'!AW357</f>
        <v>0</v>
      </c>
      <c r="L357" s="93">
        <f>'II_Inkunabeln+'!AX357</f>
        <v>0</v>
      </c>
      <c r="AA357" s="93">
        <f>'II_Inkunabeln+'!AY357</f>
        <v>0</v>
      </c>
      <c r="AB357" s="94">
        <f>'II_Inkunabeln+'!BA357</f>
        <v>0</v>
      </c>
      <c r="AC357" s="108"/>
      <c r="AD357" s="81">
        <f>'II_Inkunabeln+'!BJ357</f>
        <v>0</v>
      </c>
    </row>
    <row r="358" spans="1:30" x14ac:dyDescent="0.25">
      <c r="A358" s="63">
        <f>'II_Inkunabeln+'!A358</f>
        <v>345</v>
      </c>
      <c r="B358" s="63" t="str">
        <f>'II_Inkunabeln+'!B358</f>
        <v>L-1496-315502681</v>
      </c>
      <c r="C358" s="63">
        <f>'II_Inkunabeln+'!C358</f>
        <v>1066972265</v>
      </c>
      <c r="D358" s="84" t="str">
        <f>'II_Inkunabeln+'!D358</f>
        <v>https://portal.dnb.de/opac.htm?method=simpleSearch&amp;cqlMode=true&amp;query=idn%3D1066972265</v>
      </c>
      <c r="E358" s="63" t="str">
        <f>'II_Inkunabeln+'!E358</f>
        <v>II 28,1f</v>
      </c>
      <c r="F358" s="63">
        <f>'II_Inkunabeln+'!H358</f>
        <v>0</v>
      </c>
      <c r="G358" s="93">
        <f>'II_Inkunabeln+'!AG358</f>
        <v>0</v>
      </c>
      <c r="H358" s="93">
        <f>'II_Inkunabeln+'!AP358</f>
        <v>0</v>
      </c>
      <c r="I358" s="93">
        <f>'II_Inkunabeln+'!AQ358</f>
        <v>0</v>
      </c>
      <c r="J358" s="94"/>
      <c r="K358" s="93">
        <f>'II_Inkunabeln+'!AW358</f>
        <v>0</v>
      </c>
      <c r="L358" s="93">
        <f>'II_Inkunabeln+'!AX358</f>
        <v>0</v>
      </c>
      <c r="AA358" s="93">
        <f>'II_Inkunabeln+'!AY358</f>
        <v>0</v>
      </c>
      <c r="AB358" s="94">
        <f>'II_Inkunabeln+'!BA358</f>
        <v>0</v>
      </c>
      <c r="AC358" s="108"/>
      <c r="AD358" s="81">
        <f>'II_Inkunabeln+'!BJ358</f>
        <v>0</v>
      </c>
    </row>
    <row r="359" spans="1:30" x14ac:dyDescent="0.25">
      <c r="A359" s="63">
        <f>'II_Inkunabeln+'!A359</f>
        <v>346</v>
      </c>
      <c r="B359" s="63" t="str">
        <f>'II_Inkunabeln+'!B359</f>
        <v>L-1482-315501391</v>
      </c>
      <c r="C359" s="63" t="str">
        <f>'II_Inkunabeln+'!C359</f>
        <v>106697103X</v>
      </c>
      <c r="D359" s="84" t="str">
        <f>'II_Inkunabeln+'!D359</f>
        <v>https://portal.dnb.de/opac.htm?method=simpleSearch&amp;cqlMode=true&amp;query=idn%3D106697103X</v>
      </c>
      <c r="E359" s="63" t="str">
        <f>'II_Inkunabeln+'!E359</f>
        <v>II 28,2a</v>
      </c>
      <c r="F359" s="63">
        <f>'II_Inkunabeln+'!H359</f>
        <v>0</v>
      </c>
      <c r="G359" s="93">
        <f>'II_Inkunabeln+'!AG359</f>
        <v>0</v>
      </c>
      <c r="H359" s="93">
        <f>'II_Inkunabeln+'!AP359</f>
        <v>0</v>
      </c>
      <c r="I359" s="93">
        <f>'II_Inkunabeln+'!AQ359</f>
        <v>0</v>
      </c>
      <c r="J359" s="94"/>
      <c r="K359" s="93">
        <f>'II_Inkunabeln+'!AW359</f>
        <v>0</v>
      </c>
      <c r="L359" s="93">
        <f>'II_Inkunabeln+'!AX359</f>
        <v>0</v>
      </c>
      <c r="AA359" s="93">
        <f>'II_Inkunabeln+'!AY359</f>
        <v>0</v>
      </c>
      <c r="AB359" s="94">
        <f>'II_Inkunabeln+'!BA359</f>
        <v>0</v>
      </c>
      <c r="AC359" s="108"/>
      <c r="AD359" s="81">
        <f>'II_Inkunabeln+'!BJ359</f>
        <v>0</v>
      </c>
    </row>
    <row r="360" spans="1:30" x14ac:dyDescent="0.25">
      <c r="A360" s="63">
        <f>'II_Inkunabeln+'!A360</f>
        <v>347</v>
      </c>
      <c r="B360" s="63" t="str">
        <f>'II_Inkunabeln+'!B360</f>
        <v>L-1488-315497033</v>
      </c>
      <c r="C360" s="63">
        <f>'II_Inkunabeln+'!C360</f>
        <v>1066966737</v>
      </c>
      <c r="D360" s="84" t="str">
        <f>'II_Inkunabeln+'!D360</f>
        <v>https://portal.dnb.de/opac.htm?method=simpleSearch&amp;cqlMode=true&amp;query=idn%3D1066966737</v>
      </c>
      <c r="E360" s="63" t="str">
        <f>'II_Inkunabeln+'!E360</f>
        <v>II 28,2b</v>
      </c>
      <c r="F360" s="63">
        <f>'II_Inkunabeln+'!H360</f>
        <v>0</v>
      </c>
      <c r="G360" s="93">
        <f>'II_Inkunabeln+'!AG360</f>
        <v>0</v>
      </c>
      <c r="H360" s="93">
        <f>'II_Inkunabeln+'!AP360</f>
        <v>0</v>
      </c>
      <c r="I360" s="93">
        <f>'II_Inkunabeln+'!AQ360</f>
        <v>0</v>
      </c>
      <c r="J360" s="94"/>
      <c r="K360" s="93">
        <f>'II_Inkunabeln+'!AW360</f>
        <v>0</v>
      </c>
      <c r="L360" s="93">
        <f>'II_Inkunabeln+'!AX360</f>
        <v>0</v>
      </c>
      <c r="AA360" s="93">
        <f>'II_Inkunabeln+'!AY360</f>
        <v>0</v>
      </c>
      <c r="AB360" s="94">
        <f>'II_Inkunabeln+'!BA360</f>
        <v>0</v>
      </c>
      <c r="AC360" s="108"/>
      <c r="AD360" s="81">
        <f>'II_Inkunabeln+'!BJ360</f>
        <v>0</v>
      </c>
    </row>
    <row r="361" spans="1:30" x14ac:dyDescent="0.25">
      <c r="A361" s="63">
        <f>'II_Inkunabeln+'!A361</f>
        <v>348</v>
      </c>
      <c r="B361" s="63" t="str">
        <f>'II_Inkunabeln+'!B361</f>
        <v>L-1481-315497866</v>
      </c>
      <c r="C361" s="63" t="str">
        <f>'II_Inkunabeln+'!C361</f>
        <v>106696761X</v>
      </c>
      <c r="D361" s="84" t="str">
        <f>'II_Inkunabeln+'!D361</f>
        <v>https://portal.dnb.de/opac.htm?method=simpleSearch&amp;cqlMode=true&amp;query=idn%3D106696761X</v>
      </c>
      <c r="E361" s="63" t="str">
        <f>'II_Inkunabeln+'!E361</f>
        <v>II 28,2c</v>
      </c>
      <c r="F361" s="63" t="str">
        <f>'II_Inkunabeln+'!H361</f>
        <v>bis 42 cm</v>
      </c>
      <c r="G361" s="93">
        <f>'II_Inkunabeln+'!AG361</f>
        <v>0</v>
      </c>
      <c r="H361" s="93">
        <f>'II_Inkunabeln+'!AP361</f>
        <v>0</v>
      </c>
      <c r="I361" s="93">
        <f>'II_Inkunabeln+'!AQ361</f>
        <v>0</v>
      </c>
      <c r="J361" s="94"/>
      <c r="K361" s="93">
        <f>'II_Inkunabeln+'!AW361</f>
        <v>0</v>
      </c>
      <c r="L361" s="93">
        <f>'II_Inkunabeln+'!AX361</f>
        <v>0</v>
      </c>
      <c r="AA361" s="93">
        <f>'II_Inkunabeln+'!AY361</f>
        <v>0</v>
      </c>
      <c r="AB361" s="94">
        <f>'II_Inkunabeln+'!BA361</f>
        <v>0</v>
      </c>
      <c r="AC361" s="108"/>
      <c r="AD361" s="81">
        <f>'II_Inkunabeln+'!BJ361</f>
        <v>0</v>
      </c>
    </row>
    <row r="362" spans="1:30" x14ac:dyDescent="0.25">
      <c r="A362" s="63">
        <f>'II_Inkunabeln+'!A362</f>
        <v>349</v>
      </c>
      <c r="B362" s="63" t="str">
        <f>'II_Inkunabeln+'!B362</f>
        <v>L-1479-315501626</v>
      </c>
      <c r="C362" s="63">
        <f>'II_Inkunabeln+'!C362</f>
        <v>1066971250</v>
      </c>
      <c r="D362" s="84" t="str">
        <f>'II_Inkunabeln+'!D362</f>
        <v>https://portal.dnb.de/opac.htm?method=simpleSearch&amp;cqlMode=true&amp;query=idn%3D1066971250</v>
      </c>
      <c r="E362" s="63" t="str">
        <f>'II_Inkunabeln+'!E362</f>
        <v>II 28,2d</v>
      </c>
      <c r="F362" s="63">
        <f>'II_Inkunabeln+'!H362</f>
        <v>0</v>
      </c>
      <c r="G362" s="93">
        <f>'II_Inkunabeln+'!AG362</f>
        <v>0</v>
      </c>
      <c r="H362" s="93">
        <f>'II_Inkunabeln+'!AP362</f>
        <v>0</v>
      </c>
      <c r="I362" s="93">
        <f>'II_Inkunabeln+'!AQ362</f>
        <v>0</v>
      </c>
      <c r="J362" s="94"/>
      <c r="K362" s="93">
        <f>'II_Inkunabeln+'!AW362</f>
        <v>0</v>
      </c>
      <c r="L362" s="93">
        <f>'II_Inkunabeln+'!AX362</f>
        <v>0</v>
      </c>
      <c r="AA362" s="93">
        <f>'II_Inkunabeln+'!AY362</f>
        <v>0</v>
      </c>
      <c r="AB362" s="94">
        <f>'II_Inkunabeln+'!BA362</f>
        <v>0</v>
      </c>
      <c r="AC362" s="108"/>
      <c r="AD362" s="81">
        <f>'II_Inkunabeln+'!BJ362</f>
        <v>0</v>
      </c>
    </row>
    <row r="363" spans="1:30" x14ac:dyDescent="0.25">
      <c r="A363" s="63">
        <f>'II_Inkunabeln+'!A363</f>
        <v>350</v>
      </c>
      <c r="B363" s="63" t="str">
        <f>'II_Inkunabeln+'!B363</f>
        <v>L-1482-315502649</v>
      </c>
      <c r="C363" s="63">
        <f>'II_Inkunabeln+'!C363</f>
        <v>1066972222</v>
      </c>
      <c r="D363" s="84" t="str">
        <f>'II_Inkunabeln+'!D363</f>
        <v>https://portal.dnb.de/opac.htm?method=simpleSearch&amp;cqlMode=true&amp;query=idn%3D1066972222</v>
      </c>
      <c r="E363" s="63" t="str">
        <f>'II_Inkunabeln+'!E363</f>
        <v>II 28,2e</v>
      </c>
      <c r="F363" s="63" t="str">
        <f>'II_Inkunabeln+'!H363</f>
        <v>bis 35 cm</v>
      </c>
      <c r="G363" s="93">
        <f>'II_Inkunabeln+'!AG363</f>
        <v>0</v>
      </c>
      <c r="H363" s="93">
        <f>'II_Inkunabeln+'!AP363</f>
        <v>0</v>
      </c>
      <c r="I363" s="93">
        <f>'II_Inkunabeln+'!AQ363</f>
        <v>0</v>
      </c>
      <c r="J363" s="94"/>
      <c r="K363" s="93">
        <f>'II_Inkunabeln+'!AW363</f>
        <v>0</v>
      </c>
      <c r="L363" s="93">
        <f>'II_Inkunabeln+'!AX363</f>
        <v>0</v>
      </c>
      <c r="AA363" s="93">
        <f>'II_Inkunabeln+'!AY363</f>
        <v>0</v>
      </c>
      <c r="AB363" s="94">
        <f>'II_Inkunabeln+'!BA363</f>
        <v>0</v>
      </c>
      <c r="AC363" s="108"/>
      <c r="AD363" s="81">
        <f>'II_Inkunabeln+'!BJ363</f>
        <v>0</v>
      </c>
    </row>
    <row r="364" spans="1:30" x14ac:dyDescent="0.25">
      <c r="A364" s="63">
        <f>'II_Inkunabeln+'!A364</f>
        <v>351</v>
      </c>
      <c r="B364" s="63" t="str">
        <f>'II_Inkunabeln+'!B364</f>
        <v>L-1489-315503564</v>
      </c>
      <c r="C364" s="63">
        <f>'II_Inkunabeln+'!C364</f>
        <v>1066973172</v>
      </c>
      <c r="D364" s="84" t="str">
        <f>'II_Inkunabeln+'!D364</f>
        <v>https://portal.dnb.de/opac.htm?method=simpleSearch&amp;cqlMode=true&amp;query=idn%3D1066973172</v>
      </c>
      <c r="E364" s="63" t="str">
        <f>'II_Inkunabeln+'!E364</f>
        <v>II 28,2f</v>
      </c>
      <c r="F364" s="63">
        <f>'II_Inkunabeln+'!H364</f>
        <v>0</v>
      </c>
      <c r="G364" s="93">
        <f>'II_Inkunabeln+'!AG364</f>
        <v>0</v>
      </c>
      <c r="H364" s="93">
        <f>'II_Inkunabeln+'!AP364</f>
        <v>0</v>
      </c>
      <c r="I364" s="93">
        <f>'II_Inkunabeln+'!AQ364</f>
        <v>0</v>
      </c>
      <c r="J364" s="94"/>
      <c r="K364" s="93">
        <f>'II_Inkunabeln+'!AW364</f>
        <v>0</v>
      </c>
      <c r="L364" s="93">
        <f>'II_Inkunabeln+'!AX364</f>
        <v>0</v>
      </c>
      <c r="AA364" s="93">
        <f>'II_Inkunabeln+'!AY364</f>
        <v>0</v>
      </c>
      <c r="AB364" s="94">
        <f>'II_Inkunabeln+'!BA364</f>
        <v>0</v>
      </c>
      <c r="AC364" s="108"/>
      <c r="AD364" s="81">
        <f>'II_Inkunabeln+'!BJ364</f>
        <v>0</v>
      </c>
    </row>
    <row r="365" spans="1:30" x14ac:dyDescent="0.25">
      <c r="A365" s="63">
        <f>'II_Inkunabeln+'!A365</f>
        <v>352</v>
      </c>
      <c r="B365" s="63" t="str">
        <f>'II_Inkunabeln+'!B365</f>
        <v>L-1473-315503726</v>
      </c>
      <c r="C365" s="63">
        <f>'II_Inkunabeln+'!C365</f>
        <v>1066973350</v>
      </c>
      <c r="D365" s="84" t="str">
        <f>'II_Inkunabeln+'!D365</f>
        <v>https://portal.dnb.de/opac.htm?method=simpleSearch&amp;cqlMode=true&amp;query=idn%3D1066973350</v>
      </c>
      <c r="E365" s="63" t="str">
        <f>'II_Inkunabeln+'!E365</f>
        <v>II 29,1a</v>
      </c>
      <c r="F365" s="63" t="str">
        <f>'II_Inkunabeln+'!H365</f>
        <v>bis 35 cm</v>
      </c>
      <c r="G365" s="93">
        <f>'II_Inkunabeln+'!AG365</f>
        <v>0</v>
      </c>
      <c r="H365" s="93">
        <f>'II_Inkunabeln+'!AP365</f>
        <v>0</v>
      </c>
      <c r="I365" s="93">
        <f>'II_Inkunabeln+'!AQ365</f>
        <v>0</v>
      </c>
      <c r="J365" s="94"/>
      <c r="K365" s="93">
        <f>'II_Inkunabeln+'!AW365</f>
        <v>0</v>
      </c>
      <c r="L365" s="93">
        <f>'II_Inkunabeln+'!AX365</f>
        <v>0</v>
      </c>
      <c r="AA365" s="93">
        <f>'II_Inkunabeln+'!AY365</f>
        <v>0</v>
      </c>
      <c r="AB365" s="94">
        <f>'II_Inkunabeln+'!BA365</f>
        <v>0</v>
      </c>
      <c r="AC365" s="108"/>
      <c r="AD365" s="81">
        <f>'II_Inkunabeln+'!BJ365</f>
        <v>0</v>
      </c>
    </row>
    <row r="366" spans="1:30" x14ac:dyDescent="0.25">
      <c r="A366" s="63">
        <f>'II_Inkunabeln+'!A366</f>
        <v>353</v>
      </c>
      <c r="B366" s="63" t="str">
        <f>'II_Inkunabeln+'!B366</f>
        <v>L-1472-315494913</v>
      </c>
      <c r="C366" s="63">
        <f>'II_Inkunabeln+'!C366</f>
        <v>1066964696</v>
      </c>
      <c r="D366" s="84" t="str">
        <f>'II_Inkunabeln+'!D366</f>
        <v>https://portal.dnb.de/opac.htm?method=simpleSearch&amp;cqlMode=true&amp;query=idn%3D1066964696</v>
      </c>
      <c r="E366" s="63" t="str">
        <f>'II_Inkunabeln+'!E366</f>
        <v>II 29,1b</v>
      </c>
      <c r="F366" s="63">
        <f>'II_Inkunabeln+'!H366</f>
        <v>0</v>
      </c>
      <c r="G366" s="93">
        <f>'II_Inkunabeln+'!AG366</f>
        <v>0</v>
      </c>
      <c r="H366" s="93">
        <f>'II_Inkunabeln+'!AP366</f>
        <v>0</v>
      </c>
      <c r="I366" s="93">
        <f>'II_Inkunabeln+'!AQ366</f>
        <v>0</v>
      </c>
      <c r="J366" s="94"/>
      <c r="K366" s="93">
        <f>'II_Inkunabeln+'!AW366</f>
        <v>0</v>
      </c>
      <c r="L366" s="93">
        <f>'II_Inkunabeln+'!AX366</f>
        <v>0</v>
      </c>
      <c r="AA366" s="93">
        <f>'II_Inkunabeln+'!AY366</f>
        <v>0</v>
      </c>
      <c r="AB366" s="94">
        <f>'II_Inkunabeln+'!BA366</f>
        <v>0</v>
      </c>
      <c r="AC366" s="108"/>
      <c r="AD366" s="81">
        <f>'II_Inkunabeln+'!BJ366</f>
        <v>0</v>
      </c>
    </row>
    <row r="367" spans="1:30" x14ac:dyDescent="0.25">
      <c r="A367" s="63">
        <f>'II_Inkunabeln+'!A367</f>
        <v>354</v>
      </c>
      <c r="B367" s="63" t="str">
        <f>'II_Inkunabeln+'!B367</f>
        <v>L-1477-31550014X</v>
      </c>
      <c r="C367" s="63">
        <f>'II_Inkunabeln+'!C367</f>
        <v>1066969809</v>
      </c>
      <c r="D367" s="84" t="str">
        <f>'II_Inkunabeln+'!D367</f>
        <v>https://portal.dnb.de/opac.htm?method=simpleSearch&amp;cqlMode=true&amp;query=idn%3D1066969809</v>
      </c>
      <c r="E367" s="63" t="str">
        <f>'II_Inkunabeln+'!E367</f>
        <v>II 29,2a</v>
      </c>
      <c r="F367" s="63" t="str">
        <f>'II_Inkunabeln+'!H367</f>
        <v>bis 35 cm</v>
      </c>
      <c r="G367" s="93">
        <f>'II_Inkunabeln+'!AG367</f>
        <v>0</v>
      </c>
      <c r="H367" s="93">
        <f>'II_Inkunabeln+'!AP367</f>
        <v>0</v>
      </c>
      <c r="I367" s="93">
        <f>'II_Inkunabeln+'!AQ367</f>
        <v>0</v>
      </c>
      <c r="J367" s="94"/>
      <c r="K367" s="93">
        <f>'II_Inkunabeln+'!AW367</f>
        <v>0</v>
      </c>
      <c r="L367" s="93">
        <f>'II_Inkunabeln+'!AX367</f>
        <v>0</v>
      </c>
      <c r="AA367" s="93">
        <f>'II_Inkunabeln+'!AY367</f>
        <v>0</v>
      </c>
      <c r="AB367" s="94">
        <f>'II_Inkunabeln+'!BA367</f>
        <v>0</v>
      </c>
      <c r="AC367" s="108"/>
      <c r="AD367" s="81">
        <f>'II_Inkunabeln+'!BJ367</f>
        <v>0</v>
      </c>
    </row>
    <row r="368" spans="1:30" x14ac:dyDescent="0.25">
      <c r="A368" s="63">
        <f>'II_Inkunabeln+'!A368</f>
        <v>355</v>
      </c>
      <c r="B368" s="63" t="str">
        <f>'II_Inkunabeln+'!B368</f>
        <v>L-1477-315495618</v>
      </c>
      <c r="C368" s="63">
        <f>'II_Inkunabeln+'!C368</f>
        <v>1066965404</v>
      </c>
      <c r="D368" s="84" t="str">
        <f>'II_Inkunabeln+'!D368</f>
        <v>https://portal.dnb.de/opac.htm?method=simpleSearch&amp;cqlMode=true&amp;query=idn%3D1066965404</v>
      </c>
      <c r="E368" s="63" t="str">
        <f>'II_Inkunabeln+'!E368</f>
        <v>II 29,2b</v>
      </c>
      <c r="F368" s="63" t="str">
        <f>'II_Inkunabeln+'!H368</f>
        <v>bis 42 cm</v>
      </c>
      <c r="G368" s="93">
        <f>'II_Inkunabeln+'!AG368</f>
        <v>0</v>
      </c>
      <c r="H368" s="93">
        <f>'II_Inkunabeln+'!AP368</f>
        <v>0</v>
      </c>
      <c r="I368" s="93">
        <f>'II_Inkunabeln+'!AQ368</f>
        <v>0</v>
      </c>
      <c r="J368" s="94"/>
      <c r="K368" s="93">
        <f>'II_Inkunabeln+'!AW368</f>
        <v>0</v>
      </c>
      <c r="L368" s="93">
        <f>'II_Inkunabeln+'!AX368</f>
        <v>0</v>
      </c>
      <c r="AA368" s="93">
        <f>'II_Inkunabeln+'!AY368</f>
        <v>0</v>
      </c>
      <c r="AB368" s="94">
        <f>'II_Inkunabeln+'!BA368</f>
        <v>0</v>
      </c>
      <c r="AC368" s="108"/>
      <c r="AD368" s="81">
        <f>'II_Inkunabeln+'!BJ368</f>
        <v>0</v>
      </c>
    </row>
    <row r="369" spans="1:30" x14ac:dyDescent="0.25">
      <c r="A369" s="63">
        <f>'II_Inkunabeln+'!A369</f>
        <v>356</v>
      </c>
      <c r="B369" s="63" t="str">
        <f>'II_Inkunabeln+'!B369</f>
        <v>L-1477-315502460</v>
      </c>
      <c r="C369" s="63">
        <f>'II_Inkunabeln+'!C369</f>
        <v>1066972044</v>
      </c>
      <c r="D369" s="84" t="str">
        <f>'II_Inkunabeln+'!D369</f>
        <v>https://portal.dnb.de/opac.htm?method=simpleSearch&amp;cqlMode=true&amp;query=idn%3D1066972044</v>
      </c>
      <c r="E369" s="63" t="str">
        <f>'II_Inkunabeln+'!E369</f>
        <v>II 29,2c</v>
      </c>
      <c r="F369" s="63">
        <f>'II_Inkunabeln+'!H369</f>
        <v>0</v>
      </c>
      <c r="G369" s="93">
        <f>'II_Inkunabeln+'!AG369</f>
        <v>0</v>
      </c>
      <c r="H369" s="93">
        <f>'II_Inkunabeln+'!AP369</f>
        <v>0</v>
      </c>
      <c r="I369" s="93">
        <f>'II_Inkunabeln+'!AQ369</f>
        <v>0</v>
      </c>
      <c r="J369" s="94"/>
      <c r="K369" s="93">
        <f>'II_Inkunabeln+'!AW369</f>
        <v>0</v>
      </c>
      <c r="L369" s="93">
        <f>'II_Inkunabeln+'!AX369</f>
        <v>0</v>
      </c>
      <c r="AA369" s="93">
        <f>'II_Inkunabeln+'!AY369</f>
        <v>0</v>
      </c>
      <c r="AB369" s="94">
        <f>'II_Inkunabeln+'!BA369</f>
        <v>0</v>
      </c>
      <c r="AC369" s="108"/>
      <c r="AD369" s="81">
        <f>'II_Inkunabeln+'!BJ369</f>
        <v>0</v>
      </c>
    </row>
    <row r="370" spans="1:30" x14ac:dyDescent="0.25">
      <c r="A370" s="63">
        <f>'II_Inkunabeln+'!A370</f>
        <v>357</v>
      </c>
      <c r="B370" s="63" t="str">
        <f>'II_Inkunabeln+'!B370</f>
        <v>L-1479-315500964</v>
      </c>
      <c r="C370" s="63">
        <f>'II_Inkunabeln+'!C370</f>
        <v>1066970602</v>
      </c>
      <c r="D370" s="84" t="str">
        <f>'II_Inkunabeln+'!D370</f>
        <v>https://portal.dnb.de/opac.htm?method=simpleSearch&amp;cqlMode=true&amp;query=idn%3D1066970602</v>
      </c>
      <c r="E370" s="63" t="str">
        <f>'II_Inkunabeln+'!E370</f>
        <v>II 29,2d</v>
      </c>
      <c r="F370" s="63" t="str">
        <f>'II_Inkunabeln+'!H370</f>
        <v>bis 42 cm</v>
      </c>
      <c r="G370" s="93">
        <f>'II_Inkunabeln+'!AG370</f>
        <v>0</v>
      </c>
      <c r="H370" s="93">
        <f>'II_Inkunabeln+'!AP370</f>
        <v>0</v>
      </c>
      <c r="I370" s="93">
        <f>'II_Inkunabeln+'!AQ370</f>
        <v>0</v>
      </c>
      <c r="J370" s="94"/>
      <c r="K370" s="93">
        <f>'II_Inkunabeln+'!AW370</f>
        <v>0</v>
      </c>
      <c r="L370" s="93">
        <f>'II_Inkunabeln+'!AX370</f>
        <v>0</v>
      </c>
      <c r="AA370" s="93">
        <f>'II_Inkunabeln+'!AY370</f>
        <v>0</v>
      </c>
      <c r="AB370" s="94">
        <f>'II_Inkunabeln+'!BA370</f>
        <v>0</v>
      </c>
      <c r="AC370" s="108"/>
      <c r="AD370" s="81">
        <f>'II_Inkunabeln+'!BJ370</f>
        <v>0</v>
      </c>
    </row>
    <row r="371" spans="1:30" x14ac:dyDescent="0.25">
      <c r="A371" s="63">
        <f>'II_Inkunabeln+'!A371</f>
        <v>358</v>
      </c>
      <c r="B371" s="63" t="str">
        <f>'II_Inkunabeln+'!B371</f>
        <v>L-1480-315501812</v>
      </c>
      <c r="C371" s="63">
        <f>'II_Inkunabeln+'!C371</f>
        <v>1066971447</v>
      </c>
      <c r="D371" s="84" t="str">
        <f>'II_Inkunabeln+'!D371</f>
        <v>https://portal.dnb.de/opac.htm?method=simpleSearch&amp;cqlMode=true&amp;query=idn%3D1066971447</v>
      </c>
      <c r="E371" s="63" t="str">
        <f>'II_Inkunabeln+'!E371</f>
        <v>II 29,2e</v>
      </c>
      <c r="F371" s="63" t="str">
        <f>'II_Inkunabeln+'!H371</f>
        <v>bis 42 cm</v>
      </c>
      <c r="G371" s="93">
        <f>'II_Inkunabeln+'!AG371</f>
        <v>0</v>
      </c>
      <c r="H371" s="93">
        <f>'II_Inkunabeln+'!AP371</f>
        <v>0</v>
      </c>
      <c r="I371" s="93">
        <f>'II_Inkunabeln+'!AQ371</f>
        <v>0</v>
      </c>
      <c r="J371" s="94"/>
      <c r="K371" s="93">
        <f>'II_Inkunabeln+'!AW371</f>
        <v>0</v>
      </c>
      <c r="L371" s="93">
        <f>'II_Inkunabeln+'!AX371</f>
        <v>0</v>
      </c>
      <c r="AA371" s="93">
        <f>'II_Inkunabeln+'!AY371</f>
        <v>0</v>
      </c>
      <c r="AB371" s="94">
        <f>'II_Inkunabeln+'!BA371</f>
        <v>0</v>
      </c>
      <c r="AC371" s="108"/>
      <c r="AD371" s="81">
        <f>'II_Inkunabeln+'!BJ371</f>
        <v>0</v>
      </c>
    </row>
    <row r="372" spans="1:30" x14ac:dyDescent="0.25">
      <c r="A372" s="63">
        <f>'II_Inkunabeln+'!A372</f>
        <v>359</v>
      </c>
      <c r="B372" s="63" t="str">
        <f>'II_Inkunabeln+'!B372</f>
        <v>L-1480-315501820</v>
      </c>
      <c r="C372" s="63">
        <f>'II_Inkunabeln+'!C372</f>
        <v>1066971447</v>
      </c>
      <c r="D372" s="84" t="str">
        <f>'II_Inkunabeln+'!D372</f>
        <v>https://portal.dnb.de/opac.htm?method=simpleSearch&amp;cqlMode=true&amp;query=idn%3D1066971447</v>
      </c>
      <c r="E372" s="63" t="str">
        <f>'II_Inkunabeln+'!E372</f>
        <v>II 29,2ea - Fragm.</v>
      </c>
      <c r="F372" s="63">
        <f>'II_Inkunabeln+'!H372</f>
        <v>0</v>
      </c>
      <c r="G372" s="93">
        <f>'II_Inkunabeln+'!AG372</f>
        <v>0</v>
      </c>
      <c r="H372" s="93">
        <f>'II_Inkunabeln+'!AP372</f>
        <v>0</v>
      </c>
      <c r="I372" s="93">
        <f>'II_Inkunabeln+'!AQ372</f>
        <v>0</v>
      </c>
      <c r="J372" s="94"/>
      <c r="K372" s="93">
        <f>'II_Inkunabeln+'!AW372</f>
        <v>0</v>
      </c>
      <c r="L372" s="93">
        <f>'II_Inkunabeln+'!AX372</f>
        <v>0</v>
      </c>
      <c r="AA372" s="93">
        <f>'II_Inkunabeln+'!AY372</f>
        <v>0</v>
      </c>
      <c r="AB372" s="94">
        <f>'II_Inkunabeln+'!BA372</f>
        <v>0</v>
      </c>
      <c r="AC372" s="108"/>
      <c r="AD372" s="81">
        <f>'II_Inkunabeln+'!BJ372</f>
        <v>0</v>
      </c>
    </row>
    <row r="373" spans="1:30" x14ac:dyDescent="0.25">
      <c r="A373" s="63">
        <f>'II_Inkunabeln+'!A373</f>
        <v>360</v>
      </c>
      <c r="B373" s="63" t="str">
        <f>'II_Inkunabeln+'!B373</f>
        <v>L-1489-315496797</v>
      </c>
      <c r="C373" s="63">
        <f>'II_Inkunabeln+'!C373</f>
        <v>1066966508</v>
      </c>
      <c r="D373" s="84" t="str">
        <f>'II_Inkunabeln+'!D373</f>
        <v>https://portal.dnb.de/opac.htm?method=simpleSearch&amp;cqlMode=true&amp;query=idn%3D1066966508</v>
      </c>
      <c r="E373" s="63" t="str">
        <f>'II_Inkunabeln+'!E373</f>
        <v>II 29,2f</v>
      </c>
      <c r="F373" s="63">
        <f>'II_Inkunabeln+'!H373</f>
        <v>0</v>
      </c>
      <c r="G373" s="93">
        <f>'II_Inkunabeln+'!AG373</f>
        <v>0</v>
      </c>
      <c r="H373" s="93">
        <f>'II_Inkunabeln+'!AP373</f>
        <v>0</v>
      </c>
      <c r="I373" s="93">
        <f>'II_Inkunabeln+'!AQ373</f>
        <v>0</v>
      </c>
      <c r="J373" s="94"/>
      <c r="K373" s="93">
        <f>'II_Inkunabeln+'!AW373</f>
        <v>0</v>
      </c>
      <c r="L373" s="93">
        <f>'II_Inkunabeln+'!AX373</f>
        <v>0</v>
      </c>
      <c r="AA373" s="93">
        <f>'II_Inkunabeln+'!AY373</f>
        <v>0</v>
      </c>
      <c r="AB373" s="94">
        <f>'II_Inkunabeln+'!BA373</f>
        <v>0</v>
      </c>
      <c r="AC373" s="108"/>
      <c r="AD373" s="81">
        <f>'II_Inkunabeln+'!BJ373</f>
        <v>0</v>
      </c>
    </row>
    <row r="374" spans="1:30" x14ac:dyDescent="0.25">
      <c r="A374" s="63">
        <f>'II_Inkunabeln+'!A374</f>
        <v>361</v>
      </c>
      <c r="B374" s="63" t="str">
        <f>'II_Inkunabeln+'!B374</f>
        <v>L-1475-315494875</v>
      </c>
      <c r="C374" s="63">
        <f>'II_Inkunabeln+'!C374</f>
        <v>1066964645</v>
      </c>
      <c r="D374" s="84" t="str">
        <f>'II_Inkunabeln+'!D374</f>
        <v>https://portal.dnb.de/opac.htm?method=simpleSearch&amp;cqlMode=true&amp;query=idn%3D1066964645</v>
      </c>
      <c r="E374" s="63" t="str">
        <f>'II_Inkunabeln+'!E374</f>
        <v>II 29,2g</v>
      </c>
      <c r="F374" s="63" t="str">
        <f>'II_Inkunabeln+'!H374</f>
        <v>bis 25 cm</v>
      </c>
      <c r="G374" s="93">
        <f>'II_Inkunabeln+'!AG374</f>
        <v>0</v>
      </c>
      <c r="H374" s="93">
        <f>'II_Inkunabeln+'!AP374</f>
        <v>0</v>
      </c>
      <c r="I374" s="93">
        <f>'II_Inkunabeln+'!AQ374</f>
        <v>0</v>
      </c>
      <c r="J374" s="94"/>
      <c r="K374" s="93">
        <f>'II_Inkunabeln+'!AW374</f>
        <v>0</v>
      </c>
      <c r="L374" s="93">
        <f>'II_Inkunabeln+'!AX374</f>
        <v>0</v>
      </c>
      <c r="AA374" s="93">
        <f>'II_Inkunabeln+'!AY374</f>
        <v>0</v>
      </c>
      <c r="AB374" s="94">
        <f>'II_Inkunabeln+'!BA374</f>
        <v>0</v>
      </c>
      <c r="AC374" s="108"/>
      <c r="AD374" s="81">
        <f>'II_Inkunabeln+'!BJ374</f>
        <v>0</v>
      </c>
    </row>
    <row r="375" spans="1:30" x14ac:dyDescent="0.25">
      <c r="A375" s="63">
        <f>'II_Inkunabeln+'!A375</f>
        <v>362</v>
      </c>
      <c r="B375" s="63" t="str">
        <f>'II_Inkunabeln+'!B375</f>
        <v>L-1476-31549820X</v>
      </c>
      <c r="C375" s="63">
        <f>'II_Inkunabeln+'!C375</f>
        <v>1066967938</v>
      </c>
      <c r="D375" s="84" t="str">
        <f>'II_Inkunabeln+'!D375</f>
        <v>https://portal.dnb.de/opac.htm?method=simpleSearch&amp;cqlMode=true&amp;query=idn%3D1066967938</v>
      </c>
      <c r="E375" s="63" t="str">
        <f>'II_Inkunabeln+'!E375</f>
        <v>II 29,2h</v>
      </c>
      <c r="F375" s="63" t="str">
        <f>'II_Inkunabeln+'!H375</f>
        <v>bis 35 cm</v>
      </c>
      <c r="G375" s="93">
        <f>'II_Inkunabeln+'!AG375</f>
        <v>0</v>
      </c>
      <c r="H375" s="93">
        <f>'II_Inkunabeln+'!AP375</f>
        <v>0</v>
      </c>
      <c r="I375" s="93">
        <f>'II_Inkunabeln+'!AQ375</f>
        <v>0</v>
      </c>
      <c r="J375" s="94"/>
      <c r="K375" s="93">
        <f>'II_Inkunabeln+'!AW375</f>
        <v>0</v>
      </c>
      <c r="L375" s="93">
        <f>'II_Inkunabeln+'!AX375</f>
        <v>0</v>
      </c>
      <c r="AA375" s="93">
        <f>'II_Inkunabeln+'!AY375</f>
        <v>0</v>
      </c>
      <c r="AB375" s="94">
        <f>'II_Inkunabeln+'!BA375</f>
        <v>0</v>
      </c>
      <c r="AC375" s="108"/>
      <c r="AD375" s="81">
        <f>'II_Inkunabeln+'!BJ375</f>
        <v>0</v>
      </c>
    </row>
    <row r="376" spans="1:30" x14ac:dyDescent="0.25">
      <c r="A376" s="63">
        <f>'II_Inkunabeln+'!A376</f>
        <v>363</v>
      </c>
      <c r="B376" s="63" t="str">
        <f>'II_Inkunabeln+'!B376</f>
        <v>L-1490-315499737</v>
      </c>
      <c r="C376" s="63">
        <f>'II_Inkunabeln+'!C376</f>
        <v>1066969418</v>
      </c>
      <c r="D376" s="84" t="str">
        <f>'II_Inkunabeln+'!D376</f>
        <v>https://portal.dnb.de/opac.htm?method=simpleSearch&amp;cqlMode=true&amp;query=idn%3D1066969418</v>
      </c>
      <c r="E376" s="63" t="str">
        <f>'II_Inkunabeln+'!E376</f>
        <v>II 29,2k</v>
      </c>
      <c r="F376" s="63" t="str">
        <f>'II_Inkunabeln+'!H376</f>
        <v>bis 35 cm</v>
      </c>
      <c r="G376" s="93">
        <f>'II_Inkunabeln+'!AG376</f>
        <v>0</v>
      </c>
      <c r="H376" s="93">
        <f>'II_Inkunabeln+'!AP376</f>
        <v>0</v>
      </c>
      <c r="I376" s="93">
        <f>'II_Inkunabeln+'!AQ376</f>
        <v>0</v>
      </c>
      <c r="J376" s="94"/>
      <c r="K376" s="93">
        <f>'II_Inkunabeln+'!AW376</f>
        <v>0</v>
      </c>
      <c r="L376" s="93">
        <f>'II_Inkunabeln+'!AX376</f>
        <v>0</v>
      </c>
      <c r="AA376" s="93">
        <f>'II_Inkunabeln+'!AY376</f>
        <v>0</v>
      </c>
      <c r="AB376" s="94">
        <f>'II_Inkunabeln+'!BA376</f>
        <v>0</v>
      </c>
      <c r="AC376" s="108"/>
      <c r="AD376" s="81">
        <f>'II_Inkunabeln+'!BJ376</f>
        <v>0</v>
      </c>
    </row>
    <row r="377" spans="1:30" x14ac:dyDescent="0.25">
      <c r="A377" s="63">
        <f>'II_Inkunabeln+'!A377</f>
        <v>364</v>
      </c>
      <c r="B377" s="63" t="str">
        <f>'II_Inkunabeln+'!B377</f>
        <v>L-1498-315498110</v>
      </c>
      <c r="C377" s="63">
        <f>'II_Inkunabeln+'!C377</f>
        <v>1066967857</v>
      </c>
      <c r="D377" s="84" t="str">
        <f>'II_Inkunabeln+'!D377</f>
        <v>https://portal.dnb.de/opac.htm?method=simpleSearch&amp;cqlMode=true&amp;query=idn%3D1066967857</v>
      </c>
      <c r="E377" s="63" t="str">
        <f>'II_Inkunabeln+'!E377</f>
        <v>II 29,3a</v>
      </c>
      <c r="F377" s="63">
        <f>'II_Inkunabeln+'!H377</f>
        <v>0</v>
      </c>
      <c r="G377" s="93">
        <f>'II_Inkunabeln+'!AG377</f>
        <v>0</v>
      </c>
      <c r="H377" s="93">
        <f>'II_Inkunabeln+'!AP377</f>
        <v>0</v>
      </c>
      <c r="I377" s="93">
        <f>'II_Inkunabeln+'!AQ377</f>
        <v>0</v>
      </c>
      <c r="J377" s="94"/>
      <c r="K377" s="93">
        <f>'II_Inkunabeln+'!AW377</f>
        <v>0</v>
      </c>
      <c r="L377" s="93">
        <f>'II_Inkunabeln+'!AX377</f>
        <v>0</v>
      </c>
      <c r="AA377" s="93">
        <f>'II_Inkunabeln+'!AY377</f>
        <v>0</v>
      </c>
      <c r="AB377" s="94">
        <f>'II_Inkunabeln+'!BA377</f>
        <v>0</v>
      </c>
      <c r="AC377" s="108"/>
      <c r="AD377" s="81">
        <f>'II_Inkunabeln+'!BJ377</f>
        <v>0</v>
      </c>
    </row>
    <row r="378" spans="1:30" x14ac:dyDescent="0.25">
      <c r="A378" s="63">
        <f>'II_Inkunabeln+'!A378</f>
        <v>365</v>
      </c>
      <c r="B378" s="63" t="str">
        <f>'II_Inkunabeln+'!B378</f>
        <v>L-1496-315500875</v>
      </c>
      <c r="C378" s="63">
        <f>'II_Inkunabeln+'!C378</f>
        <v>1066970513</v>
      </c>
      <c r="D378" s="84" t="str">
        <f>'II_Inkunabeln+'!D378</f>
        <v>https://portal.dnb.de/opac.htm?method=simpleSearch&amp;cqlMode=true&amp;query=idn%3D1066970513</v>
      </c>
      <c r="E378" s="63" t="str">
        <f>'II_Inkunabeln+'!E378</f>
        <v>II 29,3b</v>
      </c>
      <c r="F378" s="63">
        <f>'II_Inkunabeln+'!H378</f>
        <v>0</v>
      </c>
      <c r="G378" s="93">
        <f>'II_Inkunabeln+'!AG378</f>
        <v>0</v>
      </c>
      <c r="H378" s="93">
        <f>'II_Inkunabeln+'!AP378</f>
        <v>0</v>
      </c>
      <c r="I378" s="93">
        <f>'II_Inkunabeln+'!AQ378</f>
        <v>0</v>
      </c>
      <c r="J378" s="94"/>
      <c r="K378" s="93">
        <f>'II_Inkunabeln+'!AW378</f>
        <v>0</v>
      </c>
      <c r="L378" s="93">
        <f>'II_Inkunabeln+'!AX378</f>
        <v>0</v>
      </c>
      <c r="AA378" s="93">
        <f>'II_Inkunabeln+'!AY378</f>
        <v>0</v>
      </c>
      <c r="AB378" s="94">
        <f>'II_Inkunabeln+'!BA378</f>
        <v>0</v>
      </c>
      <c r="AC378" s="108"/>
      <c r="AD378" s="81">
        <f>'II_Inkunabeln+'!BJ378</f>
        <v>0</v>
      </c>
    </row>
    <row r="379" spans="1:30" x14ac:dyDescent="0.25">
      <c r="A379" s="63">
        <f>'II_Inkunabeln+'!A379</f>
        <v>366</v>
      </c>
      <c r="B379" s="63" t="str">
        <f>'II_Inkunabeln+'!B379</f>
        <v>L-1499-315503548</v>
      </c>
      <c r="C379" s="63">
        <f>'II_Inkunabeln+'!C379</f>
        <v>1066973156</v>
      </c>
      <c r="D379" s="84" t="str">
        <f>'II_Inkunabeln+'!D379</f>
        <v>https://portal.dnb.de/opac.htm?method=simpleSearch&amp;cqlMode=true&amp;query=idn%3D1066973156</v>
      </c>
      <c r="E379" s="63" t="str">
        <f>'II_Inkunabeln+'!E379</f>
        <v>II 29,3c</v>
      </c>
      <c r="F379" s="63" t="str">
        <f>'II_Inkunabeln+'!H379</f>
        <v>bis 25 cm</v>
      </c>
      <c r="G379" s="93">
        <f>'II_Inkunabeln+'!AG379</f>
        <v>0</v>
      </c>
      <c r="H379" s="93">
        <f>'II_Inkunabeln+'!AP379</f>
        <v>0</v>
      </c>
      <c r="I379" s="93">
        <f>'II_Inkunabeln+'!AQ379</f>
        <v>0</v>
      </c>
      <c r="J379" s="94"/>
      <c r="K379" s="93">
        <f>'II_Inkunabeln+'!AW379</f>
        <v>0</v>
      </c>
      <c r="L379" s="93">
        <f>'II_Inkunabeln+'!AX379</f>
        <v>0</v>
      </c>
      <c r="AA379" s="93">
        <f>'II_Inkunabeln+'!AY379</f>
        <v>0</v>
      </c>
      <c r="AB379" s="94">
        <f>'II_Inkunabeln+'!BA379</f>
        <v>0</v>
      </c>
      <c r="AC379" s="108"/>
      <c r="AD379" s="81">
        <f>'II_Inkunabeln+'!BJ379</f>
        <v>0</v>
      </c>
    </row>
    <row r="380" spans="1:30" x14ac:dyDescent="0.25">
      <c r="A380" s="63">
        <f>'II_Inkunabeln+'!A380</f>
        <v>367</v>
      </c>
      <c r="B380" s="63" t="str">
        <f>'II_Inkunabeln+'!B380</f>
        <v>L-1496-327280298</v>
      </c>
      <c r="C380" s="63">
        <f>'II_Inkunabeln+'!C380</f>
        <v>1072320762</v>
      </c>
      <c r="D380" s="84" t="str">
        <f>'II_Inkunabeln+'!D380</f>
        <v>https://portal.dnb.de/opac.htm?method=simpleSearch&amp;cqlMode=true&amp;query=idn%3D1072320762</v>
      </c>
      <c r="E380" s="63" t="str">
        <f>'II_Inkunabeln+'!E380</f>
        <v>II 29,3d</v>
      </c>
      <c r="F380" s="63">
        <f>'II_Inkunabeln+'!H380</f>
        <v>0</v>
      </c>
      <c r="G380" s="93">
        <f>'II_Inkunabeln+'!AG380</f>
        <v>0</v>
      </c>
      <c r="H380" s="93">
        <f>'II_Inkunabeln+'!AP380</f>
        <v>0</v>
      </c>
      <c r="I380" s="93">
        <f>'II_Inkunabeln+'!AQ380</f>
        <v>0</v>
      </c>
      <c r="J380" s="94"/>
      <c r="K380" s="93">
        <f>'II_Inkunabeln+'!AW380</f>
        <v>0</v>
      </c>
      <c r="L380" s="93">
        <f>'II_Inkunabeln+'!AX380</f>
        <v>0</v>
      </c>
      <c r="AA380" s="93">
        <f>'II_Inkunabeln+'!AY380</f>
        <v>0</v>
      </c>
      <c r="AB380" s="94">
        <f>'II_Inkunabeln+'!BA380</f>
        <v>0</v>
      </c>
      <c r="AC380" s="108"/>
      <c r="AD380" s="81">
        <f>'II_Inkunabeln+'!BJ380</f>
        <v>0</v>
      </c>
    </row>
    <row r="381" spans="1:30" x14ac:dyDescent="0.25">
      <c r="A381" s="63">
        <f>'II_Inkunabeln+'!A381</f>
        <v>368</v>
      </c>
      <c r="B381" s="63" t="str">
        <f>'II_Inkunabeln+'!B381</f>
        <v>L-1473-315495812</v>
      </c>
      <c r="C381" s="63">
        <f>'II_Inkunabeln+'!C381</f>
        <v>1066965595</v>
      </c>
      <c r="D381" s="84" t="str">
        <f>'II_Inkunabeln+'!D381</f>
        <v>https://portal.dnb.de/opac.htm?method=simpleSearch&amp;cqlMode=true&amp;query=idn%3D1066965595</v>
      </c>
      <c r="E381" s="63" t="str">
        <f>'II_Inkunabeln+'!E381</f>
        <v>II 30,1 f</v>
      </c>
      <c r="F381" s="63" t="str">
        <f>'II_Inkunabeln+'!H381</f>
        <v>bis 42 cm</v>
      </c>
      <c r="G381" s="93">
        <f>'II_Inkunabeln+'!AG381</f>
        <v>0</v>
      </c>
      <c r="H381" s="93">
        <f>'II_Inkunabeln+'!AP381</f>
        <v>0</v>
      </c>
      <c r="I381" s="93">
        <f>'II_Inkunabeln+'!AQ381</f>
        <v>0</v>
      </c>
      <c r="J381" s="94"/>
      <c r="K381" s="93">
        <f>'II_Inkunabeln+'!AW381</f>
        <v>0</v>
      </c>
      <c r="L381" s="93">
        <f>'II_Inkunabeln+'!AX381</f>
        <v>0</v>
      </c>
      <c r="AA381" s="93">
        <f>'II_Inkunabeln+'!AY381</f>
        <v>0</v>
      </c>
      <c r="AB381" s="94">
        <f>'II_Inkunabeln+'!BA381</f>
        <v>0</v>
      </c>
      <c r="AC381" s="108"/>
      <c r="AD381" s="81">
        <f>'II_Inkunabeln+'!BJ381</f>
        <v>0</v>
      </c>
    </row>
    <row r="382" spans="1:30" x14ac:dyDescent="0.25">
      <c r="A382" s="63">
        <f>'II_Inkunabeln+'!A382</f>
        <v>369</v>
      </c>
      <c r="B382" s="63" t="str">
        <f>'II_Inkunabeln+'!B382</f>
        <v>L-1473-315503416</v>
      </c>
      <c r="C382" s="63">
        <f>'II_Inkunabeln+'!C382</f>
        <v>1066973040</v>
      </c>
      <c r="D382" s="84" t="str">
        <f>'II_Inkunabeln+'!D382</f>
        <v>https://portal.dnb.de/opac.htm?method=simpleSearch&amp;cqlMode=true&amp;query=idn%3D1066973040</v>
      </c>
      <c r="E382" s="63" t="str">
        <f>'II_Inkunabeln+'!E382</f>
        <v>II 30,1a -Vol.1/2</v>
      </c>
      <c r="F382" s="63" t="str">
        <f>'II_Inkunabeln+'!H382</f>
        <v>bis 42 cm</v>
      </c>
      <c r="G382" s="93">
        <f>'II_Inkunabeln+'!AG382</f>
        <v>0</v>
      </c>
      <c r="H382" s="93">
        <f>'II_Inkunabeln+'!AP382</f>
        <v>0</v>
      </c>
      <c r="I382" s="93">
        <f>'II_Inkunabeln+'!AQ382</f>
        <v>0</v>
      </c>
      <c r="J382" s="94"/>
      <c r="K382" s="93">
        <f>'II_Inkunabeln+'!AW382</f>
        <v>0</v>
      </c>
      <c r="L382" s="93">
        <f>'II_Inkunabeln+'!AX382</f>
        <v>0</v>
      </c>
      <c r="AA382" s="93">
        <f>'II_Inkunabeln+'!AY382</f>
        <v>0</v>
      </c>
      <c r="AB382" s="94">
        <f>'II_Inkunabeln+'!BA382</f>
        <v>0</v>
      </c>
      <c r="AC382" s="108"/>
      <c r="AD382" s="81">
        <f>'II_Inkunabeln+'!BJ382</f>
        <v>0</v>
      </c>
    </row>
    <row r="383" spans="1:30" x14ac:dyDescent="0.25">
      <c r="A383" s="63">
        <f>'II_Inkunabeln+'!A383</f>
        <v>0</v>
      </c>
      <c r="B383" s="63">
        <f>'II_Inkunabeln+'!B383</f>
        <v>0</v>
      </c>
      <c r="C383" s="63">
        <f>'II_Inkunabeln+'!C383</f>
        <v>0</v>
      </c>
      <c r="D383" s="84">
        <f>'II_Inkunabeln+'!D383</f>
        <v>0</v>
      </c>
      <c r="E383" s="63" t="str">
        <f>'II_Inkunabeln+'!E383</f>
        <v>II 30,1a -Vol.3/4</v>
      </c>
      <c r="F383" s="63" t="str">
        <f>'II_Inkunabeln+'!H383</f>
        <v>bis 42 cm</v>
      </c>
      <c r="G383" s="93">
        <f>'II_Inkunabeln+'!AG383</f>
        <v>0</v>
      </c>
      <c r="H383" s="93">
        <f>'II_Inkunabeln+'!AP383</f>
        <v>0</v>
      </c>
      <c r="I383" s="93">
        <f>'II_Inkunabeln+'!AQ383</f>
        <v>0</v>
      </c>
      <c r="J383" s="94"/>
      <c r="K383" s="93">
        <f>'II_Inkunabeln+'!AW383</f>
        <v>0</v>
      </c>
      <c r="L383" s="93">
        <f>'II_Inkunabeln+'!AX383</f>
        <v>0</v>
      </c>
      <c r="AA383" s="93">
        <f>'II_Inkunabeln+'!AY383</f>
        <v>0</v>
      </c>
      <c r="AB383" s="94">
        <f>'II_Inkunabeln+'!BA383</f>
        <v>0</v>
      </c>
      <c r="AC383" s="108"/>
      <c r="AD383" s="81">
        <f>'II_Inkunabeln+'!BJ383</f>
        <v>0</v>
      </c>
    </row>
    <row r="384" spans="1:30" x14ac:dyDescent="0.25">
      <c r="A384" s="63">
        <f>'II_Inkunabeln+'!A384</f>
        <v>370</v>
      </c>
      <c r="B384" s="63" t="str">
        <f>'II_Inkunabeln+'!B384</f>
        <v>L-1473-315502371</v>
      </c>
      <c r="C384" s="63" t="str">
        <f>'II_Inkunabeln+'!C384</f>
        <v>106697196X</v>
      </c>
      <c r="D384" s="84" t="str">
        <f>'II_Inkunabeln+'!D384</f>
        <v>https://portal.dnb.de/opac.htm?method=simpleSearch&amp;cqlMode=true&amp;query=idn%3D106697196X</v>
      </c>
      <c r="E384" s="63" t="str">
        <f>'II_Inkunabeln+'!E384</f>
        <v>II 30,1c (angebunden an II 30,1d)</v>
      </c>
      <c r="F384" s="63">
        <f>'II_Inkunabeln+'!H384</f>
        <v>0</v>
      </c>
      <c r="G384" s="93">
        <f>'II_Inkunabeln+'!AG384</f>
        <v>0</v>
      </c>
      <c r="H384" s="93">
        <f>'II_Inkunabeln+'!AP384</f>
        <v>0</v>
      </c>
      <c r="I384" s="93">
        <f>'II_Inkunabeln+'!AQ384</f>
        <v>0</v>
      </c>
      <c r="J384" s="94"/>
      <c r="K384" s="93">
        <f>'II_Inkunabeln+'!AW384</f>
        <v>0</v>
      </c>
      <c r="L384" s="93">
        <f>'II_Inkunabeln+'!AX384</f>
        <v>0</v>
      </c>
      <c r="AA384" s="93">
        <f>'II_Inkunabeln+'!AY384</f>
        <v>0</v>
      </c>
      <c r="AB384" s="94">
        <f>'II_Inkunabeln+'!BA384</f>
        <v>0</v>
      </c>
      <c r="AC384" s="108"/>
      <c r="AD384" s="81">
        <f>'II_Inkunabeln+'!BJ384</f>
        <v>0</v>
      </c>
    </row>
    <row r="385" spans="1:30" x14ac:dyDescent="0.25">
      <c r="A385" s="63">
        <f>'II_Inkunabeln+'!A385</f>
        <v>371</v>
      </c>
      <c r="B385" s="63" t="str">
        <f>'II_Inkunabeln+'!B385</f>
        <v>L-1474-326859233</v>
      </c>
      <c r="C385" s="63">
        <f>'II_Inkunabeln+'!C385</f>
        <v>1072063859</v>
      </c>
      <c r="D385" s="84" t="str">
        <f>'II_Inkunabeln+'!D385</f>
        <v>https://portal.dnb.de/opac.htm?method=simpleSearch&amp;cqlMode=true&amp;query=idn%3D1072063859</v>
      </c>
      <c r="E385" s="63" t="str">
        <f>'II_Inkunabeln+'!E385</f>
        <v>II 30,1d (an II 30,1c vorgebunden)</v>
      </c>
      <c r="F385" s="63" t="str">
        <f>'II_Inkunabeln+'!H385</f>
        <v>bis 42 cm</v>
      </c>
      <c r="G385" s="93">
        <f>'II_Inkunabeln+'!AG385</f>
        <v>0</v>
      </c>
      <c r="H385" s="93">
        <f>'II_Inkunabeln+'!AP385</f>
        <v>0</v>
      </c>
      <c r="I385" s="93">
        <f>'II_Inkunabeln+'!AQ385</f>
        <v>0</v>
      </c>
      <c r="J385" s="94"/>
      <c r="K385" s="93">
        <f>'II_Inkunabeln+'!AW385</f>
        <v>0</v>
      </c>
      <c r="L385" s="93">
        <f>'II_Inkunabeln+'!AX385</f>
        <v>0</v>
      </c>
      <c r="AA385" s="93">
        <f>'II_Inkunabeln+'!AY385</f>
        <v>0</v>
      </c>
      <c r="AB385" s="94">
        <f>'II_Inkunabeln+'!BA385</f>
        <v>0</v>
      </c>
      <c r="AC385" s="108"/>
      <c r="AD385" s="81">
        <f>'II_Inkunabeln+'!BJ385</f>
        <v>0</v>
      </c>
    </row>
    <row r="386" spans="1:30" x14ac:dyDescent="0.25">
      <c r="A386" s="63">
        <f>'II_Inkunabeln+'!A386</f>
        <v>372</v>
      </c>
      <c r="B386" s="63" t="str">
        <f>'II_Inkunabeln+'!B386</f>
        <v>L-1471-315495081</v>
      </c>
      <c r="C386" s="63">
        <f>'II_Inkunabeln+'!C386</f>
        <v>1066964920</v>
      </c>
      <c r="D386" s="84" t="str">
        <f>'II_Inkunabeln+'!D386</f>
        <v>https://portal.dnb.de/opac.htm?method=simpleSearch&amp;cqlMode=true&amp;query=idn%3D1066964920</v>
      </c>
      <c r="E386" s="63" t="str">
        <f>'II_Inkunabeln+'!E386</f>
        <v>II 30,1e</v>
      </c>
      <c r="F386" s="63" t="str">
        <f>'II_Inkunabeln+'!H386</f>
        <v>bis 42 cm</v>
      </c>
      <c r="G386" s="93">
        <f>'II_Inkunabeln+'!AG386</f>
        <v>0</v>
      </c>
      <c r="H386" s="93">
        <f>'II_Inkunabeln+'!AP386</f>
        <v>0</v>
      </c>
      <c r="I386" s="93">
        <f>'II_Inkunabeln+'!AQ386</f>
        <v>0</v>
      </c>
      <c r="J386" s="94"/>
      <c r="K386" s="93">
        <f>'II_Inkunabeln+'!AW386</f>
        <v>0</v>
      </c>
      <c r="L386" s="93">
        <f>'II_Inkunabeln+'!AX386</f>
        <v>0</v>
      </c>
      <c r="AA386" s="93">
        <f>'II_Inkunabeln+'!AY386</f>
        <v>0</v>
      </c>
      <c r="AB386" s="94">
        <f>'II_Inkunabeln+'!BA386</f>
        <v>0</v>
      </c>
      <c r="AC386" s="108"/>
      <c r="AD386" s="81">
        <f>'II_Inkunabeln+'!BJ386</f>
        <v>0</v>
      </c>
    </row>
    <row r="387" spans="1:30" x14ac:dyDescent="0.25">
      <c r="A387" s="63">
        <f>'II_Inkunabeln+'!A387</f>
        <v>373</v>
      </c>
      <c r="B387" s="63" t="str">
        <f>'II_Inkunabeln+'!B387</f>
        <v>L-1470-315495855</v>
      </c>
      <c r="C387" s="63">
        <f>'II_Inkunabeln+'!C387</f>
        <v>1066965633</v>
      </c>
      <c r="D387" s="84" t="str">
        <f>'II_Inkunabeln+'!D387</f>
        <v>https://portal.dnb.de/opac.htm?method=simpleSearch&amp;cqlMode=true&amp;query=idn%3D1066965633</v>
      </c>
      <c r="E387" s="63" t="str">
        <f>'II_Inkunabeln+'!E387</f>
        <v>II 30,1g</v>
      </c>
      <c r="F387" s="63" t="str">
        <f>'II_Inkunabeln+'!H387</f>
        <v>bis 35 cm</v>
      </c>
      <c r="G387" s="93">
        <f>'II_Inkunabeln+'!AG387</f>
        <v>0</v>
      </c>
      <c r="H387" s="93">
        <f>'II_Inkunabeln+'!AP387</f>
        <v>0</v>
      </c>
      <c r="I387" s="93">
        <f>'II_Inkunabeln+'!AQ387</f>
        <v>0</v>
      </c>
      <c r="J387" s="94"/>
      <c r="K387" s="93">
        <f>'II_Inkunabeln+'!AW387</f>
        <v>0</v>
      </c>
      <c r="L387" s="93">
        <f>'II_Inkunabeln+'!AX387</f>
        <v>0</v>
      </c>
      <c r="AA387" s="93">
        <f>'II_Inkunabeln+'!AY387</f>
        <v>0</v>
      </c>
      <c r="AB387" s="94">
        <f>'II_Inkunabeln+'!BA387</f>
        <v>0</v>
      </c>
      <c r="AC387" s="108"/>
      <c r="AD387" s="81">
        <f>'II_Inkunabeln+'!BJ387</f>
        <v>0</v>
      </c>
    </row>
    <row r="388" spans="1:30" x14ac:dyDescent="0.25">
      <c r="A388" s="63">
        <f>'II_Inkunabeln+'!A388</f>
        <v>374</v>
      </c>
      <c r="B388" s="63" t="str">
        <f>'II_Inkunabeln+'!B388</f>
        <v>L-1466-315495863</v>
      </c>
      <c r="C388" s="63">
        <f>'II_Inkunabeln+'!C388</f>
        <v>1066965641</v>
      </c>
      <c r="D388" s="84" t="str">
        <f>'II_Inkunabeln+'!D388</f>
        <v>https://portal.dnb.de/opac.htm?method=simpleSearch&amp;cqlMode=true&amp;query=idn%3D1066965641</v>
      </c>
      <c r="E388" s="63" t="str">
        <f>'II_Inkunabeln+'!E388</f>
        <v>II 30,1h</v>
      </c>
      <c r="F388" s="63" t="str">
        <f>'II_Inkunabeln+'!H388</f>
        <v>bis 25 cm</v>
      </c>
      <c r="G388" s="93">
        <f>'II_Inkunabeln+'!AG388</f>
        <v>0</v>
      </c>
      <c r="H388" s="93">
        <f>'II_Inkunabeln+'!AP388</f>
        <v>0</v>
      </c>
      <c r="I388" s="93">
        <f>'II_Inkunabeln+'!AQ388</f>
        <v>0</v>
      </c>
      <c r="J388" s="94"/>
      <c r="K388" s="93">
        <f>'II_Inkunabeln+'!AW388</f>
        <v>0</v>
      </c>
      <c r="L388" s="93">
        <f>'II_Inkunabeln+'!AX388</f>
        <v>0</v>
      </c>
      <c r="AA388" s="93">
        <f>'II_Inkunabeln+'!AY388</f>
        <v>0</v>
      </c>
      <c r="AB388" s="94">
        <f>'II_Inkunabeln+'!BA388</f>
        <v>0</v>
      </c>
      <c r="AC388" s="108"/>
      <c r="AD388" s="81">
        <f>'II_Inkunabeln+'!BJ388</f>
        <v>0</v>
      </c>
    </row>
    <row r="389" spans="1:30" x14ac:dyDescent="0.25">
      <c r="A389" s="63">
        <f>'II_Inkunabeln+'!A389</f>
        <v>375</v>
      </c>
      <c r="B389" s="63" t="str">
        <f>'II_Inkunabeln+'!B389</f>
        <v>L-1471-31549607X</v>
      </c>
      <c r="C389" s="63" t="str">
        <f>'II_Inkunabeln+'!C389</f>
        <v>106696582X</v>
      </c>
      <c r="D389" s="84" t="str">
        <f>'II_Inkunabeln+'!D389</f>
        <v>https://portal.dnb.de/opac.htm?method=simpleSearch&amp;cqlMode=true&amp;query=idn%3D106696582X</v>
      </c>
      <c r="E389" s="63" t="str">
        <f>'II_Inkunabeln+'!E389</f>
        <v>II 30,1i</v>
      </c>
      <c r="F389" s="63" t="str">
        <f>'II_Inkunabeln+'!H389</f>
        <v>bis 42 cm</v>
      </c>
      <c r="G389" s="93">
        <f>'II_Inkunabeln+'!AG389</f>
        <v>0</v>
      </c>
      <c r="H389" s="93">
        <f>'II_Inkunabeln+'!AP389</f>
        <v>0</v>
      </c>
      <c r="I389" s="93">
        <f>'II_Inkunabeln+'!AQ389</f>
        <v>0</v>
      </c>
      <c r="J389" s="94"/>
      <c r="K389" s="93">
        <f>'II_Inkunabeln+'!AW389</f>
        <v>0</v>
      </c>
      <c r="L389" s="93">
        <f>'II_Inkunabeln+'!AX389</f>
        <v>0</v>
      </c>
      <c r="AA389" s="93">
        <f>'II_Inkunabeln+'!AY389</f>
        <v>0</v>
      </c>
      <c r="AB389" s="94">
        <f>'II_Inkunabeln+'!BA389</f>
        <v>0</v>
      </c>
      <c r="AC389" s="108"/>
      <c r="AD389" s="81">
        <f>'II_Inkunabeln+'!BJ389</f>
        <v>0</v>
      </c>
    </row>
    <row r="390" spans="1:30" x14ac:dyDescent="0.25">
      <c r="A390" s="63">
        <f>'II_Inkunabeln+'!A390</f>
        <v>376</v>
      </c>
      <c r="B390" s="63" t="str">
        <f>'II_Inkunabeln+'!B390</f>
        <v>L-1474-315497858</v>
      </c>
      <c r="C390" s="63">
        <f>'II_Inkunabeln+'!C390</f>
        <v>1066967601</v>
      </c>
      <c r="D390" s="84" t="str">
        <f>'II_Inkunabeln+'!D390</f>
        <v>https://portal.dnb.de/opac.htm?method=simpleSearch&amp;cqlMode=true&amp;query=idn%3D1066967601</v>
      </c>
      <c r="E390" s="63" t="str">
        <f>'II_Inkunabeln+'!E390</f>
        <v>II 30,1k</v>
      </c>
      <c r="F390" s="63" t="str">
        <f>'II_Inkunabeln+'!H390</f>
        <v>bis 42 cm</v>
      </c>
      <c r="G390" s="93">
        <f>'II_Inkunabeln+'!AG390</f>
        <v>0</v>
      </c>
      <c r="H390" s="93">
        <f>'II_Inkunabeln+'!AP390</f>
        <v>0</v>
      </c>
      <c r="I390" s="93">
        <f>'II_Inkunabeln+'!AQ390</f>
        <v>0</v>
      </c>
      <c r="J390" s="94"/>
      <c r="K390" s="93">
        <f>'II_Inkunabeln+'!AW390</f>
        <v>0</v>
      </c>
      <c r="L390" s="93">
        <f>'II_Inkunabeln+'!AX390</f>
        <v>0</v>
      </c>
      <c r="AA390" s="93">
        <f>'II_Inkunabeln+'!AY390</f>
        <v>0</v>
      </c>
      <c r="AB390" s="94">
        <f>'II_Inkunabeln+'!BA390</f>
        <v>0</v>
      </c>
      <c r="AC390" s="108"/>
      <c r="AD390" s="81">
        <f>'II_Inkunabeln+'!BJ390</f>
        <v>0</v>
      </c>
    </row>
    <row r="391" spans="1:30" x14ac:dyDescent="0.25">
      <c r="A391" s="63">
        <f>'II_Inkunabeln+'!A391</f>
        <v>377</v>
      </c>
      <c r="B391" s="63" t="str">
        <f>'II_Inkunabeln+'!B391</f>
        <v>L-1473-315499117</v>
      </c>
      <c r="C391" s="63">
        <f>'II_Inkunabeln+'!C391</f>
        <v>1066968845</v>
      </c>
      <c r="D391" s="84" t="str">
        <f>'II_Inkunabeln+'!D391</f>
        <v>https://portal.dnb.de/opac.htm?method=simpleSearch&amp;cqlMode=true&amp;query=idn%3D1066968845</v>
      </c>
      <c r="E391" s="63" t="str">
        <f>'II_Inkunabeln+'!E391</f>
        <v>II 30,1l</v>
      </c>
      <c r="F391" s="63" t="str">
        <f>'II_Inkunabeln+'!H391</f>
        <v>&gt; 42 cm</v>
      </c>
      <c r="G391" s="93">
        <f>'II_Inkunabeln+'!AG391</f>
        <v>0</v>
      </c>
      <c r="H391" s="93">
        <f>'II_Inkunabeln+'!AP391</f>
        <v>0</v>
      </c>
      <c r="I391" s="93">
        <f>'II_Inkunabeln+'!AQ391</f>
        <v>0</v>
      </c>
      <c r="J391" s="94"/>
      <c r="K391" s="93">
        <f>'II_Inkunabeln+'!AW391</f>
        <v>0</v>
      </c>
      <c r="L391" s="93">
        <f>'II_Inkunabeln+'!AX391</f>
        <v>0</v>
      </c>
      <c r="AA391" s="93">
        <f>'II_Inkunabeln+'!AY391</f>
        <v>0</v>
      </c>
      <c r="AB391" s="94">
        <f>'II_Inkunabeln+'!BA391</f>
        <v>0</v>
      </c>
      <c r="AC391" s="108"/>
      <c r="AD391" s="81">
        <f>'II_Inkunabeln+'!BJ391</f>
        <v>0</v>
      </c>
    </row>
    <row r="392" spans="1:30" x14ac:dyDescent="0.25">
      <c r="A392" s="63">
        <f>'II_Inkunabeln+'!A392</f>
        <v>378</v>
      </c>
      <c r="B392" s="63" t="str">
        <f>'II_Inkunabeln+'!B392</f>
        <v>L-1469-315499451</v>
      </c>
      <c r="C392" s="63">
        <f>'II_Inkunabeln+'!C392</f>
        <v>1066969159</v>
      </c>
      <c r="D392" s="84" t="str">
        <f>'II_Inkunabeln+'!D392</f>
        <v>https://portal.dnb.de/opac.htm?method=simpleSearch&amp;cqlMode=true&amp;query=idn%3D1066969159</v>
      </c>
      <c r="E392" s="63" t="str">
        <f>'II_Inkunabeln+'!E392</f>
        <v>II 30,1m</v>
      </c>
      <c r="F392" s="63" t="str">
        <f>'II_Inkunabeln+'!H392</f>
        <v>bis 42 cm</v>
      </c>
      <c r="G392" s="93">
        <f>'II_Inkunabeln+'!AG392</f>
        <v>0</v>
      </c>
      <c r="H392" s="93">
        <f>'II_Inkunabeln+'!AP392</f>
        <v>0</v>
      </c>
      <c r="I392" s="93">
        <f>'II_Inkunabeln+'!AQ392</f>
        <v>0</v>
      </c>
      <c r="J392" s="94"/>
      <c r="K392" s="93">
        <f>'II_Inkunabeln+'!AW392</f>
        <v>0</v>
      </c>
      <c r="L392" s="93">
        <f>'II_Inkunabeln+'!AX392</f>
        <v>0</v>
      </c>
      <c r="AA392" s="93">
        <f>'II_Inkunabeln+'!AY392</f>
        <v>0</v>
      </c>
      <c r="AB392" s="94">
        <f>'II_Inkunabeln+'!BA392</f>
        <v>0</v>
      </c>
      <c r="AC392" s="108"/>
      <c r="AD392" s="81">
        <f>'II_Inkunabeln+'!BJ392</f>
        <v>0</v>
      </c>
    </row>
    <row r="393" spans="1:30" x14ac:dyDescent="0.25">
      <c r="A393" s="63">
        <f>'II_Inkunabeln+'!A393</f>
        <v>379</v>
      </c>
      <c r="B393" s="63" t="str">
        <f>'II_Inkunabeln+'!B393</f>
        <v>L-1473-286787504</v>
      </c>
      <c r="C393" s="63">
        <f>'II_Inkunabeln+'!C393</f>
        <v>1048169669</v>
      </c>
      <c r="D393" s="84" t="str">
        <f>'II_Inkunabeln+'!D393</f>
        <v>https://portal.dnb.de/opac.htm?method=simpleSearch&amp;cqlMode=true&amp;query=idn%3D1048169669</v>
      </c>
      <c r="E393" s="63" t="str">
        <f>'II_Inkunabeln+'!E393</f>
        <v>II 30,1n</v>
      </c>
      <c r="F393" s="63" t="str">
        <f>'II_Inkunabeln+'!H393</f>
        <v>bis 42 cm</v>
      </c>
      <c r="G393" s="93">
        <f>'II_Inkunabeln+'!AG393</f>
        <v>0</v>
      </c>
      <c r="H393" s="93">
        <f>'II_Inkunabeln+'!AP393</f>
        <v>0</v>
      </c>
      <c r="I393" s="93">
        <f>'II_Inkunabeln+'!AQ393</f>
        <v>0</v>
      </c>
      <c r="J393" s="94"/>
      <c r="K393" s="93">
        <f>'II_Inkunabeln+'!AW393</f>
        <v>0</v>
      </c>
      <c r="L393" s="93">
        <f>'II_Inkunabeln+'!AX393</f>
        <v>0</v>
      </c>
      <c r="AA393" s="93">
        <f>'II_Inkunabeln+'!AY393</f>
        <v>0</v>
      </c>
      <c r="AB393" s="94">
        <f>'II_Inkunabeln+'!BA393</f>
        <v>0</v>
      </c>
      <c r="AC393" s="108"/>
      <c r="AD393" s="81">
        <f>'II_Inkunabeln+'!BJ393</f>
        <v>0</v>
      </c>
    </row>
    <row r="394" spans="1:30" x14ac:dyDescent="0.25">
      <c r="A394" s="63">
        <f>'II_Inkunabeln+'!A394</f>
        <v>380</v>
      </c>
      <c r="B394" s="63" t="str">
        <f>'II_Inkunabeln+'!B394</f>
        <v>L-1466-315500247</v>
      </c>
      <c r="C394" s="63">
        <f>'II_Inkunabeln+'!C394</f>
        <v>1066969914</v>
      </c>
      <c r="D394" s="84" t="str">
        <f>'II_Inkunabeln+'!D394</f>
        <v>https://portal.dnb.de/opac.htm?method=simpleSearch&amp;cqlMode=true&amp;query=idn%3D1066969914</v>
      </c>
      <c r="E394" s="63" t="str">
        <f>'II_Inkunabeln+'!E394</f>
        <v>II 30,1o</v>
      </c>
      <c r="F394" s="63" t="str">
        <f>'II_Inkunabeln+'!H394</f>
        <v>bis 35 cm</v>
      </c>
      <c r="G394" s="93">
        <f>'II_Inkunabeln+'!AG394</f>
        <v>0</v>
      </c>
      <c r="H394" s="93">
        <f>'II_Inkunabeln+'!AP394</f>
        <v>0</v>
      </c>
      <c r="I394" s="93">
        <f>'II_Inkunabeln+'!AQ394</f>
        <v>0</v>
      </c>
      <c r="J394" s="94"/>
      <c r="K394" s="93">
        <f>'II_Inkunabeln+'!AW394</f>
        <v>0</v>
      </c>
      <c r="L394" s="93">
        <f>'II_Inkunabeln+'!AX394</f>
        <v>0</v>
      </c>
      <c r="AA394" s="93">
        <f>'II_Inkunabeln+'!AY394</f>
        <v>0</v>
      </c>
      <c r="AB394" s="94">
        <f>'II_Inkunabeln+'!BA394</f>
        <v>0</v>
      </c>
      <c r="AC394" s="108"/>
      <c r="AD394" s="81">
        <f>'II_Inkunabeln+'!BJ394</f>
        <v>0</v>
      </c>
    </row>
    <row r="395" spans="1:30" x14ac:dyDescent="0.25">
      <c r="A395" s="63">
        <f>'II_Inkunabeln+'!A395</f>
        <v>381</v>
      </c>
      <c r="B395" s="63" t="str">
        <f>'II_Inkunabeln+'!B395</f>
        <v>L-1472-315501464</v>
      </c>
      <c r="C395" s="63">
        <f>'II_Inkunabeln+'!C395</f>
        <v>1066971102</v>
      </c>
      <c r="D395" s="84" t="str">
        <f>'II_Inkunabeln+'!D395</f>
        <v>https://portal.dnb.de/opac.htm?method=simpleSearch&amp;cqlMode=true&amp;query=idn%3D1066971102</v>
      </c>
      <c r="E395" s="63" t="str">
        <f>'II_Inkunabeln+'!E395</f>
        <v>II 30,1p</v>
      </c>
      <c r="F395" s="63" t="str">
        <f>'II_Inkunabeln+'!H395</f>
        <v>bis 42 cm</v>
      </c>
      <c r="G395" s="93">
        <f>'II_Inkunabeln+'!AG395</f>
        <v>0</v>
      </c>
      <c r="H395" s="93">
        <f>'II_Inkunabeln+'!AP395</f>
        <v>0</v>
      </c>
      <c r="I395" s="93">
        <f>'II_Inkunabeln+'!AQ395</f>
        <v>0</v>
      </c>
      <c r="J395" s="94"/>
      <c r="K395" s="93">
        <f>'II_Inkunabeln+'!AW395</f>
        <v>0</v>
      </c>
      <c r="L395" s="93">
        <f>'II_Inkunabeln+'!AX395</f>
        <v>0</v>
      </c>
      <c r="AA395" s="93">
        <f>'II_Inkunabeln+'!AY395</f>
        <v>0</v>
      </c>
      <c r="AB395" s="94">
        <f>'II_Inkunabeln+'!BA395</f>
        <v>0</v>
      </c>
      <c r="AC395" s="108"/>
      <c r="AD395" s="81">
        <f>'II_Inkunabeln+'!BJ395</f>
        <v>0</v>
      </c>
    </row>
    <row r="396" spans="1:30" x14ac:dyDescent="0.25">
      <c r="A396" s="63">
        <f>'II_Inkunabeln+'!A396</f>
        <v>382</v>
      </c>
      <c r="B396" s="63" t="str">
        <f>'II_Inkunabeln+'!B396</f>
        <v>L-1470-315501723</v>
      </c>
      <c r="C396" s="63">
        <f>'II_Inkunabeln+'!C396</f>
        <v>1066971358</v>
      </c>
      <c r="D396" s="84" t="str">
        <f>'II_Inkunabeln+'!D396</f>
        <v>https://portal.dnb.de/opac.htm?method=simpleSearch&amp;cqlMode=true&amp;query=idn%3D1066971358</v>
      </c>
      <c r="E396" s="63" t="str">
        <f>'II_Inkunabeln+'!E396</f>
        <v>II 30,1q</v>
      </c>
      <c r="F396" s="63" t="str">
        <f>'II_Inkunabeln+'!H396</f>
        <v>bis 35 cm</v>
      </c>
      <c r="G396" s="93">
        <f>'II_Inkunabeln+'!AG396</f>
        <v>0</v>
      </c>
      <c r="H396" s="93">
        <f>'II_Inkunabeln+'!AP396</f>
        <v>0</v>
      </c>
      <c r="I396" s="93">
        <f>'II_Inkunabeln+'!AQ396</f>
        <v>0</v>
      </c>
      <c r="J396" s="94"/>
      <c r="K396" s="93">
        <f>'II_Inkunabeln+'!AW396</f>
        <v>0</v>
      </c>
      <c r="L396" s="93">
        <f>'II_Inkunabeln+'!AX396</f>
        <v>0</v>
      </c>
      <c r="AA396" s="93">
        <f>'II_Inkunabeln+'!AY396</f>
        <v>0</v>
      </c>
      <c r="AB396" s="94">
        <f>'II_Inkunabeln+'!BA396</f>
        <v>0</v>
      </c>
      <c r="AC396" s="108"/>
      <c r="AD396" s="81">
        <f>'II_Inkunabeln+'!BJ396</f>
        <v>0</v>
      </c>
    </row>
    <row r="397" spans="1:30" x14ac:dyDescent="0.25">
      <c r="A397" s="63">
        <f>'II_Inkunabeln+'!A397</f>
        <v>383</v>
      </c>
      <c r="B397" s="63" t="str">
        <f>'II_Inkunabeln+'!B397</f>
        <v>L-1463-315503041</v>
      </c>
      <c r="C397" s="63">
        <f>'II_Inkunabeln+'!C397</f>
        <v>1066972621</v>
      </c>
      <c r="D397" s="84" t="str">
        <f>'II_Inkunabeln+'!D397</f>
        <v>https://portal.dnb.de/opac.htm?method=simpleSearch&amp;cqlMode=true&amp;query=idn%3D1066972621</v>
      </c>
      <c r="E397" s="63" t="str">
        <f>'II_Inkunabeln+'!E397</f>
        <v>II 30,1r</v>
      </c>
      <c r="F397" s="63" t="str">
        <f>'II_Inkunabeln+'!H397</f>
        <v>bis 42 cm</v>
      </c>
      <c r="G397" s="93">
        <f>'II_Inkunabeln+'!AG397</f>
        <v>0</v>
      </c>
      <c r="H397" s="93">
        <f>'II_Inkunabeln+'!AP397</f>
        <v>0</v>
      </c>
      <c r="I397" s="93">
        <f>'II_Inkunabeln+'!AQ397</f>
        <v>0</v>
      </c>
      <c r="J397" s="94"/>
      <c r="K397" s="93">
        <f>'II_Inkunabeln+'!AW397</f>
        <v>0</v>
      </c>
      <c r="L397" s="93">
        <f>'II_Inkunabeln+'!AX397</f>
        <v>0</v>
      </c>
      <c r="AA397" s="93">
        <f>'II_Inkunabeln+'!AY397</f>
        <v>0</v>
      </c>
      <c r="AB397" s="94">
        <f>'II_Inkunabeln+'!BA397</f>
        <v>0</v>
      </c>
      <c r="AC397" s="108"/>
      <c r="AD397" s="81">
        <f>'II_Inkunabeln+'!BJ397</f>
        <v>0</v>
      </c>
    </row>
    <row r="398" spans="1:30" x14ac:dyDescent="0.25">
      <c r="A398" s="63">
        <f>'II_Inkunabeln+'!A398</f>
        <v>384</v>
      </c>
      <c r="B398" s="63" t="str">
        <f>'II_Inkunabeln+'!B398</f>
        <v>L-1470-315503343</v>
      </c>
      <c r="C398" s="63">
        <f>'II_Inkunabeln+'!C398</f>
        <v>1066972966</v>
      </c>
      <c r="D398" s="84" t="str">
        <f>'II_Inkunabeln+'!D398</f>
        <v>https://portal.dnb.de/opac.htm?method=simpleSearch&amp;cqlMode=true&amp;query=idn%3D1066972966</v>
      </c>
      <c r="E398" s="63" t="str">
        <f>'II_Inkunabeln+'!E398</f>
        <v>II 30,1s</v>
      </c>
      <c r="F398" s="63" t="str">
        <f>'II_Inkunabeln+'!H398</f>
        <v>bis 35 cm</v>
      </c>
      <c r="G398" s="93">
        <f>'II_Inkunabeln+'!AG398</f>
        <v>0</v>
      </c>
      <c r="H398" s="93">
        <f>'II_Inkunabeln+'!AP398</f>
        <v>0</v>
      </c>
      <c r="I398" s="93">
        <f>'II_Inkunabeln+'!AQ398</f>
        <v>0</v>
      </c>
      <c r="J398" s="94"/>
      <c r="K398" s="93">
        <f>'II_Inkunabeln+'!AW398</f>
        <v>0</v>
      </c>
      <c r="L398" s="93">
        <f>'II_Inkunabeln+'!AX398</f>
        <v>0</v>
      </c>
      <c r="AA398" s="93">
        <f>'II_Inkunabeln+'!AY398</f>
        <v>0</v>
      </c>
      <c r="AB398" s="94">
        <f>'II_Inkunabeln+'!BA398</f>
        <v>0</v>
      </c>
      <c r="AC398" s="108"/>
      <c r="AD398" s="81">
        <f>'II_Inkunabeln+'!BJ398</f>
        <v>0</v>
      </c>
    </row>
    <row r="399" spans="1:30" x14ac:dyDescent="0.25">
      <c r="A399" s="63">
        <f>'II_Inkunabeln+'!A399</f>
        <v>385</v>
      </c>
      <c r="B399" s="63" t="str">
        <f>'II_Inkunabeln+'!B399</f>
        <v>L-1476-315503440</v>
      </c>
      <c r="C399" s="63">
        <f>'II_Inkunabeln+'!C399</f>
        <v>1066973067</v>
      </c>
      <c r="D399" s="84" t="str">
        <f>'II_Inkunabeln+'!D399</f>
        <v>https://portal.dnb.de/opac.htm?method=simpleSearch&amp;cqlMode=true&amp;query=idn%3D1066973067</v>
      </c>
      <c r="E399" s="63" t="str">
        <f>'II_Inkunabeln+'!E399</f>
        <v>II 30,1t</v>
      </c>
      <c r="F399" s="63" t="str">
        <f>'II_Inkunabeln+'!H399</f>
        <v>&gt; 42 cm</v>
      </c>
      <c r="G399" s="93">
        <f>'II_Inkunabeln+'!AG399</f>
        <v>0</v>
      </c>
      <c r="H399" s="93">
        <f>'II_Inkunabeln+'!AP399</f>
        <v>0</v>
      </c>
      <c r="I399" s="93">
        <f>'II_Inkunabeln+'!AQ399</f>
        <v>0</v>
      </c>
      <c r="J399" s="94"/>
      <c r="K399" s="93">
        <f>'II_Inkunabeln+'!AW399</f>
        <v>0</v>
      </c>
      <c r="L399" s="93">
        <f>'II_Inkunabeln+'!AX399</f>
        <v>0</v>
      </c>
      <c r="AA399" s="93">
        <f>'II_Inkunabeln+'!AY399</f>
        <v>0</v>
      </c>
      <c r="AB399" s="94">
        <f>'II_Inkunabeln+'!BA399</f>
        <v>0</v>
      </c>
      <c r="AC399" s="108"/>
      <c r="AD399" s="81">
        <f>'II_Inkunabeln+'!BJ399</f>
        <v>0</v>
      </c>
    </row>
    <row r="400" spans="1:30" x14ac:dyDescent="0.25">
      <c r="A400" s="63">
        <f>'II_Inkunabeln+'!A400</f>
        <v>386</v>
      </c>
      <c r="B400" s="63" t="str">
        <f>'II_Inkunabeln+'!B400</f>
        <v>L-1466-311999433</v>
      </c>
      <c r="C400" s="63" t="str">
        <f>'II_Inkunabeln+'!C400</f>
        <v>106478058X</v>
      </c>
      <c r="D400" s="84" t="str">
        <f>'II_Inkunabeln+'!D400</f>
        <v>https://portal.dnb.de/opac.htm?method=simpleSearch&amp;cqlMode=true&amp;query=idn%3D106478058X</v>
      </c>
      <c r="E400" s="63" t="str">
        <f>'II_Inkunabeln+'!E400</f>
        <v>II 30,1u</v>
      </c>
      <c r="F400" s="63">
        <f>'II_Inkunabeln+'!H400</f>
        <v>0</v>
      </c>
      <c r="G400" s="93">
        <f>'II_Inkunabeln+'!AG400</f>
        <v>0</v>
      </c>
      <c r="H400" s="93">
        <f>'II_Inkunabeln+'!AP400</f>
        <v>0</v>
      </c>
      <c r="I400" s="93">
        <f>'II_Inkunabeln+'!AQ400</f>
        <v>0</v>
      </c>
      <c r="J400" s="94"/>
      <c r="K400" s="93">
        <f>'II_Inkunabeln+'!AW400</f>
        <v>0</v>
      </c>
      <c r="L400" s="93">
        <f>'II_Inkunabeln+'!AX400</f>
        <v>0</v>
      </c>
      <c r="AA400" s="93">
        <f>'II_Inkunabeln+'!AY400</f>
        <v>0</v>
      </c>
      <c r="AB400" s="94">
        <f>'II_Inkunabeln+'!BA400</f>
        <v>0</v>
      </c>
      <c r="AC400" s="108"/>
      <c r="AD400" s="81">
        <f>'II_Inkunabeln+'!BJ400</f>
        <v>0</v>
      </c>
    </row>
    <row r="401" spans="1:30" x14ac:dyDescent="0.25">
      <c r="A401" s="63">
        <f>'II_Inkunabeln+'!A401</f>
        <v>387</v>
      </c>
      <c r="B401" s="63" t="str">
        <f>'II_Inkunabeln+'!B401</f>
        <v>L-1480-315493186</v>
      </c>
      <c r="C401" s="63" t="str">
        <f>'II_Inkunabeln+'!C401</f>
        <v>106696291X</v>
      </c>
      <c r="D401" s="84" t="str">
        <f>'II_Inkunabeln+'!D401</f>
        <v>https://portal.dnb.de/opac.htm?method=simpleSearch&amp;cqlMode=true&amp;query=idn%3D106696291X</v>
      </c>
      <c r="E401" s="63" t="str">
        <f>'II_Inkunabeln+'!E401</f>
        <v>II 30,2 i</v>
      </c>
      <c r="F401" s="63">
        <f>'II_Inkunabeln+'!H401</f>
        <v>0</v>
      </c>
      <c r="G401" s="93">
        <f>'II_Inkunabeln+'!AG401</f>
        <v>0</v>
      </c>
      <c r="H401" s="93">
        <f>'II_Inkunabeln+'!AP401</f>
        <v>0</v>
      </c>
      <c r="I401" s="93">
        <f>'II_Inkunabeln+'!AQ401</f>
        <v>0</v>
      </c>
      <c r="J401" s="94"/>
      <c r="K401" s="93">
        <f>'II_Inkunabeln+'!AW401</f>
        <v>0</v>
      </c>
      <c r="L401" s="93">
        <f>'II_Inkunabeln+'!AX401</f>
        <v>0</v>
      </c>
      <c r="AA401" s="93">
        <f>'II_Inkunabeln+'!AY401</f>
        <v>0</v>
      </c>
      <c r="AB401" s="94">
        <f>'II_Inkunabeln+'!BA401</f>
        <v>0</v>
      </c>
      <c r="AC401" s="108"/>
      <c r="AD401" s="81">
        <f>'II_Inkunabeln+'!BJ401</f>
        <v>0</v>
      </c>
    </row>
    <row r="402" spans="1:30" x14ac:dyDescent="0.25">
      <c r="A402" s="63">
        <f>'II_Inkunabeln+'!A402</f>
        <v>388</v>
      </c>
      <c r="B402" s="63" t="str">
        <f>'II_Inkunabeln+'!B402</f>
        <v>L-1475-315500530</v>
      </c>
      <c r="C402" s="63" t="str">
        <f>'II_Inkunabeln+'!C402</f>
        <v>106697019X</v>
      </c>
      <c r="D402" s="84" t="str">
        <f>'II_Inkunabeln+'!D402</f>
        <v>https://portal.dnb.de/opac.htm?method=simpleSearch&amp;cqlMode=true&amp;query=idn%3D106697019X</v>
      </c>
      <c r="E402" s="63" t="str">
        <f>'II_Inkunabeln+'!E402</f>
        <v>II 30,2a</v>
      </c>
      <c r="F402" s="63" t="str">
        <f>'II_Inkunabeln+'!H402</f>
        <v>&gt; 42 cm</v>
      </c>
      <c r="G402" s="93">
        <f>'II_Inkunabeln+'!AG402</f>
        <v>0</v>
      </c>
      <c r="H402" s="93">
        <f>'II_Inkunabeln+'!AP402</f>
        <v>0</v>
      </c>
      <c r="I402" s="93">
        <f>'II_Inkunabeln+'!AQ402</f>
        <v>0</v>
      </c>
      <c r="J402" s="94"/>
      <c r="K402" s="93">
        <f>'II_Inkunabeln+'!AW402</f>
        <v>0</v>
      </c>
      <c r="L402" s="93">
        <f>'II_Inkunabeln+'!AX402</f>
        <v>0</v>
      </c>
      <c r="AA402" s="93">
        <f>'II_Inkunabeln+'!AY402</f>
        <v>0</v>
      </c>
      <c r="AB402" s="94">
        <f>'II_Inkunabeln+'!BA402</f>
        <v>0</v>
      </c>
      <c r="AC402" s="108"/>
      <c r="AD402" s="81">
        <f>'II_Inkunabeln+'!BJ402</f>
        <v>0</v>
      </c>
    </row>
    <row r="403" spans="1:30" x14ac:dyDescent="0.25">
      <c r="A403" s="63">
        <f>'II_Inkunabeln+'!A403</f>
        <v>389</v>
      </c>
      <c r="B403" s="63" t="str">
        <f>'II_Inkunabeln+'!B403</f>
        <v>L-1475-315497602</v>
      </c>
      <c r="C403" s="63">
        <f>'II_Inkunabeln+'!C403</f>
        <v>1066967350</v>
      </c>
      <c r="D403" s="84" t="str">
        <f>'II_Inkunabeln+'!D403</f>
        <v>https://portal.dnb.de/opac.htm?method=simpleSearch&amp;cqlMode=true&amp;query=idn%3D1066967350</v>
      </c>
      <c r="E403" s="63" t="str">
        <f>'II_Inkunabeln+'!E403</f>
        <v>II 30,2c</v>
      </c>
      <c r="F403" s="63">
        <f>'II_Inkunabeln+'!H403</f>
        <v>0</v>
      </c>
      <c r="G403" s="93">
        <f>'II_Inkunabeln+'!AG403</f>
        <v>0</v>
      </c>
      <c r="H403" s="93">
        <f>'II_Inkunabeln+'!AP403</f>
        <v>0</v>
      </c>
      <c r="I403" s="93">
        <f>'II_Inkunabeln+'!AQ403</f>
        <v>0</v>
      </c>
      <c r="J403" s="94"/>
      <c r="K403" s="93">
        <f>'II_Inkunabeln+'!AW403</f>
        <v>0</v>
      </c>
      <c r="L403" s="93">
        <f>'II_Inkunabeln+'!AX403</f>
        <v>0</v>
      </c>
      <c r="AA403" s="93">
        <f>'II_Inkunabeln+'!AY403</f>
        <v>0</v>
      </c>
      <c r="AB403" s="94">
        <f>'II_Inkunabeln+'!BA403</f>
        <v>0</v>
      </c>
      <c r="AC403" s="108"/>
      <c r="AD403" s="81">
        <f>'II_Inkunabeln+'!BJ403</f>
        <v>0</v>
      </c>
    </row>
    <row r="404" spans="1:30" x14ac:dyDescent="0.25">
      <c r="A404" s="63">
        <f>'II_Inkunabeln+'!A404</f>
        <v>390</v>
      </c>
      <c r="B404" s="63" t="str">
        <f>'II_Inkunabeln+'!B404</f>
        <v>L-1467-315499575</v>
      </c>
      <c r="C404" s="63">
        <f>'II_Inkunabeln+'!C404</f>
        <v>1066969264</v>
      </c>
      <c r="D404" s="84" t="str">
        <f>'II_Inkunabeln+'!D404</f>
        <v>https://portal.dnb.de/opac.htm?method=simpleSearch&amp;cqlMode=true&amp;query=idn%3D1066969264</v>
      </c>
      <c r="E404" s="63" t="str">
        <f>'II_Inkunabeln+'!E404</f>
        <v>II 30,2d</v>
      </c>
      <c r="F404" s="63" t="str">
        <f>'II_Inkunabeln+'!H404</f>
        <v>bis 42 cm</v>
      </c>
      <c r="G404" s="93">
        <f>'II_Inkunabeln+'!AG404</f>
        <v>0</v>
      </c>
      <c r="H404" s="93">
        <f>'II_Inkunabeln+'!AP404</f>
        <v>0</v>
      </c>
      <c r="I404" s="93">
        <f>'II_Inkunabeln+'!AQ404</f>
        <v>0</v>
      </c>
      <c r="J404" s="94"/>
      <c r="K404" s="93">
        <f>'II_Inkunabeln+'!AW404</f>
        <v>0</v>
      </c>
      <c r="L404" s="93">
        <f>'II_Inkunabeln+'!AX404</f>
        <v>0</v>
      </c>
      <c r="AA404" s="93">
        <f>'II_Inkunabeln+'!AY404</f>
        <v>0</v>
      </c>
      <c r="AB404" s="94">
        <f>'II_Inkunabeln+'!BA404</f>
        <v>0</v>
      </c>
      <c r="AC404" s="108"/>
      <c r="AD404" s="81">
        <f>'II_Inkunabeln+'!BJ404</f>
        <v>0</v>
      </c>
    </row>
    <row r="405" spans="1:30" x14ac:dyDescent="0.25">
      <c r="A405" s="63">
        <f>'II_Inkunabeln+'!A405</f>
        <v>391</v>
      </c>
      <c r="B405" s="63" t="str">
        <f>'II_Inkunabeln+'!B405</f>
        <v>L-1470-315502053</v>
      </c>
      <c r="C405" s="63">
        <f>'II_Inkunabeln+'!C405</f>
        <v>1066971676</v>
      </c>
      <c r="D405" s="84" t="str">
        <f>'II_Inkunabeln+'!D405</f>
        <v>https://portal.dnb.de/opac.htm?method=simpleSearch&amp;cqlMode=true&amp;query=idn%3D1066971676</v>
      </c>
      <c r="E405" s="63" t="str">
        <f>'II_Inkunabeln+'!E405</f>
        <v>II 30,2e - 1</v>
      </c>
      <c r="F405" s="63" t="str">
        <f>'II_Inkunabeln+'!H405</f>
        <v>bis 35 cm</v>
      </c>
      <c r="G405" s="93">
        <f>'II_Inkunabeln+'!AG405</f>
        <v>0</v>
      </c>
      <c r="H405" s="93">
        <f>'II_Inkunabeln+'!AP405</f>
        <v>0</v>
      </c>
      <c r="I405" s="93">
        <f>'II_Inkunabeln+'!AQ405</f>
        <v>0</v>
      </c>
      <c r="J405" s="94"/>
      <c r="K405" s="93">
        <f>'II_Inkunabeln+'!AW405</f>
        <v>0</v>
      </c>
      <c r="L405" s="93">
        <f>'II_Inkunabeln+'!AX405</f>
        <v>0</v>
      </c>
      <c r="AA405" s="93">
        <f>'II_Inkunabeln+'!AY405</f>
        <v>0</v>
      </c>
      <c r="AB405" s="94">
        <f>'II_Inkunabeln+'!BA405</f>
        <v>0</v>
      </c>
      <c r="AC405" s="108"/>
      <c r="AD405" s="81">
        <f>'II_Inkunabeln+'!BJ405</f>
        <v>0</v>
      </c>
    </row>
    <row r="406" spans="1:30" x14ac:dyDescent="0.25">
      <c r="A406" s="63">
        <f>'II_Inkunabeln+'!A406</f>
        <v>0</v>
      </c>
      <c r="B406" s="63">
        <f>'II_Inkunabeln+'!B406</f>
        <v>0</v>
      </c>
      <c r="C406" s="63">
        <f>'II_Inkunabeln+'!C406</f>
        <v>0</v>
      </c>
      <c r="D406" s="84">
        <f>'II_Inkunabeln+'!D406</f>
        <v>0</v>
      </c>
      <c r="E406" s="63" t="str">
        <f>'II_Inkunabeln+'!E406</f>
        <v>II 30,2e - 2</v>
      </c>
      <c r="F406" s="63" t="str">
        <f>'II_Inkunabeln+'!H406</f>
        <v>bis 35 cm</v>
      </c>
      <c r="G406" s="93">
        <f>'II_Inkunabeln+'!AG406</f>
        <v>0</v>
      </c>
      <c r="H406" s="93">
        <f>'II_Inkunabeln+'!AP406</f>
        <v>0</v>
      </c>
      <c r="I406" s="93">
        <f>'II_Inkunabeln+'!AQ406</f>
        <v>0</v>
      </c>
      <c r="J406" s="94"/>
      <c r="K406" s="93">
        <f>'II_Inkunabeln+'!AW406</f>
        <v>0</v>
      </c>
      <c r="L406" s="93">
        <f>'II_Inkunabeln+'!AX406</f>
        <v>0</v>
      </c>
      <c r="AA406" s="93">
        <f>'II_Inkunabeln+'!AY406</f>
        <v>0</v>
      </c>
      <c r="AB406" s="94">
        <f>'II_Inkunabeln+'!BA406</f>
        <v>0</v>
      </c>
      <c r="AC406" s="108"/>
      <c r="AD406" s="81">
        <f>'II_Inkunabeln+'!BJ406</f>
        <v>0</v>
      </c>
    </row>
    <row r="407" spans="1:30" x14ac:dyDescent="0.25">
      <c r="A407" s="63">
        <f>'II_Inkunabeln+'!A407</f>
        <v>392</v>
      </c>
      <c r="B407" s="63" t="str">
        <f>'II_Inkunabeln+'!B407</f>
        <v>L-1477-315503408</v>
      </c>
      <c r="C407" s="63">
        <f>'II_Inkunabeln+'!C407</f>
        <v>1066973032</v>
      </c>
      <c r="D407" s="84" t="str">
        <f>'II_Inkunabeln+'!D407</f>
        <v>https://portal.dnb.de/opac.htm?method=simpleSearch&amp;cqlMode=true&amp;query=idn%3D1066973032</v>
      </c>
      <c r="E407" s="63" t="str">
        <f>'II_Inkunabeln+'!E407</f>
        <v>II 30,2f</v>
      </c>
      <c r="F407" s="63" t="str">
        <f>'II_Inkunabeln+'!H407</f>
        <v>&gt; 42 cm</v>
      </c>
      <c r="G407" s="93">
        <f>'II_Inkunabeln+'!AG407</f>
        <v>0</v>
      </c>
      <c r="H407" s="93">
        <f>'II_Inkunabeln+'!AP407</f>
        <v>0</v>
      </c>
      <c r="I407" s="93">
        <f>'II_Inkunabeln+'!AQ407</f>
        <v>0</v>
      </c>
      <c r="J407" s="94"/>
      <c r="K407" s="93">
        <f>'II_Inkunabeln+'!AW407</f>
        <v>0</v>
      </c>
      <c r="L407" s="93">
        <f>'II_Inkunabeln+'!AX407</f>
        <v>0</v>
      </c>
      <c r="AA407" s="93">
        <f>'II_Inkunabeln+'!AY407</f>
        <v>0</v>
      </c>
      <c r="AB407" s="94">
        <f>'II_Inkunabeln+'!BA407</f>
        <v>0</v>
      </c>
      <c r="AC407" s="108"/>
      <c r="AD407" s="81">
        <f>'II_Inkunabeln+'!BJ407</f>
        <v>0</v>
      </c>
    </row>
    <row r="408" spans="1:30" x14ac:dyDescent="0.25">
      <c r="A408" s="63">
        <f>'II_Inkunabeln+'!A408</f>
        <v>393</v>
      </c>
      <c r="B408" s="63" t="str">
        <f>'II_Inkunabeln+'!B408</f>
        <v>L-1476-315503424</v>
      </c>
      <c r="C408" s="63">
        <f>'II_Inkunabeln+'!C408</f>
        <v>1066973059</v>
      </c>
      <c r="D408" s="84" t="str">
        <f>'II_Inkunabeln+'!D408</f>
        <v>https://portal.dnb.de/opac.htm?method=simpleSearch&amp;cqlMode=true&amp;query=idn%3D1066973059</v>
      </c>
      <c r="E408" s="63" t="str">
        <f>'II_Inkunabeln+'!E408</f>
        <v>II 30,2g - 1/2</v>
      </c>
      <c r="F408" s="63" t="str">
        <f>'II_Inkunabeln+'!H408</f>
        <v>&gt; 42 cm</v>
      </c>
      <c r="G408" s="93">
        <f>'II_Inkunabeln+'!AG408</f>
        <v>0</v>
      </c>
      <c r="H408" s="93">
        <f>'II_Inkunabeln+'!AP408</f>
        <v>0</v>
      </c>
      <c r="I408" s="93">
        <f>'II_Inkunabeln+'!AQ408</f>
        <v>0</v>
      </c>
      <c r="J408" s="94"/>
      <c r="K408" s="93">
        <f>'II_Inkunabeln+'!AW408</f>
        <v>0</v>
      </c>
      <c r="L408" s="93">
        <f>'II_Inkunabeln+'!AX408</f>
        <v>0</v>
      </c>
      <c r="AA408" s="93">
        <f>'II_Inkunabeln+'!AY408</f>
        <v>0</v>
      </c>
      <c r="AB408" s="94">
        <f>'II_Inkunabeln+'!BA408</f>
        <v>0</v>
      </c>
      <c r="AC408" s="108"/>
      <c r="AD408" s="81">
        <f>'II_Inkunabeln+'!BJ408</f>
        <v>0</v>
      </c>
    </row>
    <row r="409" spans="1:30" x14ac:dyDescent="0.25">
      <c r="A409" s="63">
        <f>'II_Inkunabeln+'!A409</f>
        <v>0</v>
      </c>
      <c r="B409" s="63">
        <f>'II_Inkunabeln+'!B409</f>
        <v>0</v>
      </c>
      <c r="C409" s="63">
        <f>'II_Inkunabeln+'!C409</f>
        <v>0</v>
      </c>
      <c r="D409" s="84">
        <f>'II_Inkunabeln+'!D409</f>
        <v>0</v>
      </c>
      <c r="E409" s="63" t="str">
        <f>'II_Inkunabeln+'!E409</f>
        <v>II 30,2g - 3/4</v>
      </c>
      <c r="F409" s="63" t="str">
        <f>'II_Inkunabeln+'!H409</f>
        <v>&gt; 42 cm</v>
      </c>
      <c r="G409" s="93">
        <f>'II_Inkunabeln+'!AG409</f>
        <v>0</v>
      </c>
      <c r="H409" s="93">
        <f>'II_Inkunabeln+'!AP409</f>
        <v>0</v>
      </c>
      <c r="I409" s="93">
        <f>'II_Inkunabeln+'!AQ409</f>
        <v>0</v>
      </c>
      <c r="J409" s="94"/>
      <c r="K409" s="93">
        <f>'II_Inkunabeln+'!AW409</f>
        <v>0</v>
      </c>
      <c r="L409" s="93">
        <f>'II_Inkunabeln+'!AX409</f>
        <v>0</v>
      </c>
      <c r="AA409" s="93">
        <f>'II_Inkunabeln+'!AY409</f>
        <v>0</v>
      </c>
      <c r="AB409" s="94">
        <f>'II_Inkunabeln+'!BA409</f>
        <v>0</v>
      </c>
      <c r="AC409" s="108"/>
      <c r="AD409" s="81">
        <f>'II_Inkunabeln+'!BJ409</f>
        <v>0</v>
      </c>
    </row>
    <row r="410" spans="1:30" x14ac:dyDescent="0.25">
      <c r="A410" s="63">
        <f>'II_Inkunabeln+'!A410</f>
        <v>394</v>
      </c>
      <c r="B410" s="63" t="str">
        <f>'II_Inkunabeln+'!B410</f>
        <v>L-1476-315503467</v>
      </c>
      <c r="C410" s="63">
        <f>'II_Inkunabeln+'!C410</f>
        <v>1066973083</v>
      </c>
      <c r="D410" s="84" t="str">
        <f>'II_Inkunabeln+'!D410</f>
        <v>https://portal.dnb.de/opac.htm?method=simpleSearch&amp;cqlMode=true&amp;query=idn%3D1066973083</v>
      </c>
      <c r="E410" s="63" t="str">
        <f>'II_Inkunabeln+'!E410</f>
        <v>II 30,2h - 1</v>
      </c>
      <c r="F410" s="63" t="str">
        <f>'II_Inkunabeln+'!H410</f>
        <v>&gt; 42 cm</v>
      </c>
      <c r="G410" s="93">
        <f>'II_Inkunabeln+'!AG410</f>
        <v>0</v>
      </c>
      <c r="H410" s="93">
        <f>'II_Inkunabeln+'!AP410</f>
        <v>0</v>
      </c>
      <c r="I410" s="93">
        <f>'II_Inkunabeln+'!AQ410</f>
        <v>0</v>
      </c>
      <c r="J410" s="94"/>
      <c r="K410" s="93">
        <f>'II_Inkunabeln+'!AW410</f>
        <v>0</v>
      </c>
      <c r="L410" s="93">
        <f>'II_Inkunabeln+'!AX410</f>
        <v>0</v>
      </c>
      <c r="AA410" s="93">
        <f>'II_Inkunabeln+'!AY410</f>
        <v>0</v>
      </c>
      <c r="AB410" s="94">
        <f>'II_Inkunabeln+'!BA410</f>
        <v>0</v>
      </c>
      <c r="AC410" s="108"/>
      <c r="AD410" s="81">
        <f>'II_Inkunabeln+'!BJ410</f>
        <v>0</v>
      </c>
    </row>
    <row r="411" spans="1:30" x14ac:dyDescent="0.25">
      <c r="A411" s="63">
        <f>'II_Inkunabeln+'!A411</f>
        <v>0</v>
      </c>
      <c r="B411" s="63">
        <f>'II_Inkunabeln+'!B411</f>
        <v>0</v>
      </c>
      <c r="C411" s="63">
        <f>'II_Inkunabeln+'!C411</f>
        <v>0</v>
      </c>
      <c r="D411" s="84">
        <f>'II_Inkunabeln+'!D411</f>
        <v>0</v>
      </c>
      <c r="E411" s="63" t="str">
        <f>'II_Inkunabeln+'!E411</f>
        <v>II 30,2h - 2</v>
      </c>
      <c r="F411" s="63" t="str">
        <f>'II_Inkunabeln+'!H411</f>
        <v>&gt; 42 cm</v>
      </c>
      <c r="G411" s="93">
        <f>'II_Inkunabeln+'!AG411</f>
        <v>0</v>
      </c>
      <c r="H411" s="93">
        <f>'II_Inkunabeln+'!AP411</f>
        <v>0</v>
      </c>
      <c r="I411" s="93">
        <f>'II_Inkunabeln+'!AQ411</f>
        <v>0</v>
      </c>
      <c r="J411" s="94"/>
      <c r="K411" s="93">
        <f>'II_Inkunabeln+'!AW411</f>
        <v>0</v>
      </c>
      <c r="L411" s="93">
        <f>'II_Inkunabeln+'!AX411</f>
        <v>0</v>
      </c>
      <c r="AA411" s="93">
        <f>'II_Inkunabeln+'!AY411</f>
        <v>0</v>
      </c>
      <c r="AB411" s="94">
        <f>'II_Inkunabeln+'!BA411</f>
        <v>0</v>
      </c>
      <c r="AC411" s="108"/>
      <c r="AD411" s="81">
        <f>'II_Inkunabeln+'!BJ411</f>
        <v>0</v>
      </c>
    </row>
    <row r="412" spans="1:30" x14ac:dyDescent="0.25">
      <c r="A412" s="63">
        <f>'II_Inkunabeln+'!A412</f>
        <v>0</v>
      </c>
      <c r="B412" s="63">
        <f>'II_Inkunabeln+'!B412</f>
        <v>0</v>
      </c>
      <c r="C412" s="63">
        <f>'II_Inkunabeln+'!C412</f>
        <v>0</v>
      </c>
      <c r="D412" s="84">
        <f>'II_Inkunabeln+'!D412</f>
        <v>0</v>
      </c>
      <c r="E412" s="63" t="str">
        <f>'II_Inkunabeln+'!E412</f>
        <v>II 30,2i - 1</v>
      </c>
      <c r="F412" s="63" t="str">
        <f>'II_Inkunabeln+'!H412</f>
        <v>&gt; 42 cm</v>
      </c>
      <c r="G412" s="93">
        <f>'II_Inkunabeln+'!AG412</f>
        <v>0</v>
      </c>
      <c r="H412" s="93">
        <f>'II_Inkunabeln+'!AP412</f>
        <v>0</v>
      </c>
      <c r="I412" s="93">
        <f>'II_Inkunabeln+'!AQ412</f>
        <v>0</v>
      </c>
      <c r="J412" s="94"/>
      <c r="K412" s="93">
        <f>'II_Inkunabeln+'!AW412</f>
        <v>0</v>
      </c>
      <c r="L412" s="93">
        <f>'II_Inkunabeln+'!AX412</f>
        <v>0</v>
      </c>
      <c r="AA412" s="93">
        <f>'II_Inkunabeln+'!AY412</f>
        <v>0</v>
      </c>
      <c r="AB412" s="94">
        <f>'II_Inkunabeln+'!BA412</f>
        <v>0</v>
      </c>
      <c r="AC412" s="108"/>
      <c r="AD412" s="81">
        <f>'II_Inkunabeln+'!BJ412</f>
        <v>0</v>
      </c>
    </row>
    <row r="413" spans="1:30" x14ac:dyDescent="0.25">
      <c r="A413" s="63">
        <f>'II_Inkunabeln+'!A413</f>
        <v>0</v>
      </c>
      <c r="B413" s="63">
        <f>'II_Inkunabeln+'!B413</f>
        <v>0</v>
      </c>
      <c r="C413" s="63">
        <f>'II_Inkunabeln+'!C413</f>
        <v>0</v>
      </c>
      <c r="D413" s="84">
        <f>'II_Inkunabeln+'!D413</f>
        <v>0</v>
      </c>
      <c r="E413" s="63" t="str">
        <f>'II_Inkunabeln+'!E413</f>
        <v>II 30,2i - 2</v>
      </c>
      <c r="F413" s="63" t="str">
        <f>'II_Inkunabeln+'!H413</f>
        <v>&gt; 42 cm</v>
      </c>
      <c r="G413" s="93">
        <f>'II_Inkunabeln+'!AG413</f>
        <v>0</v>
      </c>
      <c r="H413" s="93">
        <f>'II_Inkunabeln+'!AP413</f>
        <v>0</v>
      </c>
      <c r="I413" s="93">
        <f>'II_Inkunabeln+'!AQ413</f>
        <v>0</v>
      </c>
      <c r="J413" s="94"/>
      <c r="K413" s="93">
        <f>'II_Inkunabeln+'!AW413</f>
        <v>0</v>
      </c>
      <c r="L413" s="93">
        <f>'II_Inkunabeln+'!AX413</f>
        <v>0</v>
      </c>
      <c r="AA413" s="93">
        <f>'II_Inkunabeln+'!AY413</f>
        <v>0</v>
      </c>
      <c r="AB413" s="94">
        <f>'II_Inkunabeln+'!BA413</f>
        <v>0</v>
      </c>
      <c r="AC413" s="108"/>
      <c r="AD413" s="81">
        <f>'II_Inkunabeln+'!BJ413</f>
        <v>0</v>
      </c>
    </row>
    <row r="414" spans="1:30" x14ac:dyDescent="0.25">
      <c r="A414" s="63">
        <f>'II_Inkunabeln+'!A414</f>
        <v>0</v>
      </c>
      <c r="B414" s="63">
        <f>'II_Inkunabeln+'!B414</f>
        <v>0</v>
      </c>
      <c r="C414" s="63">
        <f>'II_Inkunabeln+'!C414</f>
        <v>0</v>
      </c>
      <c r="D414" s="84">
        <f>'II_Inkunabeln+'!D414</f>
        <v>0</v>
      </c>
      <c r="E414" s="63" t="str">
        <f>'II_Inkunabeln+'!E414</f>
        <v>II 30,2i - 3</v>
      </c>
      <c r="F414" s="63" t="str">
        <f>'II_Inkunabeln+'!H414</f>
        <v>&gt; 42 cm</v>
      </c>
      <c r="G414" s="93">
        <f>'II_Inkunabeln+'!AG414</f>
        <v>0</v>
      </c>
      <c r="H414" s="93">
        <f>'II_Inkunabeln+'!AP414</f>
        <v>0</v>
      </c>
      <c r="I414" s="93">
        <f>'II_Inkunabeln+'!AQ414</f>
        <v>0</v>
      </c>
      <c r="J414" s="94"/>
      <c r="K414" s="93">
        <f>'II_Inkunabeln+'!AW414</f>
        <v>0</v>
      </c>
      <c r="L414" s="93">
        <f>'II_Inkunabeln+'!AX414</f>
        <v>0</v>
      </c>
      <c r="AA414" s="93">
        <f>'II_Inkunabeln+'!AY414</f>
        <v>0</v>
      </c>
      <c r="AB414" s="94">
        <f>'II_Inkunabeln+'!BA414</f>
        <v>0</v>
      </c>
      <c r="AC414" s="108"/>
      <c r="AD414" s="81">
        <f>'II_Inkunabeln+'!BJ414</f>
        <v>0</v>
      </c>
    </row>
    <row r="415" spans="1:30" x14ac:dyDescent="0.25">
      <c r="A415" s="63">
        <f>'II_Inkunabeln+'!A415</f>
        <v>0</v>
      </c>
      <c r="B415" s="63">
        <f>'II_Inkunabeln+'!B415</f>
        <v>0</v>
      </c>
      <c r="C415" s="63">
        <f>'II_Inkunabeln+'!C415</f>
        <v>0</v>
      </c>
      <c r="D415" s="84">
        <f>'II_Inkunabeln+'!D415</f>
        <v>0</v>
      </c>
      <c r="E415" s="63" t="str">
        <f>'II_Inkunabeln+'!E415</f>
        <v>II 30,2i - 4</v>
      </c>
      <c r="F415" s="63" t="str">
        <f>'II_Inkunabeln+'!H415</f>
        <v>&gt; 42 cm</v>
      </c>
      <c r="G415" s="93">
        <f>'II_Inkunabeln+'!AG415</f>
        <v>0</v>
      </c>
      <c r="H415" s="93">
        <f>'II_Inkunabeln+'!AP415</f>
        <v>0</v>
      </c>
      <c r="I415" s="93">
        <f>'II_Inkunabeln+'!AQ415</f>
        <v>0</v>
      </c>
      <c r="J415" s="94"/>
      <c r="K415" s="93">
        <f>'II_Inkunabeln+'!AW415</f>
        <v>0</v>
      </c>
      <c r="L415" s="93">
        <f>'II_Inkunabeln+'!AX415</f>
        <v>0</v>
      </c>
      <c r="AA415" s="93">
        <f>'II_Inkunabeln+'!AY415</f>
        <v>0</v>
      </c>
      <c r="AB415" s="94">
        <f>'II_Inkunabeln+'!BA415</f>
        <v>0</v>
      </c>
      <c r="AC415" s="108"/>
      <c r="AD415" s="81">
        <f>'II_Inkunabeln+'!BJ415</f>
        <v>0</v>
      </c>
    </row>
    <row r="416" spans="1:30" x14ac:dyDescent="0.25">
      <c r="A416" s="63">
        <f>'II_Inkunabeln+'!A416</f>
        <v>395</v>
      </c>
      <c r="B416" s="63" t="str">
        <f>'II_Inkunabeln+'!B416</f>
        <v>L-1480-316102806</v>
      </c>
      <c r="C416" s="63" t="str">
        <f>'II_Inkunabeln+'!C416</f>
        <v>106696291X</v>
      </c>
      <c r="D416" s="84" t="str">
        <f>'II_Inkunabeln+'!D416</f>
        <v>https://portal.dnb.de/opac.htm?method=simpleSearch&amp;cqlMode=true&amp;query=idn%3D106696291X</v>
      </c>
      <c r="E416" s="63" t="str">
        <f>'II_Inkunabeln+'!E416</f>
        <v>II 30,2ia - Fragm.</v>
      </c>
      <c r="F416" s="63">
        <f>'II_Inkunabeln+'!H416</f>
        <v>0</v>
      </c>
      <c r="G416" s="93">
        <f>'II_Inkunabeln+'!AG416</f>
        <v>0</v>
      </c>
      <c r="H416" s="93">
        <f>'II_Inkunabeln+'!AP416</f>
        <v>0</v>
      </c>
      <c r="I416" s="93">
        <f>'II_Inkunabeln+'!AQ416</f>
        <v>0</v>
      </c>
      <c r="J416" s="94"/>
      <c r="K416" s="93">
        <f>'II_Inkunabeln+'!AW416</f>
        <v>0</v>
      </c>
      <c r="L416" s="93">
        <f>'II_Inkunabeln+'!AX416</f>
        <v>0</v>
      </c>
      <c r="AA416" s="93">
        <f>'II_Inkunabeln+'!AY416</f>
        <v>0</v>
      </c>
      <c r="AB416" s="94">
        <f>'II_Inkunabeln+'!BA416</f>
        <v>0</v>
      </c>
      <c r="AC416" s="108"/>
      <c r="AD416" s="81">
        <f>'II_Inkunabeln+'!BJ416</f>
        <v>0</v>
      </c>
    </row>
    <row r="417" spans="1:30" x14ac:dyDescent="0.25">
      <c r="A417" s="63">
        <f>'II_Inkunabeln+'!A417</f>
        <v>396</v>
      </c>
      <c r="B417" s="63" t="str">
        <f>'II_Inkunabeln+'!B417</f>
        <v>L-1471-315498870</v>
      </c>
      <c r="C417" s="63">
        <f>'II_Inkunabeln+'!C417</f>
        <v>1066968616</v>
      </c>
      <c r="D417" s="84" t="str">
        <f>'II_Inkunabeln+'!D417</f>
        <v>https://portal.dnb.de/opac.htm?method=simpleSearch&amp;cqlMode=true&amp;query=idn%3D1066968616</v>
      </c>
      <c r="E417" s="63" t="str">
        <f>'II_Inkunabeln+'!E417</f>
        <v>II 30,3a</v>
      </c>
      <c r="F417" s="63">
        <f>'II_Inkunabeln+'!H417</f>
        <v>0</v>
      </c>
      <c r="G417" s="93">
        <f>'II_Inkunabeln+'!AG417</f>
        <v>0</v>
      </c>
      <c r="H417" s="93">
        <f>'II_Inkunabeln+'!AP417</f>
        <v>0</v>
      </c>
      <c r="I417" s="93">
        <f>'II_Inkunabeln+'!AQ417</f>
        <v>0</v>
      </c>
      <c r="J417" s="94"/>
      <c r="K417" s="93">
        <f>'II_Inkunabeln+'!AW417</f>
        <v>0</v>
      </c>
      <c r="L417" s="93">
        <f>'II_Inkunabeln+'!AX417</f>
        <v>0</v>
      </c>
      <c r="AA417" s="93">
        <f>'II_Inkunabeln+'!AY417</f>
        <v>0</v>
      </c>
      <c r="AB417" s="94">
        <f>'II_Inkunabeln+'!BA417</f>
        <v>0</v>
      </c>
      <c r="AC417" s="108"/>
      <c r="AD417" s="81">
        <f>'II_Inkunabeln+'!BJ417</f>
        <v>0</v>
      </c>
    </row>
    <row r="418" spans="1:30" x14ac:dyDescent="0.25">
      <c r="A418" s="63">
        <f>'II_Inkunabeln+'!A418</f>
        <v>397</v>
      </c>
      <c r="B418" s="63" t="str">
        <f>'II_Inkunabeln+'!B418</f>
        <v>L-1472-315499877</v>
      </c>
      <c r="C418" s="63">
        <f>'II_Inkunabeln+'!C418</f>
        <v>1066969558</v>
      </c>
      <c r="D418" s="84" t="str">
        <f>'II_Inkunabeln+'!D418</f>
        <v>https://portal.dnb.de/opac.htm?method=simpleSearch&amp;cqlMode=true&amp;query=idn%3D1066969558</v>
      </c>
      <c r="E418" s="63" t="str">
        <f>'II_Inkunabeln+'!E418</f>
        <v>II 30,3b</v>
      </c>
      <c r="F418" s="63">
        <f>'II_Inkunabeln+'!H418</f>
        <v>0</v>
      </c>
      <c r="G418" s="93">
        <f>'II_Inkunabeln+'!AG418</f>
        <v>0</v>
      </c>
      <c r="H418" s="93">
        <f>'II_Inkunabeln+'!AP418</f>
        <v>0</v>
      </c>
      <c r="I418" s="93">
        <f>'II_Inkunabeln+'!AQ418</f>
        <v>0</v>
      </c>
      <c r="J418" s="94"/>
      <c r="K418" s="93">
        <f>'II_Inkunabeln+'!AW418</f>
        <v>0</v>
      </c>
      <c r="L418" s="93">
        <f>'II_Inkunabeln+'!AX418</f>
        <v>0</v>
      </c>
      <c r="AA418" s="93">
        <f>'II_Inkunabeln+'!AY418</f>
        <v>0</v>
      </c>
      <c r="AB418" s="94">
        <f>'II_Inkunabeln+'!BA418</f>
        <v>0</v>
      </c>
      <c r="AC418" s="108"/>
      <c r="AD418" s="81">
        <f>'II_Inkunabeln+'!BJ418</f>
        <v>0</v>
      </c>
    </row>
    <row r="419" spans="1:30" x14ac:dyDescent="0.25">
      <c r="A419" s="63">
        <f>'II_Inkunabeln+'!A419</f>
        <v>398</v>
      </c>
      <c r="B419" s="63" t="str">
        <f>'II_Inkunabeln+'!B419</f>
        <v>L-1472-31549879X</v>
      </c>
      <c r="C419" s="63">
        <f>'II_Inkunabeln+'!C419</f>
        <v>1066968535</v>
      </c>
      <c r="D419" s="84" t="str">
        <f>'II_Inkunabeln+'!D419</f>
        <v>https://portal.dnb.de/opac.htm?method=simpleSearch&amp;cqlMode=true&amp;query=idn%3D1066968535</v>
      </c>
      <c r="E419" s="63" t="str">
        <f>'II_Inkunabeln+'!E419</f>
        <v>II 30,3c</v>
      </c>
      <c r="F419" s="63">
        <f>'II_Inkunabeln+'!H419</f>
        <v>0</v>
      </c>
      <c r="G419" s="93">
        <f>'II_Inkunabeln+'!AG419</f>
        <v>0</v>
      </c>
      <c r="H419" s="93">
        <f>'II_Inkunabeln+'!AP419</f>
        <v>0</v>
      </c>
      <c r="I419" s="93">
        <f>'II_Inkunabeln+'!AQ419</f>
        <v>0</v>
      </c>
      <c r="J419" s="94"/>
      <c r="K419" s="93">
        <f>'II_Inkunabeln+'!AW419</f>
        <v>0</v>
      </c>
      <c r="L419" s="93">
        <f>'II_Inkunabeln+'!AX419</f>
        <v>0</v>
      </c>
      <c r="AA419" s="93">
        <f>'II_Inkunabeln+'!AY419</f>
        <v>0</v>
      </c>
      <c r="AB419" s="94">
        <f>'II_Inkunabeln+'!BA419</f>
        <v>0</v>
      </c>
      <c r="AC419" s="108"/>
      <c r="AD419" s="81">
        <f>'II_Inkunabeln+'!BJ419</f>
        <v>0</v>
      </c>
    </row>
    <row r="420" spans="1:30" x14ac:dyDescent="0.25">
      <c r="A420" s="63">
        <f>'II_Inkunabeln+'!A420</f>
        <v>399</v>
      </c>
      <c r="B420" s="63" t="str">
        <f>'II_Inkunabeln+'!B420</f>
        <v>L-1474-315501014</v>
      </c>
      <c r="C420" s="63">
        <f>'II_Inkunabeln+'!C420</f>
        <v>1066970661</v>
      </c>
      <c r="D420" s="84" t="str">
        <f>'II_Inkunabeln+'!D420</f>
        <v>https://portal.dnb.de/opac.htm?method=simpleSearch&amp;cqlMode=true&amp;query=idn%3D1066970661</v>
      </c>
      <c r="E420" s="63" t="str">
        <f>'II_Inkunabeln+'!E420</f>
        <v>II 30,3d</v>
      </c>
      <c r="F420" s="63">
        <f>'II_Inkunabeln+'!H420</f>
        <v>0</v>
      </c>
      <c r="G420" s="93">
        <f>'II_Inkunabeln+'!AG420</f>
        <v>0</v>
      </c>
      <c r="H420" s="93">
        <f>'II_Inkunabeln+'!AP420</f>
        <v>0</v>
      </c>
      <c r="I420" s="93">
        <f>'II_Inkunabeln+'!AQ420</f>
        <v>0</v>
      </c>
      <c r="J420" s="94"/>
      <c r="K420" s="93">
        <f>'II_Inkunabeln+'!AW420</f>
        <v>0</v>
      </c>
      <c r="L420" s="93">
        <f>'II_Inkunabeln+'!AX420</f>
        <v>0</v>
      </c>
      <c r="AA420" s="93">
        <f>'II_Inkunabeln+'!AY420</f>
        <v>0</v>
      </c>
      <c r="AB420" s="94">
        <f>'II_Inkunabeln+'!BA420</f>
        <v>0</v>
      </c>
      <c r="AC420" s="108"/>
      <c r="AD420" s="81">
        <f>'II_Inkunabeln+'!BJ420</f>
        <v>0</v>
      </c>
    </row>
    <row r="421" spans="1:30" x14ac:dyDescent="0.25">
      <c r="A421" s="63">
        <f>'II_Inkunabeln+'!A421</f>
        <v>400</v>
      </c>
      <c r="B421" s="63" t="str">
        <f>'II_Inkunabeln+'!B421</f>
        <v>L-1474-315496541</v>
      </c>
      <c r="C421" s="63">
        <f>'II_Inkunabeln+'!C421</f>
        <v>1066966257</v>
      </c>
      <c r="D421" s="84" t="str">
        <f>'II_Inkunabeln+'!D421</f>
        <v>https://portal.dnb.de/opac.htm?method=simpleSearch&amp;cqlMode=true&amp;query=idn%3D1066966257</v>
      </c>
      <c r="E421" s="63" t="str">
        <f>'II_Inkunabeln+'!E421</f>
        <v>II 30,3e</v>
      </c>
      <c r="F421" s="63">
        <f>'II_Inkunabeln+'!H421</f>
        <v>0</v>
      </c>
      <c r="G421" s="93">
        <f>'II_Inkunabeln+'!AG421</f>
        <v>0</v>
      </c>
      <c r="H421" s="93">
        <f>'II_Inkunabeln+'!AP421</f>
        <v>0</v>
      </c>
      <c r="I421" s="93">
        <f>'II_Inkunabeln+'!AQ421</f>
        <v>0</v>
      </c>
      <c r="J421" s="94"/>
      <c r="K421" s="93">
        <f>'II_Inkunabeln+'!AW421</f>
        <v>0</v>
      </c>
      <c r="L421" s="93">
        <f>'II_Inkunabeln+'!AX421</f>
        <v>0</v>
      </c>
      <c r="AA421" s="93">
        <f>'II_Inkunabeln+'!AY421</f>
        <v>0</v>
      </c>
      <c r="AB421" s="94">
        <f>'II_Inkunabeln+'!BA421</f>
        <v>0</v>
      </c>
      <c r="AC421" s="108"/>
      <c r="AD421" s="81">
        <f>'II_Inkunabeln+'!BJ421</f>
        <v>0</v>
      </c>
    </row>
    <row r="422" spans="1:30" x14ac:dyDescent="0.25">
      <c r="A422" s="63">
        <f>'II_Inkunabeln+'!A422</f>
        <v>401</v>
      </c>
      <c r="B422" s="63" t="str">
        <f>'II_Inkunabeln+'!B422</f>
        <v>L-1468-315496703</v>
      </c>
      <c r="C422" s="63">
        <f>'II_Inkunabeln+'!C422</f>
        <v>1066966427</v>
      </c>
      <c r="D422" s="84" t="str">
        <f>'II_Inkunabeln+'!D422</f>
        <v>https://portal.dnb.de/opac.htm?method=simpleSearch&amp;cqlMode=true&amp;query=idn%3D1066966427</v>
      </c>
      <c r="E422" s="63" t="str">
        <f>'II_Inkunabeln+'!E422</f>
        <v>II 30,3f - Fragm.</v>
      </c>
      <c r="F422" s="63">
        <f>'II_Inkunabeln+'!H422</f>
        <v>0</v>
      </c>
      <c r="G422" s="93">
        <f>'II_Inkunabeln+'!AG422</f>
        <v>0</v>
      </c>
      <c r="H422" s="93">
        <f>'II_Inkunabeln+'!AP422</f>
        <v>0</v>
      </c>
      <c r="I422" s="93">
        <f>'II_Inkunabeln+'!AQ422</f>
        <v>0</v>
      </c>
      <c r="J422" s="94"/>
      <c r="K422" s="93">
        <f>'II_Inkunabeln+'!AW422</f>
        <v>0</v>
      </c>
      <c r="L422" s="93">
        <f>'II_Inkunabeln+'!AX422</f>
        <v>0</v>
      </c>
      <c r="AA422" s="93">
        <f>'II_Inkunabeln+'!AY422</f>
        <v>0</v>
      </c>
      <c r="AB422" s="94">
        <f>'II_Inkunabeln+'!BA422</f>
        <v>0</v>
      </c>
      <c r="AC422" s="108"/>
      <c r="AD422" s="81">
        <f>'II_Inkunabeln+'!BJ422</f>
        <v>0</v>
      </c>
    </row>
    <row r="423" spans="1:30" x14ac:dyDescent="0.25">
      <c r="A423" s="63">
        <f>'II_Inkunabeln+'!A423</f>
        <v>402</v>
      </c>
      <c r="B423" s="63" t="str">
        <f>'II_Inkunabeln+'!B423</f>
        <v>L-1474-315497254</v>
      </c>
      <c r="C423" s="63">
        <f>'II_Inkunabeln+'!C423</f>
        <v>1066966958</v>
      </c>
      <c r="D423" s="84" t="str">
        <f>'II_Inkunabeln+'!D423</f>
        <v>https://portal.dnb.de/opac.htm?method=simpleSearch&amp;cqlMode=true&amp;query=idn%3D1066966958</v>
      </c>
      <c r="E423" s="63" t="str">
        <f>'II_Inkunabeln+'!E423</f>
        <v>II 30,3h</v>
      </c>
      <c r="F423" s="63" t="str">
        <f>'II_Inkunabeln+'!H423</f>
        <v>bis 35 cm</v>
      </c>
      <c r="G423" s="93">
        <f>'II_Inkunabeln+'!AG423</f>
        <v>0</v>
      </c>
      <c r="H423" s="93">
        <f>'II_Inkunabeln+'!AP423</f>
        <v>0</v>
      </c>
      <c r="I423" s="93">
        <f>'II_Inkunabeln+'!AQ423</f>
        <v>0</v>
      </c>
      <c r="J423" s="94"/>
      <c r="K423" s="93">
        <f>'II_Inkunabeln+'!AW423</f>
        <v>0</v>
      </c>
      <c r="L423" s="93">
        <f>'II_Inkunabeln+'!AX423</f>
        <v>0</v>
      </c>
      <c r="AA423" s="93">
        <f>'II_Inkunabeln+'!AY423</f>
        <v>0</v>
      </c>
      <c r="AB423" s="94">
        <f>'II_Inkunabeln+'!BA423</f>
        <v>0</v>
      </c>
      <c r="AC423" s="108"/>
      <c r="AD423" s="81">
        <f>'II_Inkunabeln+'!BJ423</f>
        <v>0</v>
      </c>
    </row>
    <row r="424" spans="1:30" x14ac:dyDescent="0.25">
      <c r="A424" s="63">
        <f>'II_Inkunabeln+'!A424</f>
        <v>403</v>
      </c>
      <c r="B424" s="63" t="str">
        <f>'II_Inkunabeln+'!B424</f>
        <v>L-1470-315497297</v>
      </c>
      <c r="C424" s="63">
        <f>'II_Inkunabeln+'!C424</f>
        <v>1066966990</v>
      </c>
      <c r="D424" s="84" t="str">
        <f>'II_Inkunabeln+'!D424</f>
        <v>https://portal.dnb.de/opac.htm?method=simpleSearch&amp;cqlMode=true&amp;query=idn%3D1066966990</v>
      </c>
      <c r="E424" s="63" t="str">
        <f>'II_Inkunabeln+'!E424</f>
        <v>II 30,3i</v>
      </c>
      <c r="F424" s="63">
        <f>'II_Inkunabeln+'!H424</f>
        <v>0</v>
      </c>
      <c r="G424" s="93">
        <f>'II_Inkunabeln+'!AG424</f>
        <v>0</v>
      </c>
      <c r="H424" s="93">
        <f>'II_Inkunabeln+'!AP424</f>
        <v>0</v>
      </c>
      <c r="I424" s="93">
        <f>'II_Inkunabeln+'!AQ424</f>
        <v>0</v>
      </c>
      <c r="J424" s="94"/>
      <c r="K424" s="93">
        <f>'II_Inkunabeln+'!AW424</f>
        <v>0</v>
      </c>
      <c r="L424" s="93">
        <f>'II_Inkunabeln+'!AX424</f>
        <v>0</v>
      </c>
      <c r="AA424" s="93">
        <f>'II_Inkunabeln+'!AY424</f>
        <v>0</v>
      </c>
      <c r="AB424" s="94">
        <f>'II_Inkunabeln+'!BA424</f>
        <v>0</v>
      </c>
      <c r="AC424" s="108"/>
      <c r="AD424" s="81">
        <f>'II_Inkunabeln+'!BJ424</f>
        <v>0</v>
      </c>
    </row>
    <row r="425" spans="1:30" x14ac:dyDescent="0.25">
      <c r="A425" s="63">
        <f>'II_Inkunabeln+'!A425</f>
        <v>404</v>
      </c>
      <c r="B425" s="63" t="str">
        <f>'II_Inkunabeln+'!B425</f>
        <v>L-1473-315498560</v>
      </c>
      <c r="C425" s="63">
        <f>'II_Inkunabeln+'!C425</f>
        <v>1066968314</v>
      </c>
      <c r="D425" s="84" t="str">
        <f>'II_Inkunabeln+'!D425</f>
        <v>https://portal.dnb.de/opac.htm?method=simpleSearch&amp;cqlMode=true&amp;query=idn%3D1066968314</v>
      </c>
      <c r="E425" s="63" t="str">
        <f>'II_Inkunabeln+'!E425</f>
        <v>II 30,3k</v>
      </c>
      <c r="F425" s="63">
        <f>'II_Inkunabeln+'!H425</f>
        <v>0</v>
      </c>
      <c r="G425" s="93">
        <f>'II_Inkunabeln+'!AG425</f>
        <v>0</v>
      </c>
      <c r="H425" s="93">
        <f>'II_Inkunabeln+'!AP425</f>
        <v>0</v>
      </c>
      <c r="I425" s="93">
        <f>'II_Inkunabeln+'!AQ425</f>
        <v>0</v>
      </c>
      <c r="J425" s="94"/>
      <c r="K425" s="93">
        <f>'II_Inkunabeln+'!AW425</f>
        <v>0</v>
      </c>
      <c r="L425" s="93">
        <f>'II_Inkunabeln+'!AX425</f>
        <v>0</v>
      </c>
      <c r="AA425" s="93">
        <f>'II_Inkunabeln+'!AY425</f>
        <v>0</v>
      </c>
      <c r="AB425" s="94">
        <f>'II_Inkunabeln+'!BA425</f>
        <v>0</v>
      </c>
      <c r="AC425" s="108"/>
      <c r="AD425" s="81">
        <f>'II_Inkunabeln+'!BJ425</f>
        <v>0</v>
      </c>
    </row>
    <row r="426" spans="1:30" x14ac:dyDescent="0.25">
      <c r="A426" s="63">
        <f>'II_Inkunabeln+'!A426</f>
        <v>405</v>
      </c>
      <c r="B426" s="63" t="str">
        <f>'II_Inkunabeln+'!B426</f>
        <v>L-1470-315499001</v>
      </c>
      <c r="C426" s="63">
        <f>'II_Inkunabeln+'!C426</f>
        <v>1066968756</v>
      </c>
      <c r="D426" s="84" t="str">
        <f>'II_Inkunabeln+'!D426</f>
        <v>https://portal.dnb.de/opac.htm?method=simpleSearch&amp;cqlMode=true&amp;query=idn%3D1066968756</v>
      </c>
      <c r="E426" s="63" t="str">
        <f>'II_Inkunabeln+'!E426</f>
        <v>II 30,3l</v>
      </c>
      <c r="F426" s="63">
        <f>'II_Inkunabeln+'!H426</f>
        <v>0</v>
      </c>
      <c r="G426" s="93">
        <f>'II_Inkunabeln+'!AG426</f>
        <v>0</v>
      </c>
      <c r="H426" s="93">
        <f>'II_Inkunabeln+'!AP426</f>
        <v>0</v>
      </c>
      <c r="I426" s="93">
        <f>'II_Inkunabeln+'!AQ426</f>
        <v>0</v>
      </c>
      <c r="J426" s="94"/>
      <c r="K426" s="93">
        <f>'II_Inkunabeln+'!AW426</f>
        <v>0</v>
      </c>
      <c r="L426" s="93">
        <f>'II_Inkunabeln+'!AX426</f>
        <v>0</v>
      </c>
      <c r="AA426" s="93">
        <f>'II_Inkunabeln+'!AY426</f>
        <v>0</v>
      </c>
      <c r="AB426" s="94">
        <f>'II_Inkunabeln+'!BA426</f>
        <v>0</v>
      </c>
      <c r="AC426" s="108"/>
      <c r="AD426" s="81">
        <f>'II_Inkunabeln+'!BJ426</f>
        <v>0</v>
      </c>
    </row>
    <row r="427" spans="1:30" x14ac:dyDescent="0.25">
      <c r="A427" s="63">
        <f>'II_Inkunabeln+'!A427</f>
        <v>406</v>
      </c>
      <c r="B427" s="63" t="str">
        <f>'II_Inkunabeln+'!B427</f>
        <v>L-1473-315499729</v>
      </c>
      <c r="C427" s="63" t="str">
        <f>'II_Inkunabeln+'!C427</f>
        <v>106696940X</v>
      </c>
      <c r="D427" s="84" t="str">
        <f>'II_Inkunabeln+'!D427</f>
        <v>https://portal.dnb.de/opac.htm?method=simpleSearch&amp;cqlMode=true&amp;query=idn%3D106696940X</v>
      </c>
      <c r="E427" s="63" t="str">
        <f>'II_Inkunabeln+'!E427</f>
        <v>II 30,3m</v>
      </c>
      <c r="F427" s="63" t="str">
        <f>'II_Inkunabeln+'!H427</f>
        <v>bis 25 cm</v>
      </c>
      <c r="G427" s="93">
        <f>'II_Inkunabeln+'!AG427</f>
        <v>0</v>
      </c>
      <c r="H427" s="93">
        <f>'II_Inkunabeln+'!AP427</f>
        <v>0</v>
      </c>
      <c r="I427" s="93">
        <f>'II_Inkunabeln+'!AQ427</f>
        <v>0</v>
      </c>
      <c r="J427" s="94"/>
      <c r="K427" s="93">
        <f>'II_Inkunabeln+'!AW427</f>
        <v>0</v>
      </c>
      <c r="L427" s="93">
        <f>'II_Inkunabeln+'!AX427</f>
        <v>0</v>
      </c>
      <c r="AA427" s="93">
        <f>'II_Inkunabeln+'!AY427</f>
        <v>0</v>
      </c>
      <c r="AB427" s="94">
        <f>'II_Inkunabeln+'!BA427</f>
        <v>0</v>
      </c>
      <c r="AC427" s="108"/>
      <c r="AD427" s="81">
        <f>'II_Inkunabeln+'!BJ427</f>
        <v>0</v>
      </c>
    </row>
    <row r="428" spans="1:30" x14ac:dyDescent="0.25">
      <c r="A428" s="63">
        <f>'II_Inkunabeln+'!A428</f>
        <v>407</v>
      </c>
      <c r="B428" s="63" t="str">
        <f>'II_Inkunabeln+'!B428</f>
        <v>L-1475-315501022</v>
      </c>
      <c r="C428" s="63" t="str">
        <f>'II_Inkunabeln+'!C428</f>
        <v>106697067X</v>
      </c>
      <c r="D428" s="84" t="str">
        <f>'II_Inkunabeln+'!D428</f>
        <v>https://portal.dnb.de/opac.htm?method=simpleSearch&amp;cqlMode=true&amp;query=idn%3D106697067X</v>
      </c>
      <c r="E428" s="63" t="str">
        <f>'II_Inkunabeln+'!E428</f>
        <v>II 30,3n</v>
      </c>
      <c r="F428" s="63">
        <f>'II_Inkunabeln+'!H428</f>
        <v>0</v>
      </c>
      <c r="G428" s="93">
        <f>'II_Inkunabeln+'!AG428</f>
        <v>0</v>
      </c>
      <c r="H428" s="93">
        <f>'II_Inkunabeln+'!AP428</f>
        <v>0</v>
      </c>
      <c r="I428" s="93">
        <f>'II_Inkunabeln+'!AQ428</f>
        <v>0</v>
      </c>
      <c r="J428" s="94"/>
      <c r="K428" s="93">
        <f>'II_Inkunabeln+'!AW428</f>
        <v>0</v>
      </c>
      <c r="L428" s="93">
        <f>'II_Inkunabeln+'!AX428</f>
        <v>0</v>
      </c>
      <c r="AA428" s="93">
        <f>'II_Inkunabeln+'!AY428</f>
        <v>0</v>
      </c>
      <c r="AB428" s="94">
        <f>'II_Inkunabeln+'!BA428</f>
        <v>0</v>
      </c>
      <c r="AC428" s="108"/>
      <c r="AD428" s="81">
        <f>'II_Inkunabeln+'!BJ428</f>
        <v>0</v>
      </c>
    </row>
    <row r="429" spans="1:30" x14ac:dyDescent="0.25">
      <c r="A429" s="63">
        <f>'II_Inkunabeln+'!A429</f>
        <v>408</v>
      </c>
      <c r="B429" s="63" t="str">
        <f>'II_Inkunabeln+'!B429</f>
        <v>L-1471-31550191X</v>
      </c>
      <c r="C429" s="63">
        <f>'II_Inkunabeln+'!C429</f>
        <v>1066971536</v>
      </c>
      <c r="D429" s="84" t="str">
        <f>'II_Inkunabeln+'!D429</f>
        <v>https://portal.dnb.de/opac.htm?method=simpleSearch&amp;cqlMode=true&amp;query=idn%3D1066971536</v>
      </c>
      <c r="E429" s="63" t="str">
        <f>'II_Inkunabeln+'!E429</f>
        <v>II 30,3o</v>
      </c>
      <c r="F429" s="63">
        <f>'II_Inkunabeln+'!H429</f>
        <v>0</v>
      </c>
      <c r="G429" s="93">
        <f>'II_Inkunabeln+'!AG429</f>
        <v>0</v>
      </c>
      <c r="H429" s="93">
        <f>'II_Inkunabeln+'!AP429</f>
        <v>0</v>
      </c>
      <c r="I429" s="93">
        <f>'II_Inkunabeln+'!AQ429</f>
        <v>0</v>
      </c>
      <c r="J429" s="94"/>
      <c r="K429" s="93">
        <f>'II_Inkunabeln+'!AW429</f>
        <v>0</v>
      </c>
      <c r="L429" s="93">
        <f>'II_Inkunabeln+'!AX429</f>
        <v>0</v>
      </c>
      <c r="AA429" s="93">
        <f>'II_Inkunabeln+'!AY429</f>
        <v>0</v>
      </c>
      <c r="AB429" s="94">
        <f>'II_Inkunabeln+'!BA429</f>
        <v>0</v>
      </c>
      <c r="AC429" s="108"/>
      <c r="AD429" s="81">
        <f>'II_Inkunabeln+'!BJ429</f>
        <v>0</v>
      </c>
    </row>
    <row r="430" spans="1:30" x14ac:dyDescent="0.25">
      <c r="A430" s="63">
        <f>'II_Inkunabeln+'!A430</f>
        <v>409</v>
      </c>
      <c r="B430" s="63" t="str">
        <f>'II_Inkunabeln+'!B430</f>
        <v>L-1473-315496118</v>
      </c>
      <c r="C430" s="63">
        <f>'II_Inkunabeln+'!C430</f>
        <v>1066965846</v>
      </c>
      <c r="D430" s="84" t="str">
        <f>'II_Inkunabeln+'!D430</f>
        <v>https://portal.dnb.de/opac.htm?method=simpleSearch&amp;cqlMode=true&amp;query=idn%3D1066965846</v>
      </c>
      <c r="E430" s="63" t="str">
        <f>'II_Inkunabeln+'!E430</f>
        <v>II 30,5a</v>
      </c>
      <c r="F430" s="63" t="str">
        <f>'II_Inkunabeln+'!H430</f>
        <v>bis 35 cm</v>
      </c>
      <c r="G430" s="93">
        <f>'II_Inkunabeln+'!AG430</f>
        <v>0</v>
      </c>
      <c r="H430" s="93">
        <f>'II_Inkunabeln+'!AP430</f>
        <v>0</v>
      </c>
      <c r="I430" s="93">
        <f>'II_Inkunabeln+'!AQ430</f>
        <v>0</v>
      </c>
      <c r="J430" s="94"/>
      <c r="K430" s="93">
        <f>'II_Inkunabeln+'!AW430</f>
        <v>0</v>
      </c>
      <c r="L430" s="93">
        <f>'II_Inkunabeln+'!AX430</f>
        <v>0</v>
      </c>
      <c r="AA430" s="93">
        <f>'II_Inkunabeln+'!AY430</f>
        <v>0</v>
      </c>
      <c r="AB430" s="94">
        <f>'II_Inkunabeln+'!BA430</f>
        <v>0</v>
      </c>
      <c r="AC430" s="108"/>
      <c r="AD430" s="81">
        <f>'II_Inkunabeln+'!BJ430</f>
        <v>0</v>
      </c>
    </row>
    <row r="431" spans="1:30" x14ac:dyDescent="0.25">
      <c r="A431" s="63">
        <f>'II_Inkunabeln+'!A431</f>
        <v>410</v>
      </c>
      <c r="B431" s="63" t="str">
        <f>'II_Inkunabeln+'!B431</f>
        <v>L-1474-315496517</v>
      </c>
      <c r="C431" s="63">
        <f>'II_Inkunabeln+'!C431</f>
        <v>1066966222</v>
      </c>
      <c r="D431" s="84" t="str">
        <f>'II_Inkunabeln+'!D431</f>
        <v>https://portal.dnb.de/opac.htm?method=simpleSearch&amp;cqlMode=true&amp;query=idn%3D1066966222</v>
      </c>
      <c r="E431" s="63" t="str">
        <f>'II_Inkunabeln+'!E431</f>
        <v>II 30,5b</v>
      </c>
      <c r="F431" s="63">
        <f>'II_Inkunabeln+'!H431</f>
        <v>0</v>
      </c>
      <c r="G431" s="93">
        <f>'II_Inkunabeln+'!AG431</f>
        <v>0</v>
      </c>
      <c r="H431" s="93">
        <f>'II_Inkunabeln+'!AP431</f>
        <v>0</v>
      </c>
      <c r="I431" s="93">
        <f>'II_Inkunabeln+'!AQ431</f>
        <v>0</v>
      </c>
      <c r="J431" s="94"/>
      <c r="K431" s="93">
        <f>'II_Inkunabeln+'!AW431</f>
        <v>0</v>
      </c>
      <c r="L431" s="93">
        <f>'II_Inkunabeln+'!AX431</f>
        <v>0</v>
      </c>
      <c r="AA431" s="93">
        <f>'II_Inkunabeln+'!AY431</f>
        <v>0</v>
      </c>
      <c r="AB431" s="94">
        <f>'II_Inkunabeln+'!BA431</f>
        <v>0</v>
      </c>
      <c r="AC431" s="108"/>
      <c r="AD431" s="81">
        <f>'II_Inkunabeln+'!BJ431</f>
        <v>0</v>
      </c>
    </row>
    <row r="432" spans="1:30" x14ac:dyDescent="0.25">
      <c r="A432" s="63">
        <f>'II_Inkunabeln+'!A432</f>
        <v>411</v>
      </c>
      <c r="B432" s="63" t="str">
        <f>'II_Inkunabeln+'!B432</f>
        <v>L-1473-453522459</v>
      </c>
      <c r="C432" s="63">
        <f>'II_Inkunabeln+'!C432</f>
        <v>1162446471</v>
      </c>
      <c r="D432" s="84" t="str">
        <f>'II_Inkunabeln+'!D432</f>
        <v>https://portal.dnb.de/opac.htm?method=simpleSearch&amp;cqlMode=true&amp;query=idn%3D1162446471</v>
      </c>
      <c r="E432" s="63" t="str">
        <f>'II_Inkunabeln+'!E432</f>
        <v>II 30,5c</v>
      </c>
      <c r="F432" s="63" t="str">
        <f>'II_Inkunabeln+'!H432</f>
        <v>bis 35 cm</v>
      </c>
      <c r="G432" s="93">
        <f>'II_Inkunabeln+'!AG432</f>
        <v>0</v>
      </c>
      <c r="H432" s="93">
        <f>'II_Inkunabeln+'!AP432</f>
        <v>0</v>
      </c>
      <c r="I432" s="93">
        <f>'II_Inkunabeln+'!AQ432</f>
        <v>0</v>
      </c>
      <c r="J432" s="94"/>
      <c r="K432" s="93">
        <f>'II_Inkunabeln+'!AW432</f>
        <v>0</v>
      </c>
      <c r="L432" s="93">
        <f>'II_Inkunabeln+'!AX432</f>
        <v>0</v>
      </c>
      <c r="AA432" s="93">
        <f>'II_Inkunabeln+'!AY432</f>
        <v>0</v>
      </c>
      <c r="AB432" s="94">
        <f>'II_Inkunabeln+'!BA432</f>
        <v>0</v>
      </c>
      <c r="AC432" s="108"/>
      <c r="AD432" s="81">
        <f>'II_Inkunabeln+'!BJ432</f>
        <v>0</v>
      </c>
    </row>
    <row r="433" spans="1:30" x14ac:dyDescent="0.25">
      <c r="A433" s="63">
        <f>'II_Inkunabeln+'!A433</f>
        <v>412</v>
      </c>
      <c r="B433" s="63" t="str">
        <f>'II_Inkunabeln+'!B433</f>
        <v>L-1473-315499303</v>
      </c>
      <c r="C433" s="63">
        <f>'II_Inkunabeln+'!C433</f>
        <v>1066969027</v>
      </c>
      <c r="D433" s="84" t="str">
        <f>'II_Inkunabeln+'!D433</f>
        <v>https://portal.dnb.de/opac.htm?method=simpleSearch&amp;cqlMode=true&amp;query=idn%3D1066969027</v>
      </c>
      <c r="E433" s="63" t="str">
        <f>'II_Inkunabeln+'!E433</f>
        <v>II 30,5c (angebunden)</v>
      </c>
      <c r="F433" s="63">
        <f>'II_Inkunabeln+'!H433</f>
        <v>0</v>
      </c>
      <c r="G433" s="93">
        <f>'II_Inkunabeln+'!AG433</f>
        <v>0</v>
      </c>
      <c r="H433" s="93">
        <f>'II_Inkunabeln+'!AP433</f>
        <v>0</v>
      </c>
      <c r="I433" s="93">
        <f>'II_Inkunabeln+'!AQ433</f>
        <v>0</v>
      </c>
      <c r="J433" s="94"/>
      <c r="K433" s="93">
        <f>'II_Inkunabeln+'!AW433</f>
        <v>0</v>
      </c>
      <c r="L433" s="93">
        <f>'II_Inkunabeln+'!AX433</f>
        <v>0</v>
      </c>
      <c r="AA433" s="93">
        <f>'II_Inkunabeln+'!AY433</f>
        <v>0</v>
      </c>
      <c r="AB433" s="94">
        <f>'II_Inkunabeln+'!BA433</f>
        <v>0</v>
      </c>
      <c r="AC433" s="108"/>
      <c r="AD433" s="81">
        <f>'II_Inkunabeln+'!BJ433</f>
        <v>0</v>
      </c>
    </row>
    <row r="434" spans="1:30" x14ac:dyDescent="0.25">
      <c r="A434" s="63">
        <f>'II_Inkunabeln+'!A434</f>
        <v>413</v>
      </c>
      <c r="B434" s="63" t="str">
        <f>'II_Inkunabeln+'!B434</f>
        <v>L-1473-315501790</v>
      </c>
      <c r="C434" s="63">
        <f>'II_Inkunabeln+'!C434</f>
        <v>1066971420</v>
      </c>
      <c r="D434" s="84" t="str">
        <f>'II_Inkunabeln+'!D434</f>
        <v>https://portal.dnb.de/opac.htm?method=simpleSearch&amp;cqlMode=true&amp;query=idn%3D1066971420</v>
      </c>
      <c r="E434" s="63" t="str">
        <f>'II_Inkunabeln+'!E434</f>
        <v>II 30,5e</v>
      </c>
      <c r="F434" s="63" t="str">
        <f>'II_Inkunabeln+'!H434</f>
        <v>bis 35 cm</v>
      </c>
      <c r="G434" s="93">
        <f>'II_Inkunabeln+'!AG434</f>
        <v>0</v>
      </c>
      <c r="H434" s="93">
        <f>'II_Inkunabeln+'!AP434</f>
        <v>0</v>
      </c>
      <c r="I434" s="93">
        <f>'II_Inkunabeln+'!AQ434</f>
        <v>0</v>
      </c>
      <c r="J434" s="94"/>
      <c r="K434" s="93">
        <f>'II_Inkunabeln+'!AW434</f>
        <v>0</v>
      </c>
      <c r="L434" s="93">
        <f>'II_Inkunabeln+'!AX434</f>
        <v>0</v>
      </c>
      <c r="AA434" s="93">
        <f>'II_Inkunabeln+'!AY434</f>
        <v>0</v>
      </c>
      <c r="AB434" s="94">
        <f>'II_Inkunabeln+'!BA434</f>
        <v>0</v>
      </c>
      <c r="AC434" s="108"/>
      <c r="AD434" s="81">
        <f>'II_Inkunabeln+'!BJ434</f>
        <v>0</v>
      </c>
    </row>
    <row r="435" spans="1:30" x14ac:dyDescent="0.25">
      <c r="A435" s="63">
        <f>'II_Inkunabeln+'!A435</f>
        <v>414</v>
      </c>
      <c r="B435" s="63" t="str">
        <f>'II_Inkunabeln+'!B435</f>
        <v>L-1474-315501456</v>
      </c>
      <c r="C435" s="63">
        <f>'II_Inkunabeln+'!C435</f>
        <v>1066971099</v>
      </c>
      <c r="D435" s="84" t="str">
        <f>'II_Inkunabeln+'!D435</f>
        <v>https://portal.dnb.de/opac.htm?method=simpleSearch&amp;cqlMode=true&amp;query=idn%3D1066971099</v>
      </c>
      <c r="E435" s="63" t="str">
        <f>'II_Inkunabeln+'!E435</f>
        <v>II 30,5f</v>
      </c>
      <c r="F435" s="63" t="str">
        <f>'II_Inkunabeln+'!H435</f>
        <v>bis 35 cm</v>
      </c>
      <c r="G435" s="93">
        <f>'II_Inkunabeln+'!AG435</f>
        <v>0</v>
      </c>
      <c r="H435" s="93">
        <f>'II_Inkunabeln+'!AP435</f>
        <v>0</v>
      </c>
      <c r="I435" s="93">
        <f>'II_Inkunabeln+'!AQ435</f>
        <v>0</v>
      </c>
      <c r="J435" s="94"/>
      <c r="K435" s="93">
        <f>'II_Inkunabeln+'!AW435</f>
        <v>0</v>
      </c>
      <c r="L435" s="93">
        <f>'II_Inkunabeln+'!AX435</f>
        <v>0</v>
      </c>
      <c r="AA435" s="93">
        <f>'II_Inkunabeln+'!AY435</f>
        <v>0</v>
      </c>
      <c r="AB435" s="94">
        <f>'II_Inkunabeln+'!BA435</f>
        <v>0</v>
      </c>
      <c r="AC435" s="108"/>
      <c r="AD435" s="81">
        <f>'II_Inkunabeln+'!BJ435</f>
        <v>0</v>
      </c>
    </row>
    <row r="436" spans="1:30" x14ac:dyDescent="0.25">
      <c r="A436" s="63">
        <f>'II_Inkunabeln+'!A436</f>
        <v>415</v>
      </c>
      <c r="B436" s="63" t="str">
        <f>'II_Inkunabeln+'!B436</f>
        <v>L-1474-315502983</v>
      </c>
      <c r="C436" s="63">
        <f>'II_Inkunabeln+'!C436</f>
        <v>1066972567</v>
      </c>
      <c r="D436" s="84" t="str">
        <f>'II_Inkunabeln+'!D436</f>
        <v>https://portal.dnb.de/opac.htm?method=simpleSearch&amp;cqlMode=true&amp;query=idn%3D1066972567</v>
      </c>
      <c r="E436" s="63" t="str">
        <f>'II_Inkunabeln+'!E436</f>
        <v>II 30,5g</v>
      </c>
      <c r="F436" s="63">
        <f>'II_Inkunabeln+'!H436</f>
        <v>0</v>
      </c>
      <c r="G436" s="93">
        <f>'II_Inkunabeln+'!AG436</f>
        <v>0</v>
      </c>
      <c r="H436" s="93">
        <f>'II_Inkunabeln+'!AP436</f>
        <v>0</v>
      </c>
      <c r="I436" s="93">
        <f>'II_Inkunabeln+'!AQ436</f>
        <v>0</v>
      </c>
      <c r="J436" s="94"/>
      <c r="K436" s="93">
        <f>'II_Inkunabeln+'!AW436</f>
        <v>0</v>
      </c>
      <c r="L436" s="93">
        <f>'II_Inkunabeln+'!AX436</f>
        <v>0</v>
      </c>
      <c r="AA436" s="93">
        <f>'II_Inkunabeln+'!AY436</f>
        <v>0</v>
      </c>
      <c r="AB436" s="94">
        <f>'II_Inkunabeln+'!BA436</f>
        <v>0</v>
      </c>
      <c r="AC436" s="108"/>
      <c r="AD436" s="81">
        <f>'II_Inkunabeln+'!BJ436</f>
        <v>0</v>
      </c>
    </row>
    <row r="437" spans="1:30" x14ac:dyDescent="0.25">
      <c r="A437" s="63">
        <f>'II_Inkunabeln+'!A437</f>
        <v>416</v>
      </c>
      <c r="B437" s="63" t="str">
        <f>'II_Inkunabeln+'!B437</f>
        <v>L-1474-315496460</v>
      </c>
      <c r="C437" s="63">
        <f>'II_Inkunabeln+'!C437</f>
        <v>1066966168</v>
      </c>
      <c r="D437" s="84" t="str">
        <f>'II_Inkunabeln+'!D437</f>
        <v>https://portal.dnb.de/opac.htm?method=simpleSearch&amp;cqlMode=true&amp;query=idn%3D1066966168</v>
      </c>
      <c r="E437" s="63" t="str">
        <f>'II_Inkunabeln+'!E437</f>
        <v>II 30,6a</v>
      </c>
      <c r="F437" s="63">
        <f>'II_Inkunabeln+'!H437</f>
        <v>0</v>
      </c>
      <c r="G437" s="93">
        <f>'II_Inkunabeln+'!AG437</f>
        <v>0</v>
      </c>
      <c r="H437" s="93">
        <f>'II_Inkunabeln+'!AP437</f>
        <v>0</v>
      </c>
      <c r="I437" s="93">
        <f>'II_Inkunabeln+'!AQ437</f>
        <v>0</v>
      </c>
      <c r="J437" s="94"/>
      <c r="K437" s="93">
        <f>'II_Inkunabeln+'!AW437</f>
        <v>0</v>
      </c>
      <c r="L437" s="93">
        <f>'II_Inkunabeln+'!AX437</f>
        <v>0</v>
      </c>
      <c r="AA437" s="93">
        <f>'II_Inkunabeln+'!AY437</f>
        <v>0</v>
      </c>
      <c r="AB437" s="94">
        <f>'II_Inkunabeln+'!BA437</f>
        <v>0</v>
      </c>
      <c r="AC437" s="108"/>
      <c r="AD437" s="81">
        <f>'II_Inkunabeln+'!BJ437</f>
        <v>0</v>
      </c>
    </row>
    <row r="438" spans="1:30" x14ac:dyDescent="0.25">
      <c r="A438" s="63">
        <f>'II_Inkunabeln+'!A438</f>
        <v>417</v>
      </c>
      <c r="B438" s="63" t="str">
        <f>'II_Inkunabeln+'!B438</f>
        <v>L-1474-315494956</v>
      </c>
      <c r="C438" s="63">
        <f>'II_Inkunabeln+'!C438</f>
        <v>1066964769</v>
      </c>
      <c r="D438" s="84" t="str">
        <f>'II_Inkunabeln+'!D438</f>
        <v>https://portal.dnb.de/opac.htm?method=simpleSearch&amp;cqlMode=true&amp;query=idn%3D1066964769</v>
      </c>
      <c r="E438" s="63" t="str">
        <f>'II_Inkunabeln+'!E438</f>
        <v>II 30,6b</v>
      </c>
      <c r="F438" s="63">
        <f>'II_Inkunabeln+'!H438</f>
        <v>0</v>
      </c>
      <c r="G438" s="93">
        <f>'II_Inkunabeln+'!AG438</f>
        <v>0</v>
      </c>
      <c r="H438" s="93">
        <f>'II_Inkunabeln+'!AP438</f>
        <v>0</v>
      </c>
      <c r="I438" s="93">
        <f>'II_Inkunabeln+'!AQ438</f>
        <v>0</v>
      </c>
      <c r="J438" s="94"/>
      <c r="K438" s="93">
        <f>'II_Inkunabeln+'!AW438</f>
        <v>0</v>
      </c>
      <c r="L438" s="93">
        <f>'II_Inkunabeln+'!AX438</f>
        <v>0</v>
      </c>
      <c r="AA438" s="93">
        <f>'II_Inkunabeln+'!AY438</f>
        <v>0</v>
      </c>
      <c r="AB438" s="94">
        <f>'II_Inkunabeln+'!BA438</f>
        <v>0</v>
      </c>
      <c r="AC438" s="108"/>
      <c r="AD438" s="81">
        <f>'II_Inkunabeln+'!BJ438</f>
        <v>0</v>
      </c>
    </row>
    <row r="439" spans="1:30" x14ac:dyDescent="0.25">
      <c r="A439" s="63">
        <f>'II_Inkunabeln+'!A439</f>
        <v>418</v>
      </c>
      <c r="B439" s="63" t="str">
        <f>'II_Inkunabeln+'!B439</f>
        <v>L-1473-315499656</v>
      </c>
      <c r="C439" s="63">
        <f>'II_Inkunabeln+'!C439</f>
        <v>1066969329</v>
      </c>
      <c r="D439" s="84" t="str">
        <f>'II_Inkunabeln+'!D439</f>
        <v>https://portal.dnb.de/opac.htm?method=simpleSearch&amp;cqlMode=true&amp;query=idn%3D1066969329</v>
      </c>
      <c r="E439" s="63" t="str">
        <f>'II_Inkunabeln+'!E439</f>
        <v>II 30,6c</v>
      </c>
      <c r="F439" s="63" t="str">
        <f>'II_Inkunabeln+'!H439</f>
        <v>bis 35 cm</v>
      </c>
      <c r="G439" s="93">
        <f>'II_Inkunabeln+'!AG439</f>
        <v>0</v>
      </c>
      <c r="H439" s="93">
        <f>'II_Inkunabeln+'!AP439</f>
        <v>0</v>
      </c>
      <c r="I439" s="93">
        <f>'II_Inkunabeln+'!AQ439</f>
        <v>0</v>
      </c>
      <c r="J439" s="94"/>
      <c r="K439" s="93">
        <f>'II_Inkunabeln+'!AW439</f>
        <v>0</v>
      </c>
      <c r="L439" s="93">
        <f>'II_Inkunabeln+'!AX439</f>
        <v>0</v>
      </c>
      <c r="AA439" s="93">
        <f>'II_Inkunabeln+'!AY439</f>
        <v>0</v>
      </c>
      <c r="AB439" s="94">
        <f>'II_Inkunabeln+'!BA439</f>
        <v>0</v>
      </c>
      <c r="AC439" s="108"/>
      <c r="AD439" s="81">
        <f>'II_Inkunabeln+'!BJ439</f>
        <v>0</v>
      </c>
    </row>
    <row r="440" spans="1:30" x14ac:dyDescent="0.25">
      <c r="A440" s="63">
        <f>'II_Inkunabeln+'!A440</f>
        <v>419</v>
      </c>
      <c r="B440" s="63" t="str">
        <f>'II_Inkunabeln+'!B440</f>
        <v>L-1473-326859624</v>
      </c>
      <c r="C440" s="63">
        <f>'II_Inkunabeln+'!C440</f>
        <v>1072064456</v>
      </c>
      <c r="D440" s="84" t="str">
        <f>'II_Inkunabeln+'!D440</f>
        <v>https://portal.dnb.de/opac.htm?method=simpleSearch&amp;cqlMode=true&amp;query=idn%3D1072064456</v>
      </c>
      <c r="E440" s="63" t="str">
        <f>'II_Inkunabeln+'!E440</f>
        <v>II 30,7a</v>
      </c>
      <c r="F440" s="63">
        <f>'II_Inkunabeln+'!H440</f>
        <v>0</v>
      </c>
      <c r="G440" s="93">
        <f>'II_Inkunabeln+'!AG440</f>
        <v>0</v>
      </c>
      <c r="H440" s="93">
        <f>'II_Inkunabeln+'!AP440</f>
        <v>0</v>
      </c>
      <c r="I440" s="93">
        <f>'II_Inkunabeln+'!AQ440</f>
        <v>0</v>
      </c>
      <c r="J440" s="94"/>
      <c r="K440" s="93">
        <f>'II_Inkunabeln+'!AW440</f>
        <v>0</v>
      </c>
      <c r="L440" s="93">
        <f>'II_Inkunabeln+'!AX440</f>
        <v>0</v>
      </c>
      <c r="AA440" s="93">
        <f>'II_Inkunabeln+'!AY440</f>
        <v>0</v>
      </c>
      <c r="AB440" s="94">
        <f>'II_Inkunabeln+'!BA440</f>
        <v>0</v>
      </c>
      <c r="AC440" s="108"/>
      <c r="AD440" s="81">
        <f>'II_Inkunabeln+'!BJ440</f>
        <v>0</v>
      </c>
    </row>
    <row r="441" spans="1:30" x14ac:dyDescent="0.25">
      <c r="A441" s="63">
        <f>'II_Inkunabeln+'!A441</f>
        <v>420</v>
      </c>
      <c r="B441" s="63" t="str">
        <f>'II_Inkunabeln+'!B441</f>
        <v>L-1476-315501618</v>
      </c>
      <c r="C441" s="63">
        <f>'II_Inkunabeln+'!C441</f>
        <v>1066971242</v>
      </c>
      <c r="D441" s="84" t="str">
        <f>'II_Inkunabeln+'!D441</f>
        <v>https://portal.dnb.de/opac.htm?method=simpleSearch&amp;cqlMode=true&amp;query=idn%3D1066971242</v>
      </c>
      <c r="E441" s="63" t="str">
        <f>'II_Inkunabeln+'!E441</f>
        <v>II 30,7b</v>
      </c>
      <c r="F441" s="63" t="str">
        <f>'II_Inkunabeln+'!H441</f>
        <v>bis 35 cm</v>
      </c>
      <c r="G441" s="93">
        <f>'II_Inkunabeln+'!AG441</f>
        <v>0</v>
      </c>
      <c r="H441" s="93">
        <f>'II_Inkunabeln+'!AP441</f>
        <v>0</v>
      </c>
      <c r="I441" s="93">
        <f>'II_Inkunabeln+'!AQ441</f>
        <v>0</v>
      </c>
      <c r="J441" s="94"/>
      <c r="K441" s="93">
        <f>'II_Inkunabeln+'!AW441</f>
        <v>0</v>
      </c>
      <c r="L441" s="93">
        <f>'II_Inkunabeln+'!AX441</f>
        <v>0</v>
      </c>
      <c r="AA441" s="93">
        <f>'II_Inkunabeln+'!AY441</f>
        <v>0</v>
      </c>
      <c r="AB441" s="94">
        <f>'II_Inkunabeln+'!BA441</f>
        <v>0</v>
      </c>
      <c r="AC441" s="108"/>
      <c r="AD441" s="81">
        <f>'II_Inkunabeln+'!BJ441</f>
        <v>0</v>
      </c>
    </row>
    <row r="442" spans="1:30" x14ac:dyDescent="0.25">
      <c r="A442" s="63">
        <f>'II_Inkunabeln+'!A442</f>
        <v>421</v>
      </c>
      <c r="B442" s="63" t="str">
        <f>'II_Inkunabeln+'!B442</f>
        <v>L-1475-315495979</v>
      </c>
      <c r="C442" s="63">
        <f>'II_Inkunabeln+'!C442</f>
        <v>1066965749</v>
      </c>
      <c r="D442" s="84" t="str">
        <f>'II_Inkunabeln+'!D442</f>
        <v>https://portal.dnb.de/opac.htm?method=simpleSearch&amp;cqlMode=true&amp;query=idn%3D1066965749</v>
      </c>
      <c r="E442" s="63" t="str">
        <f>'II_Inkunabeln+'!E442</f>
        <v>II 30,7c</v>
      </c>
      <c r="F442" s="63" t="str">
        <f>'II_Inkunabeln+'!H442</f>
        <v>bis 35 cm</v>
      </c>
      <c r="G442" s="93">
        <f>'II_Inkunabeln+'!AG442</f>
        <v>0</v>
      </c>
      <c r="H442" s="93">
        <f>'II_Inkunabeln+'!AP442</f>
        <v>0</v>
      </c>
      <c r="I442" s="93">
        <f>'II_Inkunabeln+'!AQ442</f>
        <v>0</v>
      </c>
      <c r="J442" s="94"/>
      <c r="K442" s="93">
        <f>'II_Inkunabeln+'!AW442</f>
        <v>0</v>
      </c>
      <c r="L442" s="93">
        <f>'II_Inkunabeln+'!AX442</f>
        <v>0</v>
      </c>
      <c r="AA442" s="93">
        <f>'II_Inkunabeln+'!AY442</f>
        <v>0</v>
      </c>
      <c r="AB442" s="94">
        <f>'II_Inkunabeln+'!BA442</f>
        <v>0</v>
      </c>
      <c r="AC442" s="108"/>
      <c r="AD442" s="81">
        <f>'II_Inkunabeln+'!BJ442</f>
        <v>0</v>
      </c>
    </row>
    <row r="443" spans="1:30" x14ac:dyDescent="0.25">
      <c r="A443" s="63">
        <f>'II_Inkunabeln+'!A443</f>
        <v>422</v>
      </c>
      <c r="B443" s="63" t="str">
        <f>'II_Inkunabeln+'!B443</f>
        <v>L-1476-315499427</v>
      </c>
      <c r="C443" s="63">
        <f>'II_Inkunabeln+'!C443</f>
        <v>1066969124</v>
      </c>
      <c r="D443" s="84" t="str">
        <f>'II_Inkunabeln+'!D443</f>
        <v>https://portal.dnb.de/opac.htm?method=simpleSearch&amp;cqlMode=true&amp;query=idn%3D1066969124</v>
      </c>
      <c r="E443" s="63" t="str">
        <f>'II_Inkunabeln+'!E443</f>
        <v>II 30,7e</v>
      </c>
      <c r="F443" s="63" t="str">
        <f>'II_Inkunabeln+'!H443</f>
        <v>bis 35 cm</v>
      </c>
      <c r="G443" s="93">
        <f>'II_Inkunabeln+'!AG443</f>
        <v>0</v>
      </c>
      <c r="H443" s="93">
        <f>'II_Inkunabeln+'!AP443</f>
        <v>0</v>
      </c>
      <c r="I443" s="93">
        <f>'II_Inkunabeln+'!AQ443</f>
        <v>0</v>
      </c>
      <c r="J443" s="94"/>
      <c r="K443" s="93">
        <f>'II_Inkunabeln+'!AW443</f>
        <v>0</v>
      </c>
      <c r="L443" s="93">
        <f>'II_Inkunabeln+'!AX443</f>
        <v>0</v>
      </c>
      <c r="AA443" s="93">
        <f>'II_Inkunabeln+'!AY443</f>
        <v>0</v>
      </c>
      <c r="AB443" s="94">
        <f>'II_Inkunabeln+'!BA443</f>
        <v>0</v>
      </c>
      <c r="AC443" s="108"/>
      <c r="AD443" s="81">
        <f>'II_Inkunabeln+'!BJ443</f>
        <v>0</v>
      </c>
    </row>
    <row r="444" spans="1:30" x14ac:dyDescent="0.25">
      <c r="A444" s="63">
        <f>'II_Inkunabeln+'!A444</f>
        <v>423</v>
      </c>
      <c r="B444" s="63" t="str">
        <f>'II_Inkunabeln+'!B444</f>
        <v>L-1474-352276495</v>
      </c>
      <c r="C444" s="63">
        <f>'II_Inkunabeln+'!C444</f>
        <v>1084608782</v>
      </c>
      <c r="D444" s="84" t="str">
        <f>'II_Inkunabeln+'!D444</f>
        <v>https://portal.dnb.de/opac.htm?method=simpleSearch&amp;cqlMode=true&amp;query=idn%3D1084608782</v>
      </c>
      <c r="E444" s="63" t="str">
        <f>'II_Inkunabeln+'!E444</f>
        <v>II 30,7f</v>
      </c>
      <c r="F444" s="63" t="str">
        <f>'II_Inkunabeln+'!H444</f>
        <v>bis 35 cm</v>
      </c>
      <c r="G444" s="93">
        <f>'II_Inkunabeln+'!AG444</f>
        <v>0</v>
      </c>
      <c r="H444" s="93">
        <f>'II_Inkunabeln+'!AP444</f>
        <v>0</v>
      </c>
      <c r="I444" s="93">
        <f>'II_Inkunabeln+'!AQ444</f>
        <v>0</v>
      </c>
      <c r="J444" s="94"/>
      <c r="K444" s="93">
        <f>'II_Inkunabeln+'!AW444</f>
        <v>0</v>
      </c>
      <c r="L444" s="93">
        <f>'II_Inkunabeln+'!AX444</f>
        <v>0</v>
      </c>
      <c r="AA444" s="93">
        <f>'II_Inkunabeln+'!AY444</f>
        <v>0</v>
      </c>
      <c r="AB444" s="94">
        <f>'II_Inkunabeln+'!BA444</f>
        <v>0</v>
      </c>
      <c r="AC444" s="108"/>
      <c r="AD444" s="81">
        <f>'II_Inkunabeln+'!BJ444</f>
        <v>0</v>
      </c>
    </row>
    <row r="445" spans="1:30" x14ac:dyDescent="0.25">
      <c r="A445" s="63">
        <f>'II_Inkunabeln+'!A445</f>
        <v>424</v>
      </c>
      <c r="B445" s="63" t="str">
        <f>'II_Inkunabeln+'!B445</f>
        <v>L-1474-315494859</v>
      </c>
      <c r="C445" s="63">
        <f>'II_Inkunabeln+'!C445</f>
        <v>1066964637</v>
      </c>
      <c r="D445" s="84" t="str">
        <f>'II_Inkunabeln+'!D445</f>
        <v>https://portal.dnb.de/opac.htm?method=simpleSearch&amp;cqlMode=true&amp;query=idn%3D1066964637</v>
      </c>
      <c r="E445" s="63" t="str">
        <f>'II_Inkunabeln+'!E445</f>
        <v>II 30,7f (angebunden)</v>
      </c>
      <c r="F445" s="63">
        <f>'II_Inkunabeln+'!H445</f>
        <v>0</v>
      </c>
      <c r="G445" s="93">
        <f>'II_Inkunabeln+'!AG445</f>
        <v>0</v>
      </c>
      <c r="H445" s="93">
        <f>'II_Inkunabeln+'!AP445</f>
        <v>0</v>
      </c>
      <c r="I445" s="93">
        <f>'II_Inkunabeln+'!AQ445</f>
        <v>0</v>
      </c>
      <c r="J445" s="94"/>
      <c r="K445" s="93">
        <f>'II_Inkunabeln+'!AW445</f>
        <v>0</v>
      </c>
      <c r="L445" s="93">
        <f>'II_Inkunabeln+'!AX445</f>
        <v>0</v>
      </c>
      <c r="AA445" s="93">
        <f>'II_Inkunabeln+'!AY445</f>
        <v>0</v>
      </c>
      <c r="AB445" s="94">
        <f>'II_Inkunabeln+'!BA445</f>
        <v>0</v>
      </c>
      <c r="AC445" s="108"/>
      <c r="AD445" s="81">
        <f>'II_Inkunabeln+'!BJ445</f>
        <v>0</v>
      </c>
    </row>
    <row r="446" spans="1:30" x14ac:dyDescent="0.25">
      <c r="A446" s="63">
        <f>'II_Inkunabeln+'!A446</f>
        <v>425</v>
      </c>
      <c r="B446" s="63" t="str">
        <f>'II_Inkunabeln+'!B446</f>
        <v>L-1415-315497157</v>
      </c>
      <c r="C446" s="63">
        <f>'II_Inkunabeln+'!C446</f>
        <v>1066966850</v>
      </c>
      <c r="D446" s="84" t="str">
        <f>'II_Inkunabeln+'!D446</f>
        <v>https://portal.dnb.de/opac.htm?method=simpleSearch&amp;cqlMode=true&amp;query=idn%3D1066966850</v>
      </c>
      <c r="E446" s="63" t="str">
        <f>'II_Inkunabeln+'!E446</f>
        <v>II 30,7g</v>
      </c>
      <c r="F446" s="63" t="str">
        <f>'II_Inkunabeln+'!H446</f>
        <v>bis 25 cm</v>
      </c>
      <c r="G446" s="93">
        <f>'II_Inkunabeln+'!AG446</f>
        <v>0</v>
      </c>
      <c r="H446" s="93">
        <f>'II_Inkunabeln+'!AP446</f>
        <v>0</v>
      </c>
      <c r="I446" s="93">
        <f>'II_Inkunabeln+'!AQ446</f>
        <v>0</v>
      </c>
      <c r="J446" s="94"/>
      <c r="K446" s="93">
        <f>'II_Inkunabeln+'!AW446</f>
        <v>0</v>
      </c>
      <c r="L446" s="93">
        <f>'II_Inkunabeln+'!AX446</f>
        <v>0</v>
      </c>
      <c r="AA446" s="93">
        <f>'II_Inkunabeln+'!AY446</f>
        <v>0</v>
      </c>
      <c r="AB446" s="94">
        <f>'II_Inkunabeln+'!BA446</f>
        <v>0</v>
      </c>
      <c r="AC446" s="108"/>
      <c r="AD446" s="81">
        <f>'II_Inkunabeln+'!BJ446</f>
        <v>0</v>
      </c>
    </row>
    <row r="447" spans="1:30" x14ac:dyDescent="0.25">
      <c r="A447" s="63">
        <f>'II_Inkunabeln+'!A447</f>
        <v>426</v>
      </c>
      <c r="B447" s="63" t="str">
        <f>'II_Inkunabeln+'!B447</f>
        <v>L-1493-315496215</v>
      </c>
      <c r="C447" s="63">
        <f>'II_Inkunabeln+'!C447</f>
        <v>1066965927</v>
      </c>
      <c r="D447" s="84" t="str">
        <f>'II_Inkunabeln+'!D447</f>
        <v>https://portal.dnb.de/opac.htm?method=simpleSearch&amp;cqlMode=true&amp;query=idn%3D1066965927</v>
      </c>
      <c r="E447" s="63" t="str">
        <f>'II_Inkunabeln+'!E447</f>
        <v>II 30,7h</v>
      </c>
      <c r="F447" s="63">
        <f>'II_Inkunabeln+'!H447</f>
        <v>0</v>
      </c>
      <c r="G447" s="93">
        <f>'II_Inkunabeln+'!AG447</f>
        <v>0</v>
      </c>
      <c r="H447" s="93">
        <f>'II_Inkunabeln+'!AP447</f>
        <v>0</v>
      </c>
      <c r="I447" s="93">
        <f>'II_Inkunabeln+'!AQ447</f>
        <v>0</v>
      </c>
      <c r="J447" s="94"/>
      <c r="K447" s="93">
        <f>'II_Inkunabeln+'!AW447</f>
        <v>0</v>
      </c>
      <c r="L447" s="93">
        <f>'II_Inkunabeln+'!AX447</f>
        <v>0</v>
      </c>
      <c r="AA447" s="93">
        <f>'II_Inkunabeln+'!AY447</f>
        <v>0</v>
      </c>
      <c r="AB447" s="94">
        <f>'II_Inkunabeln+'!BA447</f>
        <v>0</v>
      </c>
      <c r="AC447" s="108"/>
      <c r="AD447" s="81">
        <f>'II_Inkunabeln+'!BJ447</f>
        <v>0</v>
      </c>
    </row>
    <row r="448" spans="1:30" x14ac:dyDescent="0.25">
      <c r="A448" s="63">
        <f>'II_Inkunabeln+'!A448</f>
        <v>427</v>
      </c>
      <c r="B448" s="63" t="str">
        <f>'II_Inkunabeln+'!B448</f>
        <v>L-1493-315496207</v>
      </c>
      <c r="C448" s="63">
        <f>'II_Inkunabeln+'!C448</f>
        <v>1066965927</v>
      </c>
      <c r="D448" s="84" t="str">
        <f>'II_Inkunabeln+'!D448</f>
        <v>https://portal.dnb.de/opac.htm?method=simpleSearch&amp;cqlMode=true&amp;query=idn%3D1066965927</v>
      </c>
      <c r="E448" s="63" t="str">
        <f>'II_Inkunabeln+'!E448</f>
        <v>II 30,7ha</v>
      </c>
      <c r="F448" s="63">
        <f>'II_Inkunabeln+'!H448</f>
        <v>0</v>
      </c>
      <c r="G448" s="93">
        <f>'II_Inkunabeln+'!AG448</f>
        <v>0</v>
      </c>
      <c r="H448" s="93">
        <f>'II_Inkunabeln+'!AP448</f>
        <v>0</v>
      </c>
      <c r="I448" s="93">
        <f>'II_Inkunabeln+'!AQ448</f>
        <v>0</v>
      </c>
      <c r="J448" s="94"/>
      <c r="K448" s="93">
        <f>'II_Inkunabeln+'!AW448</f>
        <v>0</v>
      </c>
      <c r="L448" s="93">
        <f>'II_Inkunabeln+'!AX448</f>
        <v>0</v>
      </c>
      <c r="AA448" s="93">
        <f>'II_Inkunabeln+'!AY448</f>
        <v>0</v>
      </c>
      <c r="AB448" s="94">
        <f>'II_Inkunabeln+'!BA448</f>
        <v>0</v>
      </c>
      <c r="AC448" s="108"/>
      <c r="AD448" s="81">
        <f>'II_Inkunabeln+'!BJ448</f>
        <v>0</v>
      </c>
    </row>
    <row r="449" spans="1:30" x14ac:dyDescent="0.25">
      <c r="A449" s="63">
        <f>'II_Inkunabeln+'!A449</f>
        <v>428</v>
      </c>
      <c r="B449" s="63" t="str">
        <f>'II_Inkunabeln+'!B449</f>
        <v>L-1483-315500093</v>
      </c>
      <c r="C449" s="63">
        <f>'II_Inkunabeln+'!C449</f>
        <v>1066969752</v>
      </c>
      <c r="D449" s="84" t="str">
        <f>'II_Inkunabeln+'!D449</f>
        <v>https://portal.dnb.de/opac.htm?method=simpleSearch&amp;cqlMode=true&amp;query=idn%3D1066969752</v>
      </c>
      <c r="E449" s="63" t="str">
        <f>'II_Inkunabeln+'!E449</f>
        <v>II 30,7i</v>
      </c>
      <c r="F449" s="63">
        <f>'II_Inkunabeln+'!H449</f>
        <v>0</v>
      </c>
      <c r="G449" s="93">
        <f>'II_Inkunabeln+'!AG449</f>
        <v>0</v>
      </c>
      <c r="H449" s="93">
        <f>'II_Inkunabeln+'!AP449</f>
        <v>0</v>
      </c>
      <c r="I449" s="93">
        <f>'II_Inkunabeln+'!AQ449</f>
        <v>0</v>
      </c>
      <c r="J449" s="94"/>
      <c r="K449" s="93">
        <f>'II_Inkunabeln+'!AW449</f>
        <v>0</v>
      </c>
      <c r="L449" s="93">
        <f>'II_Inkunabeln+'!AX449</f>
        <v>0</v>
      </c>
      <c r="AA449" s="93">
        <f>'II_Inkunabeln+'!AY449</f>
        <v>0</v>
      </c>
      <c r="AB449" s="94">
        <f>'II_Inkunabeln+'!BA449</f>
        <v>0</v>
      </c>
      <c r="AC449" s="108"/>
      <c r="AD449" s="81">
        <f>'II_Inkunabeln+'!BJ449</f>
        <v>0</v>
      </c>
    </row>
    <row r="450" spans="1:30" x14ac:dyDescent="0.25">
      <c r="A450" s="63">
        <f>'II_Inkunabeln+'!A450</f>
        <v>429</v>
      </c>
      <c r="B450" s="63" t="str">
        <f>'II_Inkunabeln+'!B450</f>
        <v>L-1482-315500212</v>
      </c>
      <c r="C450" s="63">
        <f>'II_Inkunabeln+'!C450</f>
        <v>1066969884</v>
      </c>
      <c r="D450" s="84" t="str">
        <f>'II_Inkunabeln+'!D450</f>
        <v>https://portal.dnb.de/opac.htm?method=simpleSearch&amp;cqlMode=true&amp;query=idn%3D1066969884</v>
      </c>
      <c r="E450" s="63" t="str">
        <f>'II_Inkunabeln+'!E450</f>
        <v>II 30,8b</v>
      </c>
      <c r="F450" s="63">
        <f>'II_Inkunabeln+'!H450</f>
        <v>0</v>
      </c>
      <c r="G450" s="93">
        <f>'II_Inkunabeln+'!AG450</f>
        <v>0</v>
      </c>
      <c r="H450" s="93">
        <f>'II_Inkunabeln+'!AP450</f>
        <v>0</v>
      </c>
      <c r="I450" s="93">
        <f>'II_Inkunabeln+'!AQ450</f>
        <v>0</v>
      </c>
      <c r="J450" s="94"/>
      <c r="K450" s="93">
        <f>'II_Inkunabeln+'!AW450</f>
        <v>0</v>
      </c>
      <c r="L450" s="93">
        <f>'II_Inkunabeln+'!AX450</f>
        <v>0</v>
      </c>
      <c r="AA450" s="93">
        <f>'II_Inkunabeln+'!AY450</f>
        <v>0</v>
      </c>
      <c r="AB450" s="94">
        <f>'II_Inkunabeln+'!BA450</f>
        <v>0</v>
      </c>
      <c r="AC450" s="108"/>
      <c r="AD450" s="81">
        <f>'II_Inkunabeln+'!BJ450</f>
        <v>0</v>
      </c>
    </row>
    <row r="451" spans="1:30" x14ac:dyDescent="0.25">
      <c r="A451" s="63">
        <f>'II_Inkunabeln+'!A451</f>
        <v>430</v>
      </c>
      <c r="B451" s="63" t="str">
        <f>'II_Inkunabeln+'!B451</f>
        <v>L-1490-31548862X</v>
      </c>
      <c r="C451" s="63">
        <f>'II_Inkunabeln+'!C451</f>
        <v>1066957983</v>
      </c>
      <c r="D451" s="84" t="str">
        <f>'II_Inkunabeln+'!D451</f>
        <v>https://portal.dnb.de/opac.htm?method=simpleSearch&amp;cqlMode=true&amp;query=idn%3D1066957983</v>
      </c>
      <c r="E451" s="63" t="str">
        <f>'II_Inkunabeln+'!E451</f>
        <v>II 30,9b</v>
      </c>
      <c r="F451" s="63">
        <f>'II_Inkunabeln+'!H451</f>
        <v>0</v>
      </c>
      <c r="G451" s="93">
        <f>'II_Inkunabeln+'!AG451</f>
        <v>0</v>
      </c>
      <c r="H451" s="93">
        <f>'II_Inkunabeln+'!AP451</f>
        <v>0</v>
      </c>
      <c r="I451" s="93">
        <f>'II_Inkunabeln+'!AQ451</f>
        <v>0</v>
      </c>
      <c r="J451" s="94"/>
      <c r="K451" s="93">
        <f>'II_Inkunabeln+'!AW451</f>
        <v>0</v>
      </c>
      <c r="L451" s="93">
        <f>'II_Inkunabeln+'!AX451</f>
        <v>0</v>
      </c>
      <c r="AA451" s="93">
        <f>'II_Inkunabeln+'!AY451</f>
        <v>0</v>
      </c>
      <c r="AB451" s="94">
        <f>'II_Inkunabeln+'!BA451</f>
        <v>0</v>
      </c>
      <c r="AC451" s="108"/>
      <c r="AD451" s="81">
        <f>'II_Inkunabeln+'!BJ451</f>
        <v>0</v>
      </c>
    </row>
    <row r="452" spans="1:30" x14ac:dyDescent="0.25">
      <c r="A452" s="63">
        <f>'II_Inkunabeln+'!A452</f>
        <v>431</v>
      </c>
      <c r="B452" s="63" t="str">
        <f>'II_Inkunabeln+'!B452</f>
        <v>L-1498-315503599</v>
      </c>
      <c r="C452" s="63">
        <f>'II_Inkunabeln+'!C452</f>
        <v>1066973202</v>
      </c>
      <c r="D452" s="84" t="str">
        <f>'II_Inkunabeln+'!D452</f>
        <v>https://portal.dnb.de/opac.htm?method=simpleSearch&amp;cqlMode=true&amp;query=idn%3D1066973202</v>
      </c>
      <c r="E452" s="63" t="str">
        <f>'II_Inkunabeln+'!E452</f>
        <v>II 30,9c</v>
      </c>
      <c r="F452" s="63" t="str">
        <f>'II_Inkunabeln+'!H452</f>
        <v>bis 25 cm</v>
      </c>
      <c r="G452" s="93">
        <f>'II_Inkunabeln+'!AG452</f>
        <v>0</v>
      </c>
      <c r="H452" s="93">
        <f>'II_Inkunabeln+'!AP452</f>
        <v>0</v>
      </c>
      <c r="I452" s="93">
        <f>'II_Inkunabeln+'!AQ452</f>
        <v>0</v>
      </c>
      <c r="J452" s="94"/>
      <c r="K452" s="93">
        <f>'II_Inkunabeln+'!AW452</f>
        <v>0</v>
      </c>
      <c r="L452" s="93">
        <f>'II_Inkunabeln+'!AX452</f>
        <v>0</v>
      </c>
      <c r="AA452" s="93">
        <f>'II_Inkunabeln+'!AY452</f>
        <v>0</v>
      </c>
      <c r="AB452" s="94">
        <f>'II_Inkunabeln+'!BA452</f>
        <v>0</v>
      </c>
      <c r="AC452" s="108"/>
      <c r="AD452" s="81">
        <f>'II_Inkunabeln+'!BJ452</f>
        <v>0</v>
      </c>
    </row>
    <row r="453" spans="1:30" x14ac:dyDescent="0.25">
      <c r="A453" s="63">
        <f>'II_Inkunabeln+'!A453</f>
        <v>432</v>
      </c>
      <c r="B453" s="63" t="str">
        <f>'II_Inkunabeln+'!B453</f>
        <v>L-1484-315497610</v>
      </c>
      <c r="C453" s="63">
        <f>'II_Inkunabeln+'!C453</f>
        <v>1066967369</v>
      </c>
      <c r="D453" s="84" t="str">
        <f>'II_Inkunabeln+'!D453</f>
        <v>https://portal.dnb.de/opac.htm?method=simpleSearch&amp;cqlMode=true&amp;query=idn%3D1066967369</v>
      </c>
      <c r="E453" s="63" t="str">
        <f>'II_Inkunabeln+'!E453</f>
        <v>II 30,9d</v>
      </c>
      <c r="F453" s="63" t="str">
        <f>'II_Inkunabeln+'!H453</f>
        <v>bis 35 cm</v>
      </c>
      <c r="G453" s="93">
        <f>'II_Inkunabeln+'!AG453</f>
        <v>0</v>
      </c>
      <c r="H453" s="93">
        <f>'II_Inkunabeln+'!AP453</f>
        <v>0</v>
      </c>
      <c r="I453" s="93">
        <f>'II_Inkunabeln+'!AQ453</f>
        <v>0</v>
      </c>
      <c r="J453" s="94"/>
      <c r="K453" s="93">
        <f>'II_Inkunabeln+'!AW453</f>
        <v>0</v>
      </c>
      <c r="L453" s="93">
        <f>'II_Inkunabeln+'!AX453</f>
        <v>0</v>
      </c>
      <c r="AA453" s="93">
        <f>'II_Inkunabeln+'!AY453</f>
        <v>0</v>
      </c>
      <c r="AB453" s="94">
        <f>'II_Inkunabeln+'!BA453</f>
        <v>0</v>
      </c>
      <c r="AC453" s="108"/>
      <c r="AD453" s="81">
        <f>'II_Inkunabeln+'!BJ453</f>
        <v>0</v>
      </c>
    </row>
    <row r="454" spans="1:30" x14ac:dyDescent="0.25">
      <c r="A454" s="63">
        <f>'II_Inkunabeln+'!A454</f>
        <v>433</v>
      </c>
      <c r="B454" s="63" t="str">
        <f>'II_Inkunabeln+'!B454</f>
        <v>L-1481-315500417</v>
      </c>
      <c r="C454" s="63">
        <f>'II_Inkunabeln+'!C454</f>
        <v>1066970068</v>
      </c>
      <c r="D454" s="84" t="str">
        <f>'II_Inkunabeln+'!D454</f>
        <v>https://portal.dnb.de/opac.htm?method=simpleSearch&amp;cqlMode=true&amp;query=idn%3D1066970068</v>
      </c>
      <c r="E454" s="63" t="str">
        <f>'II_Inkunabeln+'!E454</f>
        <v>II 30,10a</v>
      </c>
      <c r="F454" s="63" t="str">
        <f>'II_Inkunabeln+'!H454</f>
        <v>bis 35 cm</v>
      </c>
      <c r="G454" s="93">
        <f>'II_Inkunabeln+'!AG454</f>
        <v>0</v>
      </c>
      <c r="H454" s="93">
        <f>'II_Inkunabeln+'!AP454</f>
        <v>0</v>
      </c>
      <c r="I454" s="93">
        <f>'II_Inkunabeln+'!AQ454</f>
        <v>0</v>
      </c>
      <c r="J454" s="94"/>
      <c r="K454" s="93">
        <f>'II_Inkunabeln+'!AW454</f>
        <v>0</v>
      </c>
      <c r="L454" s="93">
        <f>'II_Inkunabeln+'!AX454</f>
        <v>0</v>
      </c>
      <c r="AA454" s="93">
        <f>'II_Inkunabeln+'!AY454</f>
        <v>0</v>
      </c>
      <c r="AB454" s="94">
        <f>'II_Inkunabeln+'!BA454</f>
        <v>0</v>
      </c>
      <c r="AC454" s="108"/>
      <c r="AD454" s="81">
        <f>'II_Inkunabeln+'!BJ454</f>
        <v>0</v>
      </c>
    </row>
    <row r="455" spans="1:30" x14ac:dyDescent="0.25">
      <c r="A455" s="63">
        <f>'II_Inkunabeln+'!A455</f>
        <v>434</v>
      </c>
      <c r="B455" s="63" t="str">
        <f>'II_Inkunabeln+'!B455</f>
        <v>L-1484-315501847</v>
      </c>
      <c r="C455" s="63">
        <f>'II_Inkunabeln+'!C455</f>
        <v>1066971463</v>
      </c>
      <c r="D455" s="84" t="str">
        <f>'II_Inkunabeln+'!D455</f>
        <v>https://portal.dnb.de/opac.htm?method=simpleSearch&amp;cqlMode=true&amp;query=idn%3D1066971463</v>
      </c>
      <c r="E455" s="63" t="str">
        <f>'II_Inkunabeln+'!E455</f>
        <v>II 30,11a</v>
      </c>
      <c r="F455" s="63">
        <f>'II_Inkunabeln+'!H455</f>
        <v>0</v>
      </c>
      <c r="G455" s="93">
        <f>'II_Inkunabeln+'!AG455</f>
        <v>0</v>
      </c>
      <c r="H455" s="93">
        <f>'II_Inkunabeln+'!AP455</f>
        <v>0</v>
      </c>
      <c r="I455" s="93">
        <f>'II_Inkunabeln+'!AQ455</f>
        <v>0</v>
      </c>
      <c r="J455" s="94"/>
      <c r="K455" s="93">
        <f>'II_Inkunabeln+'!AW455</f>
        <v>0</v>
      </c>
      <c r="L455" s="93">
        <f>'II_Inkunabeln+'!AX455</f>
        <v>0</v>
      </c>
      <c r="AA455" s="93">
        <f>'II_Inkunabeln+'!AY455</f>
        <v>0</v>
      </c>
      <c r="AB455" s="94">
        <f>'II_Inkunabeln+'!BA455</f>
        <v>0</v>
      </c>
      <c r="AC455" s="108"/>
      <c r="AD455" s="81">
        <f>'II_Inkunabeln+'!BJ455</f>
        <v>0</v>
      </c>
    </row>
    <row r="456" spans="1:30" x14ac:dyDescent="0.25">
      <c r="A456" s="63">
        <f>'II_Inkunabeln+'!A456</f>
        <v>435</v>
      </c>
      <c r="B456" s="63" t="str">
        <f>'II_Inkunabeln+'!B456</f>
        <v>L-1484-315497823</v>
      </c>
      <c r="C456" s="63">
        <f>'II_Inkunabeln+'!C456</f>
        <v>1066967563</v>
      </c>
      <c r="D456" s="84" t="str">
        <f>'II_Inkunabeln+'!D456</f>
        <v>https://portal.dnb.de/opac.htm?method=simpleSearch&amp;cqlMode=true&amp;query=idn%3D1066967563</v>
      </c>
      <c r="E456" s="63" t="str">
        <f>'II_Inkunabeln+'!E456</f>
        <v>II 30,12a</v>
      </c>
      <c r="F456" s="63" t="str">
        <f>'II_Inkunabeln+'!H456</f>
        <v>bis 35 cm</v>
      </c>
      <c r="G456" s="93">
        <f>'II_Inkunabeln+'!AG456</f>
        <v>0</v>
      </c>
      <c r="H456" s="93">
        <f>'II_Inkunabeln+'!AP456</f>
        <v>0</v>
      </c>
      <c r="I456" s="93">
        <f>'II_Inkunabeln+'!AQ456</f>
        <v>0</v>
      </c>
      <c r="J456" s="94"/>
      <c r="K456" s="93">
        <f>'II_Inkunabeln+'!AW456</f>
        <v>0</v>
      </c>
      <c r="L456" s="93">
        <f>'II_Inkunabeln+'!AX456</f>
        <v>0</v>
      </c>
      <c r="AA456" s="93">
        <f>'II_Inkunabeln+'!AY456</f>
        <v>0</v>
      </c>
      <c r="AB456" s="94">
        <f>'II_Inkunabeln+'!BA456</f>
        <v>0</v>
      </c>
      <c r="AC456" s="108"/>
      <c r="AD456" s="81">
        <f>'II_Inkunabeln+'!BJ456</f>
        <v>0</v>
      </c>
    </row>
    <row r="457" spans="1:30" x14ac:dyDescent="0.25">
      <c r="A457" s="63">
        <f>'II_Inkunabeln+'!A457</f>
        <v>436</v>
      </c>
      <c r="B457" s="63" t="str">
        <f>'II_Inkunabeln+'!B457</f>
        <v>L-1486-315498242</v>
      </c>
      <c r="C457" s="63">
        <f>'II_Inkunabeln+'!C457</f>
        <v>1066967970</v>
      </c>
      <c r="D457" s="84" t="str">
        <f>'II_Inkunabeln+'!D457</f>
        <v>https://portal.dnb.de/opac.htm?method=simpleSearch&amp;cqlMode=true&amp;query=idn%3D1066967970</v>
      </c>
      <c r="E457" s="63" t="str">
        <f>'II_Inkunabeln+'!E457</f>
        <v>II 30,12b</v>
      </c>
      <c r="F457" s="63">
        <f>'II_Inkunabeln+'!H457</f>
        <v>0</v>
      </c>
      <c r="G457" s="93">
        <f>'II_Inkunabeln+'!AG457</f>
        <v>0</v>
      </c>
      <c r="H457" s="93">
        <f>'II_Inkunabeln+'!AP457</f>
        <v>0</v>
      </c>
      <c r="I457" s="93">
        <f>'II_Inkunabeln+'!AQ457</f>
        <v>0</v>
      </c>
      <c r="J457" s="94"/>
      <c r="K457" s="93">
        <f>'II_Inkunabeln+'!AW457</f>
        <v>0</v>
      </c>
      <c r="L457" s="93">
        <f>'II_Inkunabeln+'!AX457</f>
        <v>0</v>
      </c>
      <c r="AA457" s="93">
        <f>'II_Inkunabeln+'!AY457</f>
        <v>0</v>
      </c>
      <c r="AB457" s="94">
        <f>'II_Inkunabeln+'!BA457</f>
        <v>0</v>
      </c>
      <c r="AC457" s="108"/>
      <c r="AD457" s="81">
        <f>'II_Inkunabeln+'!BJ457</f>
        <v>0</v>
      </c>
    </row>
    <row r="458" spans="1:30" x14ac:dyDescent="0.25">
      <c r="A458" s="63">
        <f>'II_Inkunabeln+'!A458</f>
        <v>437</v>
      </c>
      <c r="B458" s="63" t="str">
        <f>'II_Inkunabeln+'!B458</f>
        <v>L-1490-31550143X</v>
      </c>
      <c r="C458" s="63">
        <f>'II_Inkunabeln+'!C458</f>
        <v>1066971072</v>
      </c>
      <c r="D458" s="84" t="str">
        <f>'II_Inkunabeln+'!D458</f>
        <v>https://portal.dnb.de/opac.htm?method=simpleSearch&amp;cqlMode=true&amp;query=idn%3D1066971072</v>
      </c>
      <c r="E458" s="63" t="str">
        <f>'II_Inkunabeln+'!E458</f>
        <v>II 30,12c</v>
      </c>
      <c r="F458" s="63" t="str">
        <f>'II_Inkunabeln+'!H458</f>
        <v>bis 25 cm</v>
      </c>
      <c r="G458" s="93">
        <f>'II_Inkunabeln+'!AG458</f>
        <v>0</v>
      </c>
      <c r="H458" s="93">
        <f>'II_Inkunabeln+'!AP458</f>
        <v>0</v>
      </c>
      <c r="I458" s="93">
        <f>'II_Inkunabeln+'!AQ458</f>
        <v>0</v>
      </c>
      <c r="J458" s="94"/>
      <c r="K458" s="93">
        <f>'II_Inkunabeln+'!AW458</f>
        <v>0</v>
      </c>
      <c r="L458" s="93">
        <f>'II_Inkunabeln+'!AX458</f>
        <v>0</v>
      </c>
      <c r="AA458" s="93">
        <f>'II_Inkunabeln+'!AY458</f>
        <v>0</v>
      </c>
      <c r="AB458" s="94">
        <f>'II_Inkunabeln+'!BA458</f>
        <v>0</v>
      </c>
      <c r="AC458" s="108"/>
      <c r="AD458" s="81">
        <f>'II_Inkunabeln+'!BJ458</f>
        <v>0</v>
      </c>
    </row>
    <row r="459" spans="1:30" x14ac:dyDescent="0.25">
      <c r="A459" s="63">
        <f>'II_Inkunabeln+'!A459</f>
        <v>438</v>
      </c>
      <c r="B459" s="63" t="str">
        <f>'II_Inkunabeln+'!B459</f>
        <v>L-1492-460784927</v>
      </c>
      <c r="C459" s="63">
        <f>'II_Inkunabeln+'!C459</f>
        <v>1166155838</v>
      </c>
      <c r="D459" s="84" t="str">
        <f>'II_Inkunabeln+'!D459</f>
        <v>https://portal.dnb.de/opac.htm?method=simpleSearch&amp;cqlMode=true&amp;query=idn%3D1166155838</v>
      </c>
      <c r="E459" s="63" t="str">
        <f>'II_Inkunabeln+'!E459</f>
        <v>II 30,12d</v>
      </c>
      <c r="F459" s="63" t="str">
        <f>'II_Inkunabeln+'!H459</f>
        <v>bis 35 cm</v>
      </c>
      <c r="G459" s="93">
        <f>'II_Inkunabeln+'!AG459</f>
        <v>0</v>
      </c>
      <c r="H459" s="93">
        <f>'II_Inkunabeln+'!AP459</f>
        <v>0</v>
      </c>
      <c r="I459" s="93">
        <f>'II_Inkunabeln+'!AQ459</f>
        <v>0</v>
      </c>
      <c r="J459" s="94"/>
      <c r="K459" s="93">
        <f>'II_Inkunabeln+'!AW459</f>
        <v>0</v>
      </c>
      <c r="L459" s="93">
        <f>'II_Inkunabeln+'!AX459</f>
        <v>0</v>
      </c>
      <c r="AA459" s="93">
        <f>'II_Inkunabeln+'!AY459</f>
        <v>0</v>
      </c>
      <c r="AB459" s="94">
        <f>'II_Inkunabeln+'!BA459</f>
        <v>0</v>
      </c>
      <c r="AC459" s="108"/>
      <c r="AD459" s="81">
        <f>'II_Inkunabeln+'!BJ459</f>
        <v>0</v>
      </c>
    </row>
    <row r="460" spans="1:30" x14ac:dyDescent="0.25">
      <c r="A460" s="63">
        <f>'II_Inkunabeln+'!A460</f>
        <v>439</v>
      </c>
      <c r="B460" s="63" t="str">
        <f>'II_Inkunabeln+'!B460</f>
        <v>L-1496-315495057</v>
      </c>
      <c r="C460" s="63">
        <f>'II_Inkunabeln+'!C460</f>
        <v>1066964882</v>
      </c>
      <c r="D460" s="84" t="str">
        <f>'II_Inkunabeln+'!D460</f>
        <v>https://portal.dnb.de/opac.htm?method=simpleSearch&amp;cqlMode=true&amp;query=idn%3D1066964882</v>
      </c>
      <c r="E460" s="63" t="str">
        <f>'II_Inkunabeln+'!E460</f>
        <v>II 30,12e</v>
      </c>
      <c r="F460" s="63">
        <f>'II_Inkunabeln+'!H460</f>
        <v>0</v>
      </c>
      <c r="G460" s="93">
        <f>'II_Inkunabeln+'!AG460</f>
        <v>0</v>
      </c>
      <c r="H460" s="93">
        <f>'II_Inkunabeln+'!AP460</f>
        <v>0</v>
      </c>
      <c r="I460" s="93">
        <f>'II_Inkunabeln+'!AQ460</f>
        <v>0</v>
      </c>
      <c r="J460" s="94"/>
      <c r="K460" s="93">
        <f>'II_Inkunabeln+'!AW460</f>
        <v>0</v>
      </c>
      <c r="L460" s="93">
        <f>'II_Inkunabeln+'!AX460</f>
        <v>0</v>
      </c>
      <c r="AA460" s="93">
        <f>'II_Inkunabeln+'!AY460</f>
        <v>0</v>
      </c>
      <c r="AB460" s="94">
        <f>'II_Inkunabeln+'!BA460</f>
        <v>0</v>
      </c>
      <c r="AC460" s="108"/>
      <c r="AD460" s="81">
        <f>'II_Inkunabeln+'!BJ460</f>
        <v>0</v>
      </c>
    </row>
    <row r="461" spans="1:30" x14ac:dyDescent="0.25">
      <c r="A461" s="63">
        <f>'II_Inkunabeln+'!A461</f>
        <v>0</v>
      </c>
      <c r="B461" s="63">
        <f>'II_Inkunabeln+'!B461</f>
        <v>0</v>
      </c>
      <c r="C461" s="63">
        <f>'II_Inkunabeln+'!C461</f>
        <v>0</v>
      </c>
      <c r="D461" s="84">
        <f>'II_Inkunabeln+'!D461</f>
        <v>0</v>
      </c>
      <c r="E461" s="63" t="str">
        <f>'II_Inkunabeln+'!E461</f>
        <v>II 30,12g</v>
      </c>
      <c r="F461" s="63" t="str">
        <f>'II_Inkunabeln+'!H461</f>
        <v>bis 35 cm</v>
      </c>
      <c r="G461" s="93">
        <f>'II_Inkunabeln+'!AG461</f>
        <v>0</v>
      </c>
      <c r="H461" s="93">
        <f>'II_Inkunabeln+'!AP461</f>
        <v>0</v>
      </c>
      <c r="I461" s="93">
        <f>'II_Inkunabeln+'!AQ461</f>
        <v>0</v>
      </c>
      <c r="J461" s="94"/>
      <c r="K461" s="93">
        <f>'II_Inkunabeln+'!AW461</f>
        <v>0</v>
      </c>
      <c r="L461" s="93">
        <f>'II_Inkunabeln+'!AX461</f>
        <v>0</v>
      </c>
      <c r="AA461" s="93">
        <f>'II_Inkunabeln+'!AY461</f>
        <v>0</v>
      </c>
      <c r="AB461" s="94">
        <f>'II_Inkunabeln+'!BA461</f>
        <v>0</v>
      </c>
      <c r="AC461" s="108"/>
      <c r="AD461" s="81">
        <f>'II_Inkunabeln+'!BJ461</f>
        <v>0</v>
      </c>
    </row>
    <row r="462" spans="1:30" x14ac:dyDescent="0.25">
      <c r="A462" s="63">
        <f>'II_Inkunabeln+'!A462</f>
        <v>440</v>
      </c>
      <c r="B462" s="63" t="str">
        <f>'II_Inkunabeln+'!B462</f>
        <v>L-1500-315493674</v>
      </c>
      <c r="C462" s="63">
        <f>'II_Inkunabeln+'!C462</f>
        <v>1066963428</v>
      </c>
      <c r="D462" s="84" t="str">
        <f>'II_Inkunabeln+'!D462</f>
        <v>https://portal.dnb.de/opac.htm?method=simpleSearch&amp;cqlMode=true&amp;query=idn%3D1066963428</v>
      </c>
      <c r="E462" s="63" t="str">
        <f>'II_Inkunabeln+'!E462</f>
        <v>II 30,13 m</v>
      </c>
      <c r="F462" s="63" t="str">
        <f>'II_Inkunabeln+'!H462</f>
        <v>bis 25 cm</v>
      </c>
      <c r="G462" s="93">
        <f>'II_Inkunabeln+'!AG462</f>
        <v>0</v>
      </c>
      <c r="H462" s="93">
        <f>'II_Inkunabeln+'!AP462</f>
        <v>0</v>
      </c>
      <c r="I462" s="93">
        <f>'II_Inkunabeln+'!AQ462</f>
        <v>0</v>
      </c>
      <c r="J462" s="94"/>
      <c r="K462" s="93">
        <f>'II_Inkunabeln+'!AW462</f>
        <v>0</v>
      </c>
      <c r="L462" s="93">
        <f>'II_Inkunabeln+'!AX462</f>
        <v>0</v>
      </c>
      <c r="AA462" s="93">
        <f>'II_Inkunabeln+'!AY462</f>
        <v>0</v>
      </c>
      <c r="AB462" s="94">
        <f>'II_Inkunabeln+'!BA462</f>
        <v>0</v>
      </c>
      <c r="AC462" s="108"/>
      <c r="AD462" s="81">
        <f>'II_Inkunabeln+'!BJ462</f>
        <v>0</v>
      </c>
    </row>
    <row r="463" spans="1:30" x14ac:dyDescent="0.25">
      <c r="A463" s="63">
        <f>'II_Inkunabeln+'!A463</f>
        <v>441</v>
      </c>
      <c r="B463" s="63" t="str">
        <f>'II_Inkunabeln+'!B463</f>
        <v>L-1500-315493674</v>
      </c>
      <c r="C463" s="63">
        <f>'II_Inkunabeln+'!C463</f>
        <v>1066963428</v>
      </c>
      <c r="D463" s="84" t="str">
        <f>'II_Inkunabeln+'!D463</f>
        <v>https://portal.dnb.de/opac.htm?method=simpleSearch&amp;cqlMode=true&amp;query=idn%3D1066963428</v>
      </c>
      <c r="E463" s="63" t="str">
        <f>'II_Inkunabeln+'!E463</f>
        <v>II 30,13 m</v>
      </c>
      <c r="F463" s="63">
        <f>'II_Inkunabeln+'!H463</f>
        <v>0</v>
      </c>
      <c r="G463" s="93">
        <f>'II_Inkunabeln+'!AG463</f>
        <v>0</v>
      </c>
      <c r="H463" s="93">
        <f>'II_Inkunabeln+'!AP463</f>
        <v>0</v>
      </c>
      <c r="I463" s="93">
        <f>'II_Inkunabeln+'!AQ463</f>
        <v>0</v>
      </c>
      <c r="J463" s="94"/>
      <c r="K463" s="93">
        <f>'II_Inkunabeln+'!AW463</f>
        <v>0</v>
      </c>
      <c r="L463" s="93">
        <f>'II_Inkunabeln+'!AX463</f>
        <v>0</v>
      </c>
      <c r="AA463" s="93">
        <f>'II_Inkunabeln+'!AY463</f>
        <v>0</v>
      </c>
      <c r="AB463" s="94">
        <f>'II_Inkunabeln+'!BA463</f>
        <v>0</v>
      </c>
      <c r="AC463" s="108"/>
      <c r="AD463" s="81">
        <f>'II_Inkunabeln+'!BJ463</f>
        <v>0</v>
      </c>
    </row>
    <row r="464" spans="1:30" x14ac:dyDescent="0.25">
      <c r="A464" s="63">
        <f>'II_Inkunabeln+'!A464</f>
        <v>442</v>
      </c>
      <c r="B464" s="63" t="str">
        <f>'II_Inkunabeln+'!B464</f>
        <v>L-1487-315498455</v>
      </c>
      <c r="C464" s="63">
        <f>'II_Inkunabeln+'!C464</f>
        <v>1066968187</v>
      </c>
      <c r="D464" s="84" t="str">
        <f>'II_Inkunabeln+'!D464</f>
        <v>https://portal.dnb.de/opac.htm?method=simpleSearch&amp;cqlMode=true&amp;query=idn%3D1066968187</v>
      </c>
      <c r="E464" s="63" t="str">
        <f>'II_Inkunabeln+'!E464</f>
        <v>II 30,13b</v>
      </c>
      <c r="F464" s="63">
        <f>'II_Inkunabeln+'!H464</f>
        <v>0</v>
      </c>
      <c r="G464" s="93">
        <f>'II_Inkunabeln+'!AG464</f>
        <v>0</v>
      </c>
      <c r="H464" s="93">
        <f>'II_Inkunabeln+'!AP464</f>
        <v>0</v>
      </c>
      <c r="I464" s="93">
        <f>'II_Inkunabeln+'!AQ464</f>
        <v>0</v>
      </c>
      <c r="J464" s="94"/>
      <c r="K464" s="93">
        <f>'II_Inkunabeln+'!AW464</f>
        <v>0</v>
      </c>
      <c r="L464" s="93">
        <f>'II_Inkunabeln+'!AX464</f>
        <v>0</v>
      </c>
      <c r="AA464" s="93">
        <f>'II_Inkunabeln+'!AY464</f>
        <v>0</v>
      </c>
      <c r="AB464" s="94">
        <f>'II_Inkunabeln+'!BA464</f>
        <v>0</v>
      </c>
      <c r="AC464" s="108"/>
      <c r="AD464" s="81">
        <f>'II_Inkunabeln+'!BJ464</f>
        <v>0</v>
      </c>
    </row>
    <row r="465" spans="1:30" x14ac:dyDescent="0.25">
      <c r="A465" s="63">
        <f>'II_Inkunabeln+'!A465</f>
        <v>443</v>
      </c>
      <c r="B465" s="63" t="str">
        <f>'II_Inkunabeln+'!B465</f>
        <v>L-1488-315502487</v>
      </c>
      <c r="C465" s="63">
        <f>'II_Inkunabeln+'!C465</f>
        <v>1066972060</v>
      </c>
      <c r="D465" s="84" t="str">
        <f>'II_Inkunabeln+'!D465</f>
        <v>https://portal.dnb.de/opac.htm?method=simpleSearch&amp;cqlMode=true&amp;query=idn%3D1066972060</v>
      </c>
      <c r="E465" s="63" t="str">
        <f>'II_Inkunabeln+'!E465</f>
        <v>II 30,13c</v>
      </c>
      <c r="F465" s="63">
        <f>'II_Inkunabeln+'!H465</f>
        <v>0</v>
      </c>
      <c r="G465" s="93">
        <f>'II_Inkunabeln+'!AG465</f>
        <v>0</v>
      </c>
      <c r="H465" s="93">
        <f>'II_Inkunabeln+'!AP465</f>
        <v>0</v>
      </c>
      <c r="I465" s="93">
        <f>'II_Inkunabeln+'!AQ465</f>
        <v>0</v>
      </c>
      <c r="J465" s="94"/>
      <c r="K465" s="93">
        <f>'II_Inkunabeln+'!AW465</f>
        <v>0</v>
      </c>
      <c r="L465" s="93">
        <f>'II_Inkunabeln+'!AX465</f>
        <v>0</v>
      </c>
      <c r="AA465" s="93">
        <f>'II_Inkunabeln+'!AY465</f>
        <v>0</v>
      </c>
      <c r="AB465" s="94">
        <f>'II_Inkunabeln+'!BA465</f>
        <v>0</v>
      </c>
      <c r="AC465" s="108"/>
      <c r="AD465" s="81">
        <f>'II_Inkunabeln+'!BJ465</f>
        <v>0</v>
      </c>
    </row>
    <row r="466" spans="1:30" x14ac:dyDescent="0.25">
      <c r="A466" s="63">
        <f>'II_Inkunabeln+'!A466</f>
        <v>444</v>
      </c>
      <c r="B466" s="63" t="str">
        <f>'II_Inkunabeln+'!B466</f>
        <v>L-1489-315499605</v>
      </c>
      <c r="C466" s="63">
        <f>'II_Inkunabeln+'!C466</f>
        <v>1066969299</v>
      </c>
      <c r="D466" s="84" t="str">
        <f>'II_Inkunabeln+'!D466</f>
        <v>https://portal.dnb.de/opac.htm?method=simpleSearch&amp;cqlMode=true&amp;query=idn%3D1066969299</v>
      </c>
      <c r="E466" s="63" t="str">
        <f>'II_Inkunabeln+'!E466</f>
        <v>II 30,13d</v>
      </c>
      <c r="F466" s="63" t="str">
        <f>'II_Inkunabeln+'!H466</f>
        <v>bis 35 cm</v>
      </c>
      <c r="G466" s="93">
        <f>'II_Inkunabeln+'!AG466</f>
        <v>0</v>
      </c>
      <c r="H466" s="93">
        <f>'II_Inkunabeln+'!AP466</f>
        <v>0</v>
      </c>
      <c r="I466" s="93">
        <f>'II_Inkunabeln+'!AQ466</f>
        <v>0</v>
      </c>
      <c r="J466" s="94"/>
      <c r="K466" s="93">
        <f>'II_Inkunabeln+'!AW466</f>
        <v>0</v>
      </c>
      <c r="L466" s="93">
        <f>'II_Inkunabeln+'!AX466</f>
        <v>0</v>
      </c>
      <c r="AA466" s="93">
        <f>'II_Inkunabeln+'!AY466</f>
        <v>0</v>
      </c>
      <c r="AB466" s="94">
        <f>'II_Inkunabeln+'!BA466</f>
        <v>0</v>
      </c>
      <c r="AC466" s="108"/>
      <c r="AD466" s="81">
        <f>'II_Inkunabeln+'!BJ466</f>
        <v>0</v>
      </c>
    </row>
    <row r="467" spans="1:30" x14ac:dyDescent="0.25">
      <c r="A467" s="63">
        <f>'II_Inkunabeln+'!A467</f>
        <v>445</v>
      </c>
      <c r="B467" s="63" t="str">
        <f>'II_Inkunabeln+'!B467</f>
        <v>L-1489-352277181</v>
      </c>
      <c r="C467" s="63">
        <f>'II_Inkunabeln+'!C467</f>
        <v>1084609754</v>
      </c>
      <c r="D467" s="84" t="str">
        <f>'II_Inkunabeln+'!D467</f>
        <v>https://portal.dnb.de/opac.htm?method=simpleSearch&amp;cqlMode=true&amp;query=idn%3D1084609754</v>
      </c>
      <c r="E467" s="63" t="str">
        <f>'II_Inkunabeln+'!E467</f>
        <v>II 30,13d (angebunden)</v>
      </c>
      <c r="F467" s="63">
        <f>'II_Inkunabeln+'!H467</f>
        <v>0</v>
      </c>
      <c r="G467" s="93">
        <f>'II_Inkunabeln+'!AG467</f>
        <v>0</v>
      </c>
      <c r="H467" s="93">
        <f>'II_Inkunabeln+'!AP467</f>
        <v>0</v>
      </c>
      <c r="I467" s="93">
        <f>'II_Inkunabeln+'!AQ467</f>
        <v>0</v>
      </c>
      <c r="J467" s="94"/>
      <c r="K467" s="93">
        <f>'II_Inkunabeln+'!AW467</f>
        <v>0</v>
      </c>
      <c r="L467" s="93">
        <f>'II_Inkunabeln+'!AX467</f>
        <v>0</v>
      </c>
      <c r="AA467" s="93">
        <f>'II_Inkunabeln+'!AY467</f>
        <v>0</v>
      </c>
      <c r="AB467" s="94">
        <f>'II_Inkunabeln+'!BA467</f>
        <v>0</v>
      </c>
      <c r="AC467" s="108"/>
      <c r="AD467" s="81">
        <f>'II_Inkunabeln+'!BJ467</f>
        <v>0</v>
      </c>
    </row>
    <row r="468" spans="1:30" x14ac:dyDescent="0.25">
      <c r="A468" s="63">
        <f>'II_Inkunabeln+'!A468</f>
        <v>446</v>
      </c>
      <c r="B468" s="63" t="str">
        <f>'II_Inkunabeln+'!B468</f>
        <v>L-1488-315498633</v>
      </c>
      <c r="C468" s="63">
        <f>'II_Inkunabeln+'!C468</f>
        <v>1066968381</v>
      </c>
      <c r="D468" s="84" t="str">
        <f>'II_Inkunabeln+'!D468</f>
        <v>https://portal.dnb.de/opac.htm?method=simpleSearch&amp;cqlMode=true&amp;query=idn%3D1066968381</v>
      </c>
      <c r="E468" s="63" t="str">
        <f>'II_Inkunabeln+'!E468</f>
        <v>II 30,13e</v>
      </c>
      <c r="F468" s="63" t="str">
        <f>'II_Inkunabeln+'!H468</f>
        <v>bis 25 cm</v>
      </c>
      <c r="G468" s="93">
        <f>'II_Inkunabeln+'!AG468</f>
        <v>0</v>
      </c>
      <c r="H468" s="93">
        <f>'II_Inkunabeln+'!AP468</f>
        <v>0</v>
      </c>
      <c r="I468" s="93">
        <f>'II_Inkunabeln+'!AQ468</f>
        <v>0</v>
      </c>
      <c r="J468" s="94"/>
      <c r="K468" s="93">
        <f>'II_Inkunabeln+'!AW468</f>
        <v>0</v>
      </c>
      <c r="L468" s="93">
        <f>'II_Inkunabeln+'!AX468</f>
        <v>0</v>
      </c>
      <c r="AA468" s="93">
        <f>'II_Inkunabeln+'!AY468</f>
        <v>0</v>
      </c>
      <c r="AB468" s="94">
        <f>'II_Inkunabeln+'!BA468</f>
        <v>0</v>
      </c>
      <c r="AC468" s="108"/>
      <c r="AD468" s="81">
        <f>'II_Inkunabeln+'!BJ468</f>
        <v>0</v>
      </c>
    </row>
    <row r="469" spans="1:30" x14ac:dyDescent="0.25">
      <c r="A469" s="63">
        <f>'II_Inkunabeln+'!A469</f>
        <v>0</v>
      </c>
      <c r="B469" s="63">
        <f>'II_Inkunabeln+'!B469</f>
        <v>0</v>
      </c>
      <c r="C469" s="63">
        <f>'II_Inkunabeln+'!C469</f>
        <v>0</v>
      </c>
      <c r="D469" s="84">
        <f>'II_Inkunabeln+'!D469</f>
        <v>0</v>
      </c>
      <c r="E469" s="63" t="str">
        <f>'II_Inkunabeln+'!E469</f>
        <v>II 30,13e</v>
      </c>
      <c r="F469" s="63">
        <f>'II_Inkunabeln+'!H469</f>
        <v>0</v>
      </c>
      <c r="G469" s="93">
        <f>'II_Inkunabeln+'!AG469</f>
        <v>0</v>
      </c>
      <c r="H469" s="93">
        <f>'II_Inkunabeln+'!AP469</f>
        <v>0</v>
      </c>
      <c r="I469" s="93">
        <f>'II_Inkunabeln+'!AQ469</f>
        <v>0</v>
      </c>
      <c r="J469" s="94"/>
      <c r="K469" s="93">
        <f>'II_Inkunabeln+'!AW469</f>
        <v>0</v>
      </c>
      <c r="L469" s="93">
        <f>'II_Inkunabeln+'!AX469</f>
        <v>0</v>
      </c>
      <c r="AA469" s="93">
        <f>'II_Inkunabeln+'!AY469</f>
        <v>0</v>
      </c>
      <c r="AB469" s="94">
        <f>'II_Inkunabeln+'!BA469</f>
        <v>0</v>
      </c>
      <c r="AC469" s="108"/>
      <c r="AD469" s="81">
        <f>'II_Inkunabeln+'!BJ469</f>
        <v>0</v>
      </c>
    </row>
    <row r="470" spans="1:30" x14ac:dyDescent="0.25">
      <c r="A470" s="63">
        <f>'II_Inkunabeln+'!A470</f>
        <v>447</v>
      </c>
      <c r="B470" s="63" t="str">
        <f>'II_Inkunabeln+'!B470</f>
        <v>L-1498-352277645</v>
      </c>
      <c r="C470" s="63">
        <f>'II_Inkunabeln+'!C470</f>
        <v>1084610876</v>
      </c>
      <c r="D470" s="84" t="str">
        <f>'II_Inkunabeln+'!D470</f>
        <v>https://portal.dnb.de/opac.htm?method=simpleSearch&amp;cqlMode=true&amp;query=idn%3D1084610876</v>
      </c>
      <c r="E470" s="63" t="str">
        <f>'II_Inkunabeln+'!E470</f>
        <v>II 30,13g</v>
      </c>
      <c r="F470" s="63" t="str">
        <f>'II_Inkunabeln+'!H470</f>
        <v>bis 35 cm</v>
      </c>
      <c r="G470" s="93">
        <f>'II_Inkunabeln+'!AG470</f>
        <v>0</v>
      </c>
      <c r="H470" s="93">
        <f>'II_Inkunabeln+'!AP470</f>
        <v>0</v>
      </c>
      <c r="I470" s="93">
        <f>'II_Inkunabeln+'!AQ470</f>
        <v>0</v>
      </c>
      <c r="J470" s="94"/>
      <c r="K470" s="93">
        <f>'II_Inkunabeln+'!AW470</f>
        <v>0</v>
      </c>
      <c r="L470" s="93">
        <f>'II_Inkunabeln+'!AX470</f>
        <v>0</v>
      </c>
      <c r="AA470" s="93">
        <f>'II_Inkunabeln+'!AY470</f>
        <v>0</v>
      </c>
      <c r="AB470" s="94">
        <f>'II_Inkunabeln+'!BA470</f>
        <v>0</v>
      </c>
      <c r="AC470" s="108"/>
      <c r="AD470" s="81">
        <f>'II_Inkunabeln+'!BJ470</f>
        <v>0</v>
      </c>
    </row>
    <row r="471" spans="1:30" x14ac:dyDescent="0.25">
      <c r="A471" s="63">
        <f>'II_Inkunabeln+'!A471</f>
        <v>448</v>
      </c>
      <c r="B471" s="63" t="str">
        <f>'II_Inkunabeln+'!B471</f>
        <v>L-1497-315499567</v>
      </c>
      <c r="C471" s="63">
        <f>'II_Inkunabeln+'!C471</f>
        <v>1066969256</v>
      </c>
      <c r="D471" s="84" t="str">
        <f>'II_Inkunabeln+'!D471</f>
        <v>https://portal.dnb.de/opac.htm?method=simpleSearch&amp;cqlMode=true&amp;query=idn%3D1066969256</v>
      </c>
      <c r="E471" s="63" t="str">
        <f>'II_Inkunabeln+'!E471</f>
        <v>II 30,13gb</v>
      </c>
      <c r="F471" s="63">
        <f>'II_Inkunabeln+'!H471</f>
        <v>0</v>
      </c>
      <c r="G471" s="93">
        <f>'II_Inkunabeln+'!AG471</f>
        <v>0</v>
      </c>
      <c r="H471" s="93">
        <f>'II_Inkunabeln+'!AP471</f>
        <v>0</v>
      </c>
      <c r="I471" s="93">
        <f>'II_Inkunabeln+'!AQ471</f>
        <v>0</v>
      </c>
      <c r="J471" s="94"/>
      <c r="K471" s="93">
        <f>'II_Inkunabeln+'!AW471</f>
        <v>0</v>
      </c>
      <c r="L471" s="93">
        <f>'II_Inkunabeln+'!AX471</f>
        <v>0</v>
      </c>
      <c r="AA471" s="93">
        <f>'II_Inkunabeln+'!AY471</f>
        <v>0</v>
      </c>
      <c r="AB471" s="94">
        <f>'II_Inkunabeln+'!BA471</f>
        <v>0</v>
      </c>
      <c r="AC471" s="108"/>
      <c r="AD471" s="81">
        <f>'II_Inkunabeln+'!BJ471</f>
        <v>0</v>
      </c>
    </row>
    <row r="472" spans="1:30" x14ac:dyDescent="0.25">
      <c r="A472" s="63">
        <f>'II_Inkunabeln+'!A472</f>
        <v>449</v>
      </c>
      <c r="B472" s="63" t="str">
        <f>'II_Inkunabeln+'!B472</f>
        <v>L-1484-315502665</v>
      </c>
      <c r="C472" s="63">
        <f>'II_Inkunabeln+'!C472</f>
        <v>1066972249</v>
      </c>
      <c r="D472" s="84" t="str">
        <f>'II_Inkunabeln+'!D472</f>
        <v>https://portal.dnb.de/opac.htm?method=simpleSearch&amp;cqlMode=true&amp;query=idn%3D1066972249</v>
      </c>
      <c r="E472" s="63" t="str">
        <f>'II_Inkunabeln+'!E472</f>
        <v>II 30,13i</v>
      </c>
      <c r="F472" s="63">
        <f>'II_Inkunabeln+'!H472</f>
        <v>0</v>
      </c>
      <c r="G472" s="93">
        <f>'II_Inkunabeln+'!AG472</f>
        <v>0</v>
      </c>
      <c r="H472" s="93">
        <f>'II_Inkunabeln+'!AP472</f>
        <v>0</v>
      </c>
      <c r="I472" s="93">
        <f>'II_Inkunabeln+'!AQ472</f>
        <v>0</v>
      </c>
      <c r="J472" s="94"/>
      <c r="K472" s="93">
        <f>'II_Inkunabeln+'!AW472</f>
        <v>0</v>
      </c>
      <c r="L472" s="93">
        <f>'II_Inkunabeln+'!AX472</f>
        <v>0</v>
      </c>
      <c r="AA472" s="93">
        <f>'II_Inkunabeln+'!AY472</f>
        <v>0</v>
      </c>
      <c r="AB472" s="94">
        <f>'II_Inkunabeln+'!BA472</f>
        <v>0</v>
      </c>
      <c r="AC472" s="108"/>
      <c r="AD472" s="81">
        <f>'II_Inkunabeln+'!BJ472</f>
        <v>0</v>
      </c>
    </row>
    <row r="473" spans="1:30" x14ac:dyDescent="0.25">
      <c r="A473" s="63">
        <f>'II_Inkunabeln+'!A473</f>
        <v>450</v>
      </c>
      <c r="B473" s="63" t="str">
        <f>'II_Inkunabeln+'!B473</f>
        <v>L-1490-315499435</v>
      </c>
      <c r="C473" s="63">
        <f>'II_Inkunabeln+'!C473</f>
        <v>1066969132</v>
      </c>
      <c r="D473" s="84" t="str">
        <f>'II_Inkunabeln+'!D473</f>
        <v>https://portal.dnb.de/opac.htm?method=simpleSearch&amp;cqlMode=true&amp;query=idn%3D1066969132</v>
      </c>
      <c r="E473" s="63" t="str">
        <f>'II_Inkunabeln+'!E473</f>
        <v>II 30,13k</v>
      </c>
      <c r="F473" s="63">
        <f>'II_Inkunabeln+'!H473</f>
        <v>0</v>
      </c>
      <c r="G473" s="93">
        <f>'II_Inkunabeln+'!AG473</f>
        <v>0</v>
      </c>
      <c r="H473" s="93">
        <f>'II_Inkunabeln+'!AP473</f>
        <v>0</v>
      </c>
      <c r="I473" s="93">
        <f>'II_Inkunabeln+'!AQ473</f>
        <v>0</v>
      </c>
      <c r="J473" s="94"/>
      <c r="K473" s="93">
        <f>'II_Inkunabeln+'!AW473</f>
        <v>0</v>
      </c>
      <c r="L473" s="93">
        <f>'II_Inkunabeln+'!AX473</f>
        <v>0</v>
      </c>
      <c r="AA473" s="93">
        <f>'II_Inkunabeln+'!AY473</f>
        <v>0</v>
      </c>
      <c r="AB473" s="94">
        <f>'II_Inkunabeln+'!BA473</f>
        <v>0</v>
      </c>
      <c r="AC473" s="108"/>
      <c r="AD473" s="81">
        <f>'II_Inkunabeln+'!BJ473</f>
        <v>0</v>
      </c>
    </row>
    <row r="474" spans="1:30" x14ac:dyDescent="0.25">
      <c r="A474" s="63">
        <f>'II_Inkunabeln+'!A474</f>
        <v>451</v>
      </c>
      <c r="B474" s="63" t="str">
        <f>'II_Inkunabeln+'!B474</f>
        <v>L-1483-315499761</v>
      </c>
      <c r="C474" s="63">
        <f>'II_Inkunabeln+'!C474</f>
        <v>1066969434</v>
      </c>
      <c r="D474" s="84" t="str">
        <f>'II_Inkunabeln+'!D474</f>
        <v>https://portal.dnb.de/opac.htm?method=simpleSearch&amp;cqlMode=true&amp;query=idn%3D1066969434</v>
      </c>
      <c r="E474" s="63" t="str">
        <f>'II_Inkunabeln+'!E474</f>
        <v>II 30,14a</v>
      </c>
      <c r="F474" s="63">
        <f>'II_Inkunabeln+'!H474</f>
        <v>0</v>
      </c>
      <c r="G474" s="93">
        <f>'II_Inkunabeln+'!AG474</f>
        <v>0</v>
      </c>
      <c r="H474" s="93">
        <f>'II_Inkunabeln+'!AP474</f>
        <v>0</v>
      </c>
      <c r="I474" s="93">
        <f>'II_Inkunabeln+'!AQ474</f>
        <v>0</v>
      </c>
      <c r="J474" s="94"/>
      <c r="K474" s="93">
        <f>'II_Inkunabeln+'!AW474</f>
        <v>0</v>
      </c>
      <c r="L474" s="93">
        <f>'II_Inkunabeln+'!AX474</f>
        <v>0</v>
      </c>
      <c r="AA474" s="93">
        <f>'II_Inkunabeln+'!AY474</f>
        <v>0</v>
      </c>
      <c r="AB474" s="94">
        <f>'II_Inkunabeln+'!BA474</f>
        <v>0</v>
      </c>
      <c r="AC474" s="108"/>
      <c r="AD474" s="81">
        <f>'II_Inkunabeln+'!BJ474</f>
        <v>0</v>
      </c>
    </row>
    <row r="475" spans="1:30" x14ac:dyDescent="0.25">
      <c r="A475" s="63">
        <f>'II_Inkunabeln+'!A475</f>
        <v>452</v>
      </c>
      <c r="B475" s="63" t="str">
        <f>'II_Inkunabeln+'!B475</f>
        <v>L-1483-315496312</v>
      </c>
      <c r="C475" s="63" t="str">
        <f>'II_Inkunabeln+'!C475</f>
        <v>106696601X</v>
      </c>
      <c r="D475" s="84" t="str">
        <f>'II_Inkunabeln+'!D475</f>
        <v>https://portal.dnb.de/opac.htm?method=simpleSearch&amp;cqlMode=true&amp;query=idn%3D106696601X</v>
      </c>
      <c r="E475" s="63" t="str">
        <f>'II_Inkunabeln+'!E475</f>
        <v>II 30,14b</v>
      </c>
      <c r="F475" s="63">
        <f>'II_Inkunabeln+'!H475</f>
        <v>0</v>
      </c>
      <c r="G475" s="93">
        <f>'II_Inkunabeln+'!AG475</f>
        <v>0</v>
      </c>
      <c r="H475" s="93">
        <f>'II_Inkunabeln+'!AP475</f>
        <v>0</v>
      </c>
      <c r="I475" s="93">
        <f>'II_Inkunabeln+'!AQ475</f>
        <v>0</v>
      </c>
      <c r="J475" s="94"/>
      <c r="K475" s="93">
        <f>'II_Inkunabeln+'!AW475</f>
        <v>0</v>
      </c>
      <c r="L475" s="93">
        <f>'II_Inkunabeln+'!AX475</f>
        <v>0</v>
      </c>
      <c r="AA475" s="93">
        <f>'II_Inkunabeln+'!AY475</f>
        <v>0</v>
      </c>
      <c r="AB475" s="94">
        <f>'II_Inkunabeln+'!BA475</f>
        <v>0</v>
      </c>
      <c r="AC475" s="108"/>
      <c r="AD475" s="81">
        <f>'II_Inkunabeln+'!BJ475</f>
        <v>0</v>
      </c>
    </row>
    <row r="476" spans="1:30" x14ac:dyDescent="0.25">
      <c r="A476" s="63">
        <f>'II_Inkunabeln+'!A476</f>
        <v>453</v>
      </c>
      <c r="B476" s="63" t="str">
        <f>'II_Inkunabeln+'!B476</f>
        <v>L-1483-315501804</v>
      </c>
      <c r="C476" s="63">
        <f>'II_Inkunabeln+'!C476</f>
        <v>1066971439</v>
      </c>
      <c r="D476" s="84" t="str">
        <f>'II_Inkunabeln+'!D476</f>
        <v>https://portal.dnb.de/opac.htm?method=simpleSearch&amp;cqlMode=true&amp;query=idn%3D1066971439</v>
      </c>
      <c r="E476" s="63" t="str">
        <f>'II_Inkunabeln+'!E476</f>
        <v>II 30,14c</v>
      </c>
      <c r="F476" s="63">
        <f>'II_Inkunabeln+'!H476</f>
        <v>0</v>
      </c>
      <c r="G476" s="93">
        <f>'II_Inkunabeln+'!AG476</f>
        <v>0</v>
      </c>
      <c r="H476" s="93">
        <f>'II_Inkunabeln+'!AP476</f>
        <v>0</v>
      </c>
      <c r="I476" s="93">
        <f>'II_Inkunabeln+'!AQ476</f>
        <v>0</v>
      </c>
      <c r="J476" s="94"/>
      <c r="K476" s="93">
        <f>'II_Inkunabeln+'!AW476</f>
        <v>0</v>
      </c>
      <c r="L476" s="93">
        <f>'II_Inkunabeln+'!AX476</f>
        <v>0</v>
      </c>
      <c r="AA476" s="93">
        <f>'II_Inkunabeln+'!AY476</f>
        <v>0</v>
      </c>
      <c r="AB476" s="94">
        <f>'II_Inkunabeln+'!BA476</f>
        <v>0</v>
      </c>
      <c r="AC476" s="108"/>
      <c r="AD476" s="81">
        <f>'II_Inkunabeln+'!BJ476</f>
        <v>0</v>
      </c>
    </row>
    <row r="477" spans="1:30" x14ac:dyDescent="0.25">
      <c r="A477" s="63">
        <f>'II_Inkunabeln+'!A477</f>
        <v>454</v>
      </c>
      <c r="B477" s="63" t="str">
        <f>'II_Inkunabeln+'!B477</f>
        <v>L-1483-315500441</v>
      </c>
      <c r="C477" s="63">
        <f>'II_Inkunabeln+'!C477</f>
        <v>1066970092</v>
      </c>
      <c r="D477" s="84" t="str">
        <f>'II_Inkunabeln+'!D477</f>
        <v>https://portal.dnb.de/opac.htm?method=simpleSearch&amp;cqlMode=true&amp;query=idn%3D1066970092</v>
      </c>
      <c r="E477" s="63" t="str">
        <f>'II_Inkunabeln+'!E477</f>
        <v>II 30,14d</v>
      </c>
      <c r="F477" s="63">
        <f>'II_Inkunabeln+'!H477</f>
        <v>0</v>
      </c>
      <c r="G477" s="93">
        <f>'II_Inkunabeln+'!AG477</f>
        <v>0</v>
      </c>
      <c r="H477" s="93">
        <f>'II_Inkunabeln+'!AP477</f>
        <v>0</v>
      </c>
      <c r="I477" s="93">
        <f>'II_Inkunabeln+'!AQ477</f>
        <v>0</v>
      </c>
      <c r="J477" s="94"/>
      <c r="K477" s="93">
        <f>'II_Inkunabeln+'!AW477</f>
        <v>0</v>
      </c>
      <c r="L477" s="93">
        <f>'II_Inkunabeln+'!AX477</f>
        <v>0</v>
      </c>
      <c r="AA477" s="93">
        <f>'II_Inkunabeln+'!AY477</f>
        <v>0</v>
      </c>
      <c r="AB477" s="94">
        <f>'II_Inkunabeln+'!BA477</f>
        <v>0</v>
      </c>
      <c r="AC477" s="108"/>
      <c r="AD477" s="81">
        <f>'II_Inkunabeln+'!BJ477</f>
        <v>0</v>
      </c>
    </row>
    <row r="478" spans="1:30" x14ac:dyDescent="0.25">
      <c r="A478" s="63">
        <f>'II_Inkunabeln+'!A478</f>
        <v>455</v>
      </c>
      <c r="B478" s="63" t="str">
        <f>'II_Inkunabeln+'!B478</f>
        <v>L-1483-315500425</v>
      </c>
      <c r="C478" s="63">
        <f>'II_Inkunabeln+'!C478</f>
        <v>1066970076</v>
      </c>
      <c r="D478" s="84" t="str">
        <f>'II_Inkunabeln+'!D478</f>
        <v>https://portal.dnb.de/opac.htm?method=simpleSearch&amp;cqlMode=true&amp;query=idn%3D1066970076</v>
      </c>
      <c r="E478" s="63" t="str">
        <f>'II_Inkunabeln+'!E478</f>
        <v>II 30,14e</v>
      </c>
      <c r="F478" s="63">
        <f>'II_Inkunabeln+'!H478</f>
        <v>0</v>
      </c>
      <c r="G478" s="93">
        <f>'II_Inkunabeln+'!AG478</f>
        <v>0</v>
      </c>
      <c r="H478" s="93">
        <f>'II_Inkunabeln+'!AP478</f>
        <v>0</v>
      </c>
      <c r="I478" s="93">
        <f>'II_Inkunabeln+'!AQ478</f>
        <v>0</v>
      </c>
      <c r="J478" s="94"/>
      <c r="K478" s="93">
        <f>'II_Inkunabeln+'!AW478</f>
        <v>0</v>
      </c>
      <c r="L478" s="93">
        <f>'II_Inkunabeln+'!AX478</f>
        <v>0</v>
      </c>
      <c r="AA478" s="93">
        <f>'II_Inkunabeln+'!AY478</f>
        <v>0</v>
      </c>
      <c r="AB478" s="94">
        <f>'II_Inkunabeln+'!BA478</f>
        <v>0</v>
      </c>
      <c r="AC478" s="108"/>
      <c r="AD478" s="81">
        <f>'II_Inkunabeln+'!BJ478</f>
        <v>0</v>
      </c>
    </row>
    <row r="479" spans="1:30" x14ac:dyDescent="0.25">
      <c r="A479" s="63">
        <f>'II_Inkunabeln+'!A479</f>
        <v>456</v>
      </c>
      <c r="B479" s="63" t="str">
        <f>'II_Inkunabeln+'!B479</f>
        <v>L-1483-315497955</v>
      </c>
      <c r="C479" s="63">
        <f>'II_Inkunabeln+'!C479</f>
        <v>1066967695</v>
      </c>
      <c r="D479" s="84" t="str">
        <f>'II_Inkunabeln+'!D479</f>
        <v>https://portal.dnb.de/opac.htm?method=simpleSearch&amp;cqlMode=true&amp;query=idn%3D1066967695</v>
      </c>
      <c r="E479" s="63" t="str">
        <f>'II_Inkunabeln+'!E479</f>
        <v>II 30,14f</v>
      </c>
      <c r="F479" s="63">
        <f>'II_Inkunabeln+'!H479</f>
        <v>0</v>
      </c>
      <c r="G479" s="93">
        <f>'II_Inkunabeln+'!AG479</f>
        <v>0</v>
      </c>
      <c r="H479" s="93">
        <f>'II_Inkunabeln+'!AP479</f>
        <v>0</v>
      </c>
      <c r="I479" s="93">
        <f>'II_Inkunabeln+'!AQ479</f>
        <v>0</v>
      </c>
      <c r="J479" s="94"/>
      <c r="K479" s="93">
        <f>'II_Inkunabeln+'!AW479</f>
        <v>0</v>
      </c>
      <c r="L479" s="93">
        <f>'II_Inkunabeln+'!AX479</f>
        <v>0</v>
      </c>
      <c r="AA479" s="93">
        <f>'II_Inkunabeln+'!AY479</f>
        <v>0</v>
      </c>
      <c r="AB479" s="94">
        <f>'II_Inkunabeln+'!BA479</f>
        <v>0</v>
      </c>
      <c r="AC479" s="108"/>
      <c r="AD479" s="81">
        <f>'II_Inkunabeln+'!BJ479</f>
        <v>0</v>
      </c>
    </row>
    <row r="480" spans="1:30" x14ac:dyDescent="0.25">
      <c r="A480" s="63">
        <f>'II_Inkunabeln+'!A480</f>
        <v>457</v>
      </c>
      <c r="B480" s="63" t="str">
        <f>'II_Inkunabeln+'!B480</f>
        <v>L-1483-315499524</v>
      </c>
      <c r="C480" s="63">
        <f>'II_Inkunabeln+'!C480</f>
        <v>1066969213</v>
      </c>
      <c r="D480" s="84" t="str">
        <f>'II_Inkunabeln+'!D480</f>
        <v>https://portal.dnb.de/opac.htm?method=simpleSearch&amp;cqlMode=true&amp;query=idn%3D1066969213</v>
      </c>
      <c r="E480" s="63" t="str">
        <f>'II_Inkunabeln+'!E480</f>
        <v>II 30,14h</v>
      </c>
      <c r="F480" s="63">
        <f>'II_Inkunabeln+'!H480</f>
        <v>0</v>
      </c>
      <c r="G480" s="93">
        <f>'II_Inkunabeln+'!AG480</f>
        <v>0</v>
      </c>
      <c r="H480" s="93">
        <f>'II_Inkunabeln+'!AP480</f>
        <v>0</v>
      </c>
      <c r="I480" s="93">
        <f>'II_Inkunabeln+'!AQ480</f>
        <v>0</v>
      </c>
      <c r="J480" s="94"/>
      <c r="K480" s="93">
        <f>'II_Inkunabeln+'!AW480</f>
        <v>0</v>
      </c>
      <c r="L480" s="93">
        <f>'II_Inkunabeln+'!AX480</f>
        <v>0</v>
      </c>
      <c r="AA480" s="93">
        <f>'II_Inkunabeln+'!AY480</f>
        <v>0</v>
      </c>
      <c r="AB480" s="94">
        <f>'II_Inkunabeln+'!BA480</f>
        <v>0</v>
      </c>
      <c r="AC480" s="108"/>
      <c r="AD480" s="81">
        <f>'II_Inkunabeln+'!BJ480</f>
        <v>0</v>
      </c>
    </row>
    <row r="481" spans="1:30" x14ac:dyDescent="0.25">
      <c r="A481" s="63">
        <f>'II_Inkunabeln+'!A481</f>
        <v>458</v>
      </c>
      <c r="B481" s="63" t="str">
        <f>'II_Inkunabeln+'!B481</f>
        <v>L-1484-315502657</v>
      </c>
      <c r="C481" s="63">
        <f>'II_Inkunabeln+'!C481</f>
        <v>1066972249</v>
      </c>
      <c r="D481" s="84" t="str">
        <f>'II_Inkunabeln+'!D481</f>
        <v>https://portal.dnb.de/opac.htm?method=simpleSearch&amp;cqlMode=true&amp;query=idn%3D1066972249</v>
      </c>
      <c r="E481" s="63" t="str">
        <f>'II_Inkunabeln+'!E481</f>
        <v>II 30,14i</v>
      </c>
      <c r="F481" s="63">
        <f>'II_Inkunabeln+'!H481</f>
        <v>0</v>
      </c>
      <c r="G481" s="93">
        <f>'II_Inkunabeln+'!AG481</f>
        <v>0</v>
      </c>
      <c r="H481" s="93">
        <f>'II_Inkunabeln+'!AP481</f>
        <v>0</v>
      </c>
      <c r="I481" s="93">
        <f>'II_Inkunabeln+'!AQ481</f>
        <v>0</v>
      </c>
      <c r="J481" s="94"/>
      <c r="K481" s="93">
        <f>'II_Inkunabeln+'!AW481</f>
        <v>0</v>
      </c>
      <c r="L481" s="93">
        <f>'II_Inkunabeln+'!AX481</f>
        <v>0</v>
      </c>
      <c r="AA481" s="93">
        <f>'II_Inkunabeln+'!AY481</f>
        <v>0</v>
      </c>
      <c r="AB481" s="94">
        <f>'II_Inkunabeln+'!BA481</f>
        <v>0</v>
      </c>
      <c r="AC481" s="108"/>
      <c r="AD481" s="81">
        <f>'II_Inkunabeln+'!BJ481</f>
        <v>0</v>
      </c>
    </row>
    <row r="482" spans="1:30" x14ac:dyDescent="0.25">
      <c r="A482" s="63">
        <f>'II_Inkunabeln+'!A482</f>
        <v>459</v>
      </c>
      <c r="B482" s="63" t="str">
        <f>'II_Inkunabeln+'!B482</f>
        <v>L-1489-315495065</v>
      </c>
      <c r="C482" s="63">
        <f>'II_Inkunabeln+'!C482</f>
        <v>1066964890</v>
      </c>
      <c r="D482" s="84" t="str">
        <f>'II_Inkunabeln+'!D482</f>
        <v>https://portal.dnb.de/opac.htm?method=simpleSearch&amp;cqlMode=true&amp;query=idn%3D1066964890</v>
      </c>
      <c r="E482" s="63" t="str">
        <f>'II_Inkunabeln+'!E482</f>
        <v>II 30,14k</v>
      </c>
      <c r="F482" s="63">
        <f>'II_Inkunabeln+'!H482</f>
        <v>0</v>
      </c>
      <c r="G482" s="93">
        <f>'II_Inkunabeln+'!AG482</f>
        <v>0</v>
      </c>
      <c r="H482" s="93">
        <f>'II_Inkunabeln+'!AP482</f>
        <v>0</v>
      </c>
      <c r="I482" s="93">
        <f>'II_Inkunabeln+'!AQ482</f>
        <v>0</v>
      </c>
      <c r="J482" s="94"/>
      <c r="K482" s="93">
        <f>'II_Inkunabeln+'!AW482</f>
        <v>0</v>
      </c>
      <c r="L482" s="93">
        <f>'II_Inkunabeln+'!AX482</f>
        <v>0</v>
      </c>
      <c r="AA482" s="93">
        <f>'II_Inkunabeln+'!AY482</f>
        <v>0</v>
      </c>
      <c r="AB482" s="94">
        <f>'II_Inkunabeln+'!BA482</f>
        <v>0</v>
      </c>
      <c r="AC482" s="108"/>
      <c r="AD482" s="81">
        <f>'II_Inkunabeln+'!BJ482</f>
        <v>0</v>
      </c>
    </row>
    <row r="483" spans="1:30" x14ac:dyDescent="0.25">
      <c r="A483" s="63">
        <f>'II_Inkunabeln+'!A483</f>
        <v>460</v>
      </c>
      <c r="B483" s="63" t="str">
        <f>'II_Inkunabeln+'!B483</f>
        <v>L-1483-31550045X</v>
      </c>
      <c r="C483" s="63">
        <f>'II_Inkunabeln+'!C483</f>
        <v>1066970106</v>
      </c>
      <c r="D483" s="84" t="str">
        <f>'II_Inkunabeln+'!D483</f>
        <v>https://portal.dnb.de/opac.htm?method=simpleSearch&amp;cqlMode=true&amp;query=idn%3D1066970106</v>
      </c>
      <c r="E483" s="63" t="str">
        <f>'II_Inkunabeln+'!E483</f>
        <v>II 30,14l</v>
      </c>
      <c r="F483" s="63">
        <f>'II_Inkunabeln+'!H483</f>
        <v>0</v>
      </c>
      <c r="G483" s="93">
        <f>'II_Inkunabeln+'!AG483</f>
        <v>0</v>
      </c>
      <c r="H483" s="93">
        <f>'II_Inkunabeln+'!AP483</f>
        <v>0</v>
      </c>
      <c r="I483" s="93">
        <f>'II_Inkunabeln+'!AQ483</f>
        <v>0</v>
      </c>
      <c r="J483" s="94"/>
      <c r="K483" s="93">
        <f>'II_Inkunabeln+'!AW483</f>
        <v>0</v>
      </c>
      <c r="L483" s="93">
        <f>'II_Inkunabeln+'!AX483</f>
        <v>0</v>
      </c>
      <c r="AA483" s="93">
        <f>'II_Inkunabeln+'!AY483</f>
        <v>0</v>
      </c>
      <c r="AB483" s="94">
        <f>'II_Inkunabeln+'!BA483</f>
        <v>0</v>
      </c>
      <c r="AC483" s="108"/>
      <c r="AD483" s="81">
        <f>'II_Inkunabeln+'!BJ483</f>
        <v>0</v>
      </c>
    </row>
    <row r="484" spans="1:30" x14ac:dyDescent="0.25">
      <c r="A484" s="63">
        <f>'II_Inkunabeln+'!A484</f>
        <v>461</v>
      </c>
      <c r="B484" s="63" t="str">
        <f>'II_Inkunabeln+'!B484</f>
        <v>L-1483-315500506</v>
      </c>
      <c r="C484" s="63">
        <f>'II_Inkunabeln+'!C484</f>
        <v>1066970157</v>
      </c>
      <c r="D484" s="84" t="str">
        <f>'II_Inkunabeln+'!D484</f>
        <v>https://portal.dnb.de/opac.htm?method=simpleSearch&amp;cqlMode=true&amp;query=idn%3D1066970157</v>
      </c>
      <c r="E484" s="63" t="str">
        <f>'II_Inkunabeln+'!E484</f>
        <v>II 30,14m</v>
      </c>
      <c r="F484" s="63" t="str">
        <f>'II_Inkunabeln+'!H484</f>
        <v>bis 35 cm</v>
      </c>
      <c r="G484" s="93">
        <f>'II_Inkunabeln+'!AG484</f>
        <v>0</v>
      </c>
      <c r="H484" s="93">
        <f>'II_Inkunabeln+'!AP484</f>
        <v>0</v>
      </c>
      <c r="I484" s="93">
        <f>'II_Inkunabeln+'!AQ484</f>
        <v>0</v>
      </c>
      <c r="J484" s="94"/>
      <c r="K484" s="93">
        <f>'II_Inkunabeln+'!AW484</f>
        <v>0</v>
      </c>
      <c r="L484" s="93">
        <f>'II_Inkunabeln+'!AX484</f>
        <v>0</v>
      </c>
      <c r="AA484" s="93">
        <f>'II_Inkunabeln+'!AY484</f>
        <v>0</v>
      </c>
      <c r="AB484" s="94">
        <f>'II_Inkunabeln+'!BA484</f>
        <v>0</v>
      </c>
      <c r="AC484" s="108"/>
      <c r="AD484" s="81">
        <f>'II_Inkunabeln+'!BJ484</f>
        <v>0</v>
      </c>
    </row>
    <row r="485" spans="1:30" x14ac:dyDescent="0.25">
      <c r="A485" s="63">
        <f>'II_Inkunabeln+'!A485</f>
        <v>462</v>
      </c>
      <c r="B485" s="63" t="str">
        <f>'II_Inkunabeln+'!B485</f>
        <v>L-1483-315501340</v>
      </c>
      <c r="C485" s="63" t="str">
        <f>'II_Inkunabeln+'!C485</f>
        <v>106697098X</v>
      </c>
      <c r="D485" s="84" t="str">
        <f>'II_Inkunabeln+'!D485</f>
        <v>https://portal.dnb.de/opac.htm?method=simpleSearch&amp;cqlMode=true&amp;query=idn%3D106697098X</v>
      </c>
      <c r="E485" s="63" t="str">
        <f>'II_Inkunabeln+'!E485</f>
        <v>II 30,14o</v>
      </c>
      <c r="F485" s="63" t="str">
        <f>'II_Inkunabeln+'!H485</f>
        <v>bis 35 cm</v>
      </c>
      <c r="G485" s="93">
        <f>'II_Inkunabeln+'!AG485</f>
        <v>0</v>
      </c>
      <c r="H485" s="93">
        <f>'II_Inkunabeln+'!AP485</f>
        <v>0</v>
      </c>
      <c r="I485" s="93">
        <f>'II_Inkunabeln+'!AQ485</f>
        <v>0</v>
      </c>
      <c r="J485" s="94"/>
      <c r="K485" s="93">
        <f>'II_Inkunabeln+'!AW485</f>
        <v>0</v>
      </c>
      <c r="L485" s="93">
        <f>'II_Inkunabeln+'!AX485</f>
        <v>0</v>
      </c>
      <c r="AA485" s="93">
        <f>'II_Inkunabeln+'!AY485</f>
        <v>0</v>
      </c>
      <c r="AB485" s="94">
        <f>'II_Inkunabeln+'!BA485</f>
        <v>0</v>
      </c>
      <c r="AC485" s="108"/>
      <c r="AD485" s="81">
        <f>'II_Inkunabeln+'!BJ485</f>
        <v>0</v>
      </c>
    </row>
    <row r="486" spans="1:30" x14ac:dyDescent="0.25">
      <c r="A486" s="63">
        <f>'II_Inkunabeln+'!A486</f>
        <v>463</v>
      </c>
      <c r="B486" s="63" t="str">
        <f>'II_Inkunabeln+'!B486</f>
        <v>L-1483-315501561</v>
      </c>
      <c r="C486" s="63">
        <f>'II_Inkunabeln+'!C486</f>
        <v>1066971196</v>
      </c>
      <c r="D486" s="84" t="str">
        <f>'II_Inkunabeln+'!D486</f>
        <v>https://portal.dnb.de/opac.htm?method=simpleSearch&amp;cqlMode=true&amp;query=idn%3D1066971196</v>
      </c>
      <c r="E486" s="63" t="str">
        <f>'II_Inkunabeln+'!E486</f>
        <v>II 30,14oa</v>
      </c>
      <c r="F486" s="63" t="str">
        <f>'II_Inkunabeln+'!H486</f>
        <v>bis 35 cm</v>
      </c>
      <c r="G486" s="93">
        <f>'II_Inkunabeln+'!AG486</f>
        <v>0</v>
      </c>
      <c r="H486" s="93">
        <f>'II_Inkunabeln+'!AP486</f>
        <v>0</v>
      </c>
      <c r="I486" s="93">
        <f>'II_Inkunabeln+'!AQ486</f>
        <v>0</v>
      </c>
      <c r="J486" s="94"/>
      <c r="K486" s="93">
        <f>'II_Inkunabeln+'!AW486</f>
        <v>0</v>
      </c>
      <c r="L486" s="93">
        <f>'II_Inkunabeln+'!AX486</f>
        <v>0</v>
      </c>
      <c r="AA486" s="93">
        <f>'II_Inkunabeln+'!AY486</f>
        <v>0</v>
      </c>
      <c r="AB486" s="94">
        <f>'II_Inkunabeln+'!BA486</f>
        <v>0</v>
      </c>
      <c r="AC486" s="108"/>
      <c r="AD486" s="81">
        <f>'II_Inkunabeln+'!BJ486</f>
        <v>0</v>
      </c>
    </row>
    <row r="487" spans="1:30" x14ac:dyDescent="0.25">
      <c r="A487" s="63">
        <f>'II_Inkunabeln+'!A487</f>
        <v>464</v>
      </c>
      <c r="B487" s="63" t="str">
        <f>'II_Inkunabeln+'!B487</f>
        <v>L-1483-315497246</v>
      </c>
      <c r="C487" s="63" t="str">
        <f>'II_Inkunabeln+'!C487</f>
        <v>106696694X</v>
      </c>
      <c r="D487" s="84" t="str">
        <f>'II_Inkunabeln+'!D487</f>
        <v>https://portal.dnb.de/opac.htm?method=simpleSearch&amp;cqlMode=true&amp;query=idn%3D106696694X</v>
      </c>
      <c r="E487" s="63" t="str">
        <f>'II_Inkunabeln+'!E487</f>
        <v>II 30,14p</v>
      </c>
      <c r="F487" s="63" t="str">
        <f>'II_Inkunabeln+'!H487</f>
        <v>bis 25 cm</v>
      </c>
      <c r="G487" s="93">
        <f>'II_Inkunabeln+'!AG487</f>
        <v>0</v>
      </c>
      <c r="H487" s="93">
        <f>'II_Inkunabeln+'!AP487</f>
        <v>0</v>
      </c>
      <c r="I487" s="93">
        <f>'II_Inkunabeln+'!AQ487</f>
        <v>0</v>
      </c>
      <c r="J487" s="94"/>
      <c r="K487" s="93">
        <f>'II_Inkunabeln+'!AW487</f>
        <v>0</v>
      </c>
      <c r="L487" s="93">
        <f>'II_Inkunabeln+'!AX487</f>
        <v>0</v>
      </c>
      <c r="AA487" s="93">
        <f>'II_Inkunabeln+'!AY487</f>
        <v>0</v>
      </c>
      <c r="AB487" s="94">
        <f>'II_Inkunabeln+'!BA487</f>
        <v>0</v>
      </c>
      <c r="AC487" s="108"/>
      <c r="AD487" s="81">
        <f>'II_Inkunabeln+'!BJ487</f>
        <v>0</v>
      </c>
    </row>
    <row r="488" spans="1:30" x14ac:dyDescent="0.25">
      <c r="A488" s="63">
        <f>'II_Inkunabeln+'!A488</f>
        <v>465</v>
      </c>
      <c r="B488" s="63" t="str">
        <f>'II_Inkunabeln+'!B488</f>
        <v>L-1483-315497785</v>
      </c>
      <c r="C488" s="63">
        <f>'II_Inkunabeln+'!C488</f>
        <v>1066967539</v>
      </c>
      <c r="D488" s="84" t="str">
        <f>'II_Inkunabeln+'!D488</f>
        <v>https://portal.dnb.de/opac.htm?method=simpleSearch&amp;cqlMode=true&amp;query=idn%3D1066967539</v>
      </c>
      <c r="E488" s="63" t="str">
        <f>'II_Inkunabeln+'!E488</f>
        <v>II 30,14q</v>
      </c>
      <c r="F488" s="63" t="str">
        <f>'II_Inkunabeln+'!H488</f>
        <v>bis 35 cm</v>
      </c>
      <c r="G488" s="93">
        <f>'II_Inkunabeln+'!AG488</f>
        <v>0</v>
      </c>
      <c r="H488" s="93">
        <f>'II_Inkunabeln+'!AP488</f>
        <v>0</v>
      </c>
      <c r="I488" s="93">
        <f>'II_Inkunabeln+'!AQ488</f>
        <v>0</v>
      </c>
      <c r="J488" s="94"/>
      <c r="K488" s="93">
        <f>'II_Inkunabeln+'!AW488</f>
        <v>0</v>
      </c>
      <c r="L488" s="93">
        <f>'II_Inkunabeln+'!AX488</f>
        <v>0</v>
      </c>
      <c r="AA488" s="93">
        <f>'II_Inkunabeln+'!AY488</f>
        <v>0</v>
      </c>
      <c r="AB488" s="94">
        <f>'II_Inkunabeln+'!BA488</f>
        <v>0</v>
      </c>
      <c r="AC488" s="108"/>
      <c r="AD488" s="81">
        <f>'II_Inkunabeln+'!BJ488</f>
        <v>0</v>
      </c>
    </row>
    <row r="489" spans="1:30" x14ac:dyDescent="0.25">
      <c r="A489" s="63">
        <f>'II_Inkunabeln+'!A489</f>
        <v>466</v>
      </c>
      <c r="B489" s="63" t="str">
        <f>'II_Inkunabeln+'!B489</f>
        <v>L-1488-315495510</v>
      </c>
      <c r="C489" s="63" t="str">
        <f>'II_Inkunabeln+'!C489</f>
        <v>106696534X</v>
      </c>
      <c r="D489" s="84" t="str">
        <f>'II_Inkunabeln+'!D489</f>
        <v>https://portal.dnb.de/opac.htm?method=simpleSearch&amp;cqlMode=true&amp;query=idn%3D106696534X</v>
      </c>
      <c r="E489" s="63" t="str">
        <f>'II_Inkunabeln+'!E489</f>
        <v>II 30,15a</v>
      </c>
      <c r="F489" s="63" t="str">
        <f>'II_Inkunabeln+'!H489</f>
        <v>bis 25 cm</v>
      </c>
      <c r="G489" s="93">
        <f>'II_Inkunabeln+'!AG489</f>
        <v>0</v>
      </c>
      <c r="H489" s="93">
        <f>'II_Inkunabeln+'!AP489</f>
        <v>0</v>
      </c>
      <c r="I489" s="93">
        <f>'II_Inkunabeln+'!AQ489</f>
        <v>0</v>
      </c>
      <c r="J489" s="94"/>
      <c r="K489" s="93">
        <f>'II_Inkunabeln+'!AW489</f>
        <v>0</v>
      </c>
      <c r="L489" s="93">
        <f>'II_Inkunabeln+'!AX489</f>
        <v>0</v>
      </c>
      <c r="AA489" s="93">
        <f>'II_Inkunabeln+'!AY489</f>
        <v>0</v>
      </c>
      <c r="AB489" s="94">
        <f>'II_Inkunabeln+'!BA489</f>
        <v>0</v>
      </c>
      <c r="AC489" s="108"/>
      <c r="AD489" s="81">
        <f>'II_Inkunabeln+'!BJ489</f>
        <v>0</v>
      </c>
    </row>
    <row r="490" spans="1:30" x14ac:dyDescent="0.25">
      <c r="A490" s="63">
        <f>'II_Inkunabeln+'!A490</f>
        <v>467</v>
      </c>
      <c r="B490" s="63" t="str">
        <f>'II_Inkunabeln+'!B490</f>
        <v>L-1489-315495472</v>
      </c>
      <c r="C490" s="63">
        <f>'II_Inkunabeln+'!C490</f>
        <v>1066965293</v>
      </c>
      <c r="D490" s="84" t="str">
        <f>'II_Inkunabeln+'!D490</f>
        <v>https://portal.dnb.de/opac.htm?method=simpleSearch&amp;cqlMode=true&amp;query=idn%3D1066965293</v>
      </c>
      <c r="E490" s="63" t="str">
        <f>'II_Inkunabeln+'!E490</f>
        <v>II 30,15b</v>
      </c>
      <c r="F490" s="63" t="str">
        <f>'II_Inkunabeln+'!H490</f>
        <v>bis 35 cm</v>
      </c>
      <c r="G490" s="93">
        <f>'II_Inkunabeln+'!AG490</f>
        <v>0</v>
      </c>
      <c r="H490" s="93">
        <f>'II_Inkunabeln+'!AP490</f>
        <v>0</v>
      </c>
      <c r="I490" s="93">
        <f>'II_Inkunabeln+'!AQ490</f>
        <v>0</v>
      </c>
      <c r="J490" s="94"/>
      <c r="K490" s="93">
        <f>'II_Inkunabeln+'!AW490</f>
        <v>0</v>
      </c>
      <c r="L490" s="93">
        <f>'II_Inkunabeln+'!AX490</f>
        <v>0</v>
      </c>
      <c r="AA490" s="93">
        <f>'II_Inkunabeln+'!AY490</f>
        <v>0</v>
      </c>
      <c r="AB490" s="94">
        <f>'II_Inkunabeln+'!BA490</f>
        <v>0</v>
      </c>
      <c r="AC490" s="108"/>
      <c r="AD490" s="81">
        <f>'II_Inkunabeln+'!BJ490</f>
        <v>0</v>
      </c>
    </row>
    <row r="491" spans="1:30" x14ac:dyDescent="0.25">
      <c r="A491" s="63">
        <f>'II_Inkunabeln+'!A491</f>
        <v>468</v>
      </c>
      <c r="B491" s="63" t="str">
        <f>'II_Inkunabeln+'!B491</f>
        <v>L-1489-315497238</v>
      </c>
      <c r="C491" s="63">
        <f>'II_Inkunabeln+'!C491</f>
        <v>1066966931</v>
      </c>
      <c r="D491" s="84" t="str">
        <f>'II_Inkunabeln+'!D491</f>
        <v>https://portal.dnb.de/opac.htm?method=simpleSearch&amp;cqlMode=true&amp;query=idn%3D1066966931</v>
      </c>
      <c r="E491" s="63" t="str">
        <f>'II_Inkunabeln+'!E491</f>
        <v>II 30,15c</v>
      </c>
      <c r="F491" s="63" t="str">
        <f>'II_Inkunabeln+'!H491</f>
        <v>bis 35 cm</v>
      </c>
      <c r="G491" s="93">
        <f>'II_Inkunabeln+'!AG491</f>
        <v>0</v>
      </c>
      <c r="H491" s="93">
        <f>'II_Inkunabeln+'!AP491</f>
        <v>0</v>
      </c>
      <c r="I491" s="93">
        <f>'II_Inkunabeln+'!AQ491</f>
        <v>0</v>
      </c>
      <c r="J491" s="94"/>
      <c r="K491" s="93">
        <f>'II_Inkunabeln+'!AW491</f>
        <v>0</v>
      </c>
      <c r="L491" s="93">
        <f>'II_Inkunabeln+'!AX491</f>
        <v>0</v>
      </c>
      <c r="AA491" s="93">
        <f>'II_Inkunabeln+'!AY491</f>
        <v>0</v>
      </c>
      <c r="AB491" s="94">
        <f>'II_Inkunabeln+'!BA491</f>
        <v>0</v>
      </c>
      <c r="AC491" s="108"/>
      <c r="AD491" s="81">
        <f>'II_Inkunabeln+'!BJ491</f>
        <v>0</v>
      </c>
    </row>
    <row r="492" spans="1:30" x14ac:dyDescent="0.25">
      <c r="A492" s="63">
        <f>'II_Inkunabeln+'!A492</f>
        <v>469</v>
      </c>
      <c r="B492" s="63" t="str">
        <f>'II_Inkunabeln+'!B492</f>
        <v>L-1491-315496134</v>
      </c>
      <c r="C492" s="63">
        <f>'II_Inkunabeln+'!C492</f>
        <v>1066965862</v>
      </c>
      <c r="D492" s="84" t="str">
        <f>'II_Inkunabeln+'!D492</f>
        <v>https://portal.dnb.de/opac.htm?method=simpleSearch&amp;cqlMode=true&amp;query=idn%3D1066965862</v>
      </c>
      <c r="E492" s="63" t="str">
        <f>'II_Inkunabeln+'!E492</f>
        <v>II 30,15d</v>
      </c>
      <c r="F492" s="63" t="str">
        <f>'II_Inkunabeln+'!H492</f>
        <v>bis 35 cm</v>
      </c>
      <c r="G492" s="93">
        <f>'II_Inkunabeln+'!AG492</f>
        <v>0</v>
      </c>
      <c r="H492" s="93">
        <f>'II_Inkunabeln+'!AP492</f>
        <v>0</v>
      </c>
      <c r="I492" s="93">
        <f>'II_Inkunabeln+'!AQ492</f>
        <v>0</v>
      </c>
      <c r="J492" s="94"/>
      <c r="K492" s="93">
        <f>'II_Inkunabeln+'!AW492</f>
        <v>0</v>
      </c>
      <c r="L492" s="93">
        <f>'II_Inkunabeln+'!AX492</f>
        <v>0</v>
      </c>
      <c r="AA492" s="93">
        <f>'II_Inkunabeln+'!AY492</f>
        <v>0</v>
      </c>
      <c r="AB492" s="94">
        <f>'II_Inkunabeln+'!BA492</f>
        <v>0</v>
      </c>
      <c r="AC492" s="108"/>
      <c r="AD492" s="81">
        <f>'II_Inkunabeln+'!BJ492</f>
        <v>0</v>
      </c>
    </row>
    <row r="493" spans="1:30" x14ac:dyDescent="0.25">
      <c r="A493" s="63">
        <f>'II_Inkunabeln+'!A493</f>
        <v>470</v>
      </c>
      <c r="B493" s="63" t="str">
        <f>'II_Inkunabeln+'!B493</f>
        <v>L-1491-315501855</v>
      </c>
      <c r="C493" s="63">
        <f>'II_Inkunabeln+'!C493</f>
        <v>1066971471</v>
      </c>
      <c r="D493" s="84" t="str">
        <f>'II_Inkunabeln+'!D493</f>
        <v>https://portal.dnb.de/opac.htm?method=simpleSearch&amp;cqlMode=true&amp;query=idn%3D1066971471</v>
      </c>
      <c r="E493" s="63" t="str">
        <f>'II_Inkunabeln+'!E493</f>
        <v>II 30,15f</v>
      </c>
      <c r="F493" s="63" t="str">
        <f>'II_Inkunabeln+'!H493</f>
        <v>bis 35 cm</v>
      </c>
      <c r="G493" s="93">
        <f>'II_Inkunabeln+'!AG493</f>
        <v>0</v>
      </c>
      <c r="H493" s="93">
        <f>'II_Inkunabeln+'!AP493</f>
        <v>0</v>
      </c>
      <c r="I493" s="93">
        <f>'II_Inkunabeln+'!AQ493</f>
        <v>0</v>
      </c>
      <c r="J493" s="94"/>
      <c r="K493" s="93">
        <f>'II_Inkunabeln+'!AW493</f>
        <v>0</v>
      </c>
      <c r="L493" s="93">
        <f>'II_Inkunabeln+'!AX493</f>
        <v>0</v>
      </c>
      <c r="AA493" s="93">
        <f>'II_Inkunabeln+'!AY493</f>
        <v>0</v>
      </c>
      <c r="AB493" s="94">
        <f>'II_Inkunabeln+'!BA493</f>
        <v>0</v>
      </c>
      <c r="AC493" s="108"/>
      <c r="AD493" s="81">
        <f>'II_Inkunabeln+'!BJ493</f>
        <v>0</v>
      </c>
    </row>
    <row r="494" spans="1:30" x14ac:dyDescent="0.25">
      <c r="A494" s="63">
        <f>'II_Inkunabeln+'!A494</f>
        <v>471</v>
      </c>
      <c r="B494" s="63" t="str">
        <f>'II_Inkunabeln+'!B494</f>
        <v>L-1491-352278366</v>
      </c>
      <c r="C494" s="63">
        <f>'II_Inkunabeln+'!C494</f>
        <v>1084611961</v>
      </c>
      <c r="D494" s="84" t="str">
        <f>'II_Inkunabeln+'!D494</f>
        <v>https://portal.dnb.de/opac.htm?method=simpleSearch&amp;cqlMode=true&amp;query=idn%3D1084611961</v>
      </c>
      <c r="E494" s="63" t="str">
        <f>'II_Inkunabeln+'!E494</f>
        <v>II 30,15f (angebunden)</v>
      </c>
      <c r="F494" s="63">
        <f>'II_Inkunabeln+'!H494</f>
        <v>0</v>
      </c>
      <c r="G494" s="93">
        <f>'II_Inkunabeln+'!AG494</f>
        <v>0</v>
      </c>
      <c r="H494" s="93">
        <f>'II_Inkunabeln+'!AP494</f>
        <v>0</v>
      </c>
      <c r="I494" s="93">
        <f>'II_Inkunabeln+'!AQ494</f>
        <v>0</v>
      </c>
      <c r="J494" s="94"/>
      <c r="K494" s="93">
        <f>'II_Inkunabeln+'!AW494</f>
        <v>0</v>
      </c>
      <c r="L494" s="93">
        <f>'II_Inkunabeln+'!AX494</f>
        <v>0</v>
      </c>
      <c r="AA494" s="93">
        <f>'II_Inkunabeln+'!AY494</f>
        <v>0</v>
      </c>
      <c r="AB494" s="94">
        <f>'II_Inkunabeln+'!BA494</f>
        <v>0</v>
      </c>
      <c r="AC494" s="108"/>
      <c r="AD494" s="81">
        <f>'II_Inkunabeln+'!BJ494</f>
        <v>0</v>
      </c>
    </row>
    <row r="495" spans="1:30" x14ac:dyDescent="0.25">
      <c r="A495" s="63">
        <f>'II_Inkunabeln+'!A495</f>
        <v>472</v>
      </c>
      <c r="B495" s="63" t="str">
        <f>'II_Inkunabeln+'!B495</f>
        <v>L-1493-315499133</v>
      </c>
      <c r="C495" s="63">
        <f>'II_Inkunabeln+'!C495</f>
        <v>1066968861</v>
      </c>
      <c r="D495" s="84" t="str">
        <f>'II_Inkunabeln+'!D495</f>
        <v>https://portal.dnb.de/opac.htm?method=simpleSearch&amp;cqlMode=true&amp;query=idn%3D1066968861</v>
      </c>
      <c r="E495" s="63" t="str">
        <f>'II_Inkunabeln+'!E495</f>
        <v>II 30,15g</v>
      </c>
      <c r="F495" s="63" t="str">
        <f>'II_Inkunabeln+'!H495</f>
        <v>bis 25 cm</v>
      </c>
      <c r="G495" s="93">
        <f>'II_Inkunabeln+'!AG495</f>
        <v>0</v>
      </c>
      <c r="H495" s="93">
        <f>'II_Inkunabeln+'!AP495</f>
        <v>0</v>
      </c>
      <c r="I495" s="93">
        <f>'II_Inkunabeln+'!AQ495</f>
        <v>0</v>
      </c>
      <c r="J495" s="94"/>
      <c r="K495" s="93">
        <f>'II_Inkunabeln+'!AW495</f>
        <v>0</v>
      </c>
      <c r="L495" s="93">
        <f>'II_Inkunabeln+'!AX495</f>
        <v>0</v>
      </c>
      <c r="AA495" s="93">
        <f>'II_Inkunabeln+'!AY495</f>
        <v>0</v>
      </c>
      <c r="AB495" s="94">
        <f>'II_Inkunabeln+'!BA495</f>
        <v>0</v>
      </c>
      <c r="AC495" s="108"/>
      <c r="AD495" s="81">
        <f>'II_Inkunabeln+'!BJ495</f>
        <v>0</v>
      </c>
    </row>
    <row r="496" spans="1:30" x14ac:dyDescent="0.25">
      <c r="A496" s="63">
        <f>'II_Inkunabeln+'!A496</f>
        <v>473</v>
      </c>
      <c r="B496" s="63" t="str">
        <f>'II_Inkunabeln+'!B496</f>
        <v>L-1493-31550238X</v>
      </c>
      <c r="C496" s="63">
        <f>'II_Inkunabeln+'!C496</f>
        <v>1066971978</v>
      </c>
      <c r="D496" s="84" t="str">
        <f>'II_Inkunabeln+'!D496</f>
        <v>https://portal.dnb.de/opac.htm?method=simpleSearch&amp;cqlMode=true&amp;query=idn%3D1066971978</v>
      </c>
      <c r="E496" s="63" t="str">
        <f>'II_Inkunabeln+'!E496</f>
        <v>II 30,15h</v>
      </c>
      <c r="F496" s="63" t="str">
        <f>'II_Inkunabeln+'!H496</f>
        <v>bis 35 cm</v>
      </c>
      <c r="G496" s="93">
        <f>'II_Inkunabeln+'!AG496</f>
        <v>0</v>
      </c>
      <c r="H496" s="93">
        <f>'II_Inkunabeln+'!AP496</f>
        <v>0</v>
      </c>
      <c r="I496" s="93">
        <f>'II_Inkunabeln+'!AQ496</f>
        <v>0</v>
      </c>
      <c r="J496" s="94"/>
      <c r="K496" s="93">
        <f>'II_Inkunabeln+'!AW496</f>
        <v>0</v>
      </c>
      <c r="L496" s="93">
        <f>'II_Inkunabeln+'!AX496</f>
        <v>0</v>
      </c>
      <c r="AA496" s="93">
        <f>'II_Inkunabeln+'!AY496</f>
        <v>0</v>
      </c>
      <c r="AB496" s="94">
        <f>'II_Inkunabeln+'!BA496</f>
        <v>0</v>
      </c>
      <c r="AC496" s="108"/>
      <c r="AD496" s="81">
        <f>'II_Inkunabeln+'!BJ496</f>
        <v>0</v>
      </c>
    </row>
    <row r="497" spans="1:30" x14ac:dyDescent="0.25">
      <c r="A497" s="63">
        <f>'II_Inkunabeln+'!A497</f>
        <v>474</v>
      </c>
      <c r="B497" s="63" t="str">
        <f>'II_Inkunabeln+'!B497</f>
        <v>L-1493-315501863</v>
      </c>
      <c r="C497" s="63" t="str">
        <f>'II_Inkunabeln+'!C497</f>
        <v>106697148X</v>
      </c>
      <c r="D497" s="84" t="str">
        <f>'II_Inkunabeln+'!D497</f>
        <v>https://portal.dnb.de/opac.htm?method=simpleSearch&amp;cqlMode=true&amp;query=idn%3D106697148X</v>
      </c>
      <c r="E497" s="63" t="str">
        <f>'II_Inkunabeln+'!E497</f>
        <v>II 30,15ha</v>
      </c>
      <c r="F497" s="63" t="str">
        <f>'II_Inkunabeln+'!H497</f>
        <v>bis 35 cm</v>
      </c>
      <c r="G497" s="93">
        <f>'II_Inkunabeln+'!AG497</f>
        <v>0</v>
      </c>
      <c r="H497" s="93">
        <f>'II_Inkunabeln+'!AP497</f>
        <v>0</v>
      </c>
      <c r="I497" s="93">
        <f>'II_Inkunabeln+'!AQ497</f>
        <v>0</v>
      </c>
      <c r="J497" s="94"/>
      <c r="K497" s="93">
        <f>'II_Inkunabeln+'!AW497</f>
        <v>0</v>
      </c>
      <c r="L497" s="93">
        <f>'II_Inkunabeln+'!AX497</f>
        <v>0</v>
      </c>
      <c r="AA497" s="93">
        <f>'II_Inkunabeln+'!AY497</f>
        <v>0</v>
      </c>
      <c r="AB497" s="94">
        <f>'II_Inkunabeln+'!BA497</f>
        <v>0</v>
      </c>
      <c r="AC497" s="108"/>
      <c r="AD497" s="81">
        <f>'II_Inkunabeln+'!BJ497</f>
        <v>0</v>
      </c>
    </row>
    <row r="498" spans="1:30" x14ac:dyDescent="0.25">
      <c r="A498" s="63">
        <f>'II_Inkunabeln+'!A498</f>
        <v>475</v>
      </c>
      <c r="B498" s="63" t="str">
        <f>'II_Inkunabeln+'!B498</f>
        <v>L-1495-315495480</v>
      </c>
      <c r="C498" s="63">
        <f>'II_Inkunabeln+'!C498</f>
        <v>1066965307</v>
      </c>
      <c r="D498" s="84" t="str">
        <f>'II_Inkunabeln+'!D498</f>
        <v>https://portal.dnb.de/opac.htm?method=simpleSearch&amp;cqlMode=true&amp;query=idn%3D1066965307</v>
      </c>
      <c r="E498" s="63" t="str">
        <f>'II_Inkunabeln+'!E498</f>
        <v>II 30,15i</v>
      </c>
      <c r="F498" s="63" t="str">
        <f>'II_Inkunabeln+'!H498</f>
        <v>bis 35 cm</v>
      </c>
      <c r="G498" s="93">
        <f>'II_Inkunabeln+'!AG498</f>
        <v>0</v>
      </c>
      <c r="H498" s="93">
        <f>'II_Inkunabeln+'!AP498</f>
        <v>0</v>
      </c>
      <c r="I498" s="93">
        <f>'II_Inkunabeln+'!AQ498</f>
        <v>0</v>
      </c>
      <c r="J498" s="94"/>
      <c r="K498" s="93">
        <f>'II_Inkunabeln+'!AW498</f>
        <v>0</v>
      </c>
      <c r="L498" s="93">
        <f>'II_Inkunabeln+'!AX498</f>
        <v>0</v>
      </c>
      <c r="AA498" s="93">
        <f>'II_Inkunabeln+'!AY498</f>
        <v>0</v>
      </c>
      <c r="AB498" s="94">
        <f>'II_Inkunabeln+'!BA498</f>
        <v>0</v>
      </c>
      <c r="AC498" s="108"/>
      <c r="AD498" s="81">
        <f>'II_Inkunabeln+'!BJ498</f>
        <v>0</v>
      </c>
    </row>
    <row r="499" spans="1:30" x14ac:dyDescent="0.25">
      <c r="A499" s="63">
        <f>'II_Inkunabeln+'!A499</f>
        <v>476</v>
      </c>
      <c r="B499" s="63" t="str">
        <f>'II_Inkunabeln+'!B499</f>
        <v>L-1496-315502274</v>
      </c>
      <c r="C499" s="63">
        <f>'II_Inkunabeln+'!C499</f>
        <v>1066971870</v>
      </c>
      <c r="D499" s="84" t="str">
        <f>'II_Inkunabeln+'!D499</f>
        <v>https://portal.dnb.de/opac.htm?method=simpleSearch&amp;cqlMode=true&amp;query=idn%3D1066971870</v>
      </c>
      <c r="E499" s="63" t="str">
        <f>'II_Inkunabeln+'!E499</f>
        <v>II 30,15k</v>
      </c>
      <c r="F499" s="63" t="str">
        <f>'II_Inkunabeln+'!H499</f>
        <v>bis 35 cm</v>
      </c>
      <c r="G499" s="93">
        <f>'II_Inkunabeln+'!AG499</f>
        <v>0</v>
      </c>
      <c r="H499" s="93">
        <f>'II_Inkunabeln+'!AP499</f>
        <v>0</v>
      </c>
      <c r="I499" s="93">
        <f>'II_Inkunabeln+'!AQ499</f>
        <v>0</v>
      </c>
      <c r="J499" s="94"/>
      <c r="K499" s="93">
        <f>'II_Inkunabeln+'!AW499</f>
        <v>0</v>
      </c>
      <c r="L499" s="93">
        <f>'II_Inkunabeln+'!AX499</f>
        <v>0</v>
      </c>
      <c r="AA499" s="93">
        <f>'II_Inkunabeln+'!AY499</f>
        <v>0</v>
      </c>
      <c r="AB499" s="94">
        <f>'II_Inkunabeln+'!BA499</f>
        <v>0</v>
      </c>
      <c r="AC499" s="108"/>
      <c r="AD499" s="81">
        <f>'II_Inkunabeln+'!BJ499</f>
        <v>0</v>
      </c>
    </row>
    <row r="500" spans="1:30" x14ac:dyDescent="0.25">
      <c r="A500" s="63">
        <f>'II_Inkunabeln+'!A500</f>
        <v>477</v>
      </c>
      <c r="B500" s="63" t="str">
        <f>'II_Inkunabeln+'!B500</f>
        <v>L-1496-315496509</v>
      </c>
      <c r="C500" s="63">
        <f>'II_Inkunabeln+'!C500</f>
        <v>1066966214</v>
      </c>
      <c r="D500" s="84" t="str">
        <f>'II_Inkunabeln+'!D500</f>
        <v>https://portal.dnb.de/opac.htm?method=simpleSearch&amp;cqlMode=true&amp;query=idn%3D1066966214</v>
      </c>
      <c r="E500" s="63" t="str">
        <f>'II_Inkunabeln+'!E500</f>
        <v>II 30,15l</v>
      </c>
      <c r="F500" s="63" t="str">
        <f>'II_Inkunabeln+'!H500</f>
        <v>bis 35 cm</v>
      </c>
      <c r="G500" s="93">
        <f>'II_Inkunabeln+'!AG500</f>
        <v>0</v>
      </c>
      <c r="H500" s="93">
        <f>'II_Inkunabeln+'!AP500</f>
        <v>0</v>
      </c>
      <c r="I500" s="93">
        <f>'II_Inkunabeln+'!AQ500</f>
        <v>0</v>
      </c>
      <c r="J500" s="94"/>
      <c r="K500" s="93">
        <f>'II_Inkunabeln+'!AW500</f>
        <v>0</v>
      </c>
      <c r="L500" s="93">
        <f>'II_Inkunabeln+'!AX500</f>
        <v>0</v>
      </c>
      <c r="AA500" s="93">
        <f>'II_Inkunabeln+'!AY500</f>
        <v>0</v>
      </c>
      <c r="AB500" s="94">
        <f>'II_Inkunabeln+'!BA500</f>
        <v>0</v>
      </c>
      <c r="AC500" s="108"/>
      <c r="AD500" s="81">
        <f>'II_Inkunabeln+'!BJ500</f>
        <v>0</v>
      </c>
    </row>
    <row r="501" spans="1:30" x14ac:dyDescent="0.25">
      <c r="A501" s="63">
        <f>'II_Inkunabeln+'!A501</f>
        <v>478</v>
      </c>
      <c r="B501" s="63" t="str">
        <f>'II_Inkunabeln+'!B501</f>
        <v>L-1497-315496592</v>
      </c>
      <c r="C501" s="63">
        <f>'II_Inkunabeln+'!C501</f>
        <v>1066966311</v>
      </c>
      <c r="D501" s="84" t="str">
        <f>'II_Inkunabeln+'!D501</f>
        <v>https://portal.dnb.de/opac.htm?method=simpleSearch&amp;cqlMode=true&amp;query=idn%3D1066966311</v>
      </c>
      <c r="E501" s="63" t="str">
        <f>'II_Inkunabeln+'!E501</f>
        <v>II 30,15m</v>
      </c>
      <c r="F501" s="63" t="str">
        <f>'II_Inkunabeln+'!H501</f>
        <v>bis 35 cm</v>
      </c>
      <c r="G501" s="93">
        <f>'II_Inkunabeln+'!AG501</f>
        <v>0</v>
      </c>
      <c r="H501" s="93">
        <f>'II_Inkunabeln+'!AP501</f>
        <v>0</v>
      </c>
      <c r="I501" s="93">
        <f>'II_Inkunabeln+'!AQ501</f>
        <v>0</v>
      </c>
      <c r="J501" s="94"/>
      <c r="K501" s="93">
        <f>'II_Inkunabeln+'!AW501</f>
        <v>0</v>
      </c>
      <c r="L501" s="93">
        <f>'II_Inkunabeln+'!AX501</f>
        <v>0</v>
      </c>
      <c r="AA501" s="93">
        <f>'II_Inkunabeln+'!AY501</f>
        <v>0</v>
      </c>
      <c r="AB501" s="94">
        <f>'II_Inkunabeln+'!BA501</f>
        <v>0</v>
      </c>
      <c r="AC501" s="108"/>
      <c r="AD501" s="81">
        <f>'II_Inkunabeln+'!BJ501</f>
        <v>0</v>
      </c>
    </row>
    <row r="502" spans="1:30" x14ac:dyDescent="0.25">
      <c r="A502" s="63">
        <f>'II_Inkunabeln+'!A502</f>
        <v>479</v>
      </c>
      <c r="B502" s="63" t="str">
        <f>'II_Inkunabeln+'!B502</f>
        <v>L-1499-327280379</v>
      </c>
      <c r="C502" s="63">
        <f>'II_Inkunabeln+'!C502</f>
        <v>1072320894</v>
      </c>
      <c r="D502" s="84" t="str">
        <f>'II_Inkunabeln+'!D502</f>
        <v>https://portal.dnb.de/opac.htm?method=simpleSearch&amp;cqlMode=true&amp;query=idn%3D1072320894</v>
      </c>
      <c r="E502" s="63" t="str">
        <f>'II_Inkunabeln+'!E502</f>
        <v>II 30,15o</v>
      </c>
      <c r="F502" s="63" t="str">
        <f>'II_Inkunabeln+'!H502</f>
        <v>bis 25 cm</v>
      </c>
      <c r="G502" s="93">
        <f>'II_Inkunabeln+'!AG502</f>
        <v>0</v>
      </c>
      <c r="H502" s="93">
        <f>'II_Inkunabeln+'!AP502</f>
        <v>0</v>
      </c>
      <c r="I502" s="93">
        <f>'II_Inkunabeln+'!AQ502</f>
        <v>0</v>
      </c>
      <c r="J502" s="94"/>
      <c r="K502" s="93">
        <f>'II_Inkunabeln+'!AW502</f>
        <v>0</v>
      </c>
      <c r="L502" s="93">
        <f>'II_Inkunabeln+'!AX502</f>
        <v>0</v>
      </c>
      <c r="AA502" s="93">
        <f>'II_Inkunabeln+'!AY502</f>
        <v>0</v>
      </c>
      <c r="AB502" s="94">
        <f>'II_Inkunabeln+'!BA502</f>
        <v>0</v>
      </c>
      <c r="AC502" s="108"/>
      <c r="AD502" s="81">
        <f>'II_Inkunabeln+'!BJ502</f>
        <v>0</v>
      </c>
    </row>
    <row r="503" spans="1:30" x14ac:dyDescent="0.25">
      <c r="A503" s="63">
        <f>'II_Inkunabeln+'!A503</f>
        <v>480</v>
      </c>
      <c r="B503" s="63" t="str">
        <f>'II_Inkunabeln+'!B503</f>
        <v>L-1487-327280646</v>
      </c>
      <c r="C503" s="63">
        <f>'II_Inkunabeln+'!C503</f>
        <v>1072321378</v>
      </c>
      <c r="D503" s="84" t="str">
        <f>'II_Inkunabeln+'!D503</f>
        <v>https://portal.dnb.de/opac.htm?method=simpleSearch&amp;cqlMode=true&amp;query=idn%3D1072321378</v>
      </c>
      <c r="E503" s="63" t="str">
        <f>'II_Inkunabeln+'!E503</f>
        <v>II 30,15p</v>
      </c>
      <c r="F503" s="63" t="str">
        <f>'II_Inkunabeln+'!H503</f>
        <v>bis 25 cm</v>
      </c>
      <c r="G503" s="93">
        <f>'II_Inkunabeln+'!AG503</f>
        <v>0</v>
      </c>
      <c r="H503" s="93">
        <f>'II_Inkunabeln+'!AP503</f>
        <v>0</v>
      </c>
      <c r="I503" s="93">
        <f>'II_Inkunabeln+'!AQ503</f>
        <v>0</v>
      </c>
      <c r="J503" s="94"/>
      <c r="K503" s="93">
        <f>'II_Inkunabeln+'!AW503</f>
        <v>0</v>
      </c>
      <c r="L503" s="93">
        <f>'II_Inkunabeln+'!AX503</f>
        <v>0</v>
      </c>
      <c r="AA503" s="93">
        <f>'II_Inkunabeln+'!AY503</f>
        <v>0</v>
      </c>
      <c r="AB503" s="94">
        <f>'II_Inkunabeln+'!BA503</f>
        <v>0</v>
      </c>
      <c r="AC503" s="108"/>
      <c r="AD503" s="81">
        <f>'II_Inkunabeln+'!BJ503</f>
        <v>0</v>
      </c>
    </row>
    <row r="504" spans="1:30" x14ac:dyDescent="0.25">
      <c r="A504" s="63">
        <f>'II_Inkunabeln+'!A504</f>
        <v>481</v>
      </c>
      <c r="B504" s="63" t="str">
        <f>'II_Inkunabeln+'!B504</f>
        <v>L-1489-315498072</v>
      </c>
      <c r="C504" s="63">
        <f>'II_Inkunabeln+'!C504</f>
        <v>1066967806</v>
      </c>
      <c r="D504" s="84" t="str">
        <f>'II_Inkunabeln+'!D504</f>
        <v>https://portal.dnb.de/opac.htm?method=simpleSearch&amp;cqlMode=true&amp;query=idn%3D1066967806</v>
      </c>
      <c r="E504" s="63" t="str">
        <f>'II_Inkunabeln+'!E504</f>
        <v>II 30,16a</v>
      </c>
      <c r="F504" s="63">
        <f>'II_Inkunabeln+'!H504</f>
        <v>0</v>
      </c>
      <c r="G504" s="93">
        <f>'II_Inkunabeln+'!AG504</f>
        <v>0</v>
      </c>
      <c r="H504" s="93">
        <f>'II_Inkunabeln+'!AP504</f>
        <v>0</v>
      </c>
      <c r="I504" s="93">
        <f>'II_Inkunabeln+'!AQ504</f>
        <v>0</v>
      </c>
      <c r="J504" s="94"/>
      <c r="K504" s="93">
        <f>'II_Inkunabeln+'!AW504</f>
        <v>0</v>
      </c>
      <c r="L504" s="93">
        <f>'II_Inkunabeln+'!AX504</f>
        <v>0</v>
      </c>
      <c r="AA504" s="93">
        <f>'II_Inkunabeln+'!AY504</f>
        <v>0</v>
      </c>
      <c r="AB504" s="94">
        <f>'II_Inkunabeln+'!BA504</f>
        <v>0</v>
      </c>
      <c r="AC504" s="108"/>
      <c r="AD504" s="81">
        <f>'II_Inkunabeln+'!BJ504</f>
        <v>0</v>
      </c>
    </row>
    <row r="505" spans="1:30" x14ac:dyDescent="0.25">
      <c r="A505" s="63">
        <f>'II_Inkunabeln+'!A505</f>
        <v>482</v>
      </c>
      <c r="B505" s="63" t="str">
        <f>'II_Inkunabeln+'!B505</f>
        <v>L-1500-315501693</v>
      </c>
      <c r="C505" s="63">
        <f>'II_Inkunabeln+'!C505</f>
        <v>1066971323</v>
      </c>
      <c r="D505" s="84" t="str">
        <f>'II_Inkunabeln+'!D505</f>
        <v>https://portal.dnb.de/opac.htm?method=simpleSearch&amp;cqlMode=true&amp;query=idn%3D1066971323</v>
      </c>
      <c r="E505" s="63" t="str">
        <f>'II_Inkunabeln+'!E505</f>
        <v>II 30,18a</v>
      </c>
      <c r="F505" s="63">
        <f>'II_Inkunabeln+'!H505</f>
        <v>0</v>
      </c>
      <c r="G505" s="93">
        <f>'II_Inkunabeln+'!AG505</f>
        <v>0</v>
      </c>
      <c r="H505" s="93">
        <f>'II_Inkunabeln+'!AP505</f>
        <v>0</v>
      </c>
      <c r="I505" s="93">
        <f>'II_Inkunabeln+'!AQ505</f>
        <v>0</v>
      </c>
      <c r="J505" s="94"/>
      <c r="K505" s="93">
        <f>'II_Inkunabeln+'!AW505</f>
        <v>0</v>
      </c>
      <c r="L505" s="93">
        <f>'II_Inkunabeln+'!AX505</f>
        <v>0</v>
      </c>
      <c r="AA505" s="93">
        <f>'II_Inkunabeln+'!AY505</f>
        <v>0</v>
      </c>
      <c r="AB505" s="94">
        <f>'II_Inkunabeln+'!BA505</f>
        <v>0</v>
      </c>
      <c r="AC505" s="108"/>
      <c r="AD505" s="81">
        <f>'II_Inkunabeln+'!BJ505</f>
        <v>0</v>
      </c>
    </row>
    <row r="506" spans="1:30" x14ac:dyDescent="0.25">
      <c r="A506" s="63">
        <f>'II_Inkunabeln+'!A506</f>
        <v>483</v>
      </c>
      <c r="B506" s="63" t="str">
        <f>'II_Inkunabeln+'!B506</f>
        <v>L-1500-315497149</v>
      </c>
      <c r="C506" s="63">
        <f>'II_Inkunabeln+'!C506</f>
        <v>1066966842</v>
      </c>
      <c r="D506" s="84" t="str">
        <f>'II_Inkunabeln+'!D506</f>
        <v>https://portal.dnb.de/opac.htm?method=simpleSearch&amp;cqlMode=true&amp;query=idn%3D1066966842</v>
      </c>
      <c r="E506" s="63" t="str">
        <f>'II_Inkunabeln+'!E506</f>
        <v>II 30,18b</v>
      </c>
      <c r="F506" s="63">
        <f>'II_Inkunabeln+'!H506</f>
        <v>0</v>
      </c>
      <c r="G506" s="93">
        <f>'II_Inkunabeln+'!AG506</f>
        <v>0</v>
      </c>
      <c r="H506" s="93">
        <f>'II_Inkunabeln+'!AP506</f>
        <v>0</v>
      </c>
      <c r="I506" s="93">
        <f>'II_Inkunabeln+'!AQ506</f>
        <v>0</v>
      </c>
      <c r="J506" s="94"/>
      <c r="K506" s="93">
        <f>'II_Inkunabeln+'!AW506</f>
        <v>0</v>
      </c>
      <c r="L506" s="93">
        <f>'II_Inkunabeln+'!AX506</f>
        <v>0</v>
      </c>
      <c r="AA506" s="93">
        <f>'II_Inkunabeln+'!AY506</f>
        <v>0</v>
      </c>
      <c r="AB506" s="94">
        <f>'II_Inkunabeln+'!BA506</f>
        <v>0</v>
      </c>
      <c r="AC506" s="108"/>
      <c r="AD506" s="81">
        <f>'II_Inkunabeln+'!BJ506</f>
        <v>0</v>
      </c>
    </row>
    <row r="507" spans="1:30" x14ac:dyDescent="0.25">
      <c r="A507" s="63">
        <f>'II_Inkunabeln+'!A507</f>
        <v>484</v>
      </c>
      <c r="B507" s="63" t="str">
        <f>'II_Inkunabeln+'!B507</f>
        <v>L-1499-315499249</v>
      </c>
      <c r="C507" s="63">
        <f>'II_Inkunabeln+'!C507</f>
        <v>1066968977</v>
      </c>
      <c r="D507" s="84" t="str">
        <f>'II_Inkunabeln+'!D507</f>
        <v>https://portal.dnb.de/opac.htm?method=simpleSearch&amp;cqlMode=true&amp;query=idn%3D1066968977</v>
      </c>
      <c r="E507" s="63" t="str">
        <f>'II_Inkunabeln+'!E507</f>
        <v>II 31,1a</v>
      </c>
      <c r="F507" s="63">
        <f>'II_Inkunabeln+'!H507</f>
        <v>0</v>
      </c>
      <c r="G507" s="93">
        <f>'II_Inkunabeln+'!AG507</f>
        <v>0</v>
      </c>
      <c r="H507" s="93">
        <f>'II_Inkunabeln+'!AP507</f>
        <v>0</v>
      </c>
      <c r="I507" s="93">
        <f>'II_Inkunabeln+'!AQ507</f>
        <v>0</v>
      </c>
      <c r="J507" s="94"/>
      <c r="K507" s="93">
        <f>'II_Inkunabeln+'!AW507</f>
        <v>0</v>
      </c>
      <c r="L507" s="93">
        <f>'II_Inkunabeln+'!AX507</f>
        <v>0</v>
      </c>
      <c r="AA507" s="93">
        <f>'II_Inkunabeln+'!AY507</f>
        <v>0</v>
      </c>
      <c r="AB507" s="94">
        <f>'II_Inkunabeln+'!BA507</f>
        <v>0</v>
      </c>
      <c r="AC507" s="108"/>
      <c r="AD507" s="81">
        <f>'II_Inkunabeln+'!BJ507</f>
        <v>0</v>
      </c>
    </row>
    <row r="508" spans="1:30" x14ac:dyDescent="0.25">
      <c r="A508" s="63">
        <f>'II_Inkunabeln+'!A508</f>
        <v>485</v>
      </c>
      <c r="B508" s="63" t="str">
        <f>'II_Inkunabeln+'!B508</f>
        <v>L-1500-315497025</v>
      </c>
      <c r="C508" s="63">
        <f>'II_Inkunabeln+'!C508</f>
        <v>1066966729</v>
      </c>
      <c r="D508" s="84" t="str">
        <f>'II_Inkunabeln+'!D508</f>
        <v>https://portal.dnb.de/opac.htm?method=simpleSearch&amp;cqlMode=true&amp;query=idn%3D1066966729</v>
      </c>
      <c r="E508" s="63" t="str">
        <f>'II_Inkunabeln+'!E508</f>
        <v>II 31,1b</v>
      </c>
      <c r="F508" s="63">
        <f>'II_Inkunabeln+'!H508</f>
        <v>0</v>
      </c>
      <c r="G508" s="93">
        <f>'II_Inkunabeln+'!AG508</f>
        <v>0</v>
      </c>
      <c r="H508" s="93">
        <f>'II_Inkunabeln+'!AP508</f>
        <v>0</v>
      </c>
      <c r="I508" s="93">
        <f>'II_Inkunabeln+'!AQ508</f>
        <v>0</v>
      </c>
      <c r="J508" s="94"/>
      <c r="K508" s="93">
        <f>'II_Inkunabeln+'!AW508</f>
        <v>0</v>
      </c>
      <c r="L508" s="93">
        <f>'II_Inkunabeln+'!AX508</f>
        <v>0</v>
      </c>
      <c r="AA508" s="93">
        <f>'II_Inkunabeln+'!AY508</f>
        <v>0</v>
      </c>
      <c r="AB508" s="94">
        <f>'II_Inkunabeln+'!BA508</f>
        <v>0</v>
      </c>
      <c r="AC508" s="108"/>
      <c r="AD508" s="81">
        <f>'II_Inkunabeln+'!BJ508</f>
        <v>0</v>
      </c>
    </row>
    <row r="509" spans="1:30" x14ac:dyDescent="0.25">
      <c r="A509" s="63">
        <f>'II_Inkunabeln+'!A509</f>
        <v>486</v>
      </c>
      <c r="B509" s="63" t="str">
        <f>'II_Inkunabeln+'!B509</f>
        <v>L-1498-315502789</v>
      </c>
      <c r="C509" s="63">
        <f>'II_Inkunabeln+'!C509</f>
        <v>1066972354</v>
      </c>
      <c r="D509" s="84" t="str">
        <f>'II_Inkunabeln+'!D509</f>
        <v>https://portal.dnb.de/opac.htm?method=simpleSearch&amp;cqlMode=true&amp;query=idn%3D1066972354</v>
      </c>
      <c r="E509" s="63" t="str">
        <f>'II_Inkunabeln+'!E509</f>
        <v>II 31,1c</v>
      </c>
      <c r="F509" s="63">
        <f>'II_Inkunabeln+'!H509</f>
        <v>0</v>
      </c>
      <c r="G509" s="93">
        <f>'II_Inkunabeln+'!AG509</f>
        <v>0</v>
      </c>
      <c r="H509" s="93">
        <f>'II_Inkunabeln+'!AP509</f>
        <v>0</v>
      </c>
      <c r="I509" s="93">
        <f>'II_Inkunabeln+'!AQ509</f>
        <v>0</v>
      </c>
      <c r="J509" s="94"/>
      <c r="K509" s="93">
        <f>'II_Inkunabeln+'!AW509</f>
        <v>0</v>
      </c>
      <c r="L509" s="93">
        <f>'II_Inkunabeln+'!AX509</f>
        <v>0</v>
      </c>
      <c r="AA509" s="93">
        <f>'II_Inkunabeln+'!AY509</f>
        <v>0</v>
      </c>
      <c r="AB509" s="94">
        <f>'II_Inkunabeln+'!BA509</f>
        <v>0</v>
      </c>
      <c r="AC509" s="108"/>
      <c r="AD509" s="81">
        <f>'II_Inkunabeln+'!BJ509</f>
        <v>0</v>
      </c>
    </row>
    <row r="510" spans="1:30" x14ac:dyDescent="0.25">
      <c r="A510" s="63">
        <f>'II_Inkunabeln+'!A510</f>
        <v>487</v>
      </c>
      <c r="B510" s="63" t="str">
        <f>'II_Inkunabeln+'!B510</f>
        <v>L-1474-315496479</v>
      </c>
      <c r="C510" s="63">
        <f>'II_Inkunabeln+'!C510</f>
        <v>1066966176</v>
      </c>
      <c r="D510" s="84" t="str">
        <f>'II_Inkunabeln+'!D510</f>
        <v>https://portal.dnb.de/opac.htm?method=simpleSearch&amp;cqlMode=true&amp;query=idn%3D1066966176</v>
      </c>
      <c r="E510" s="63" t="str">
        <f>'II_Inkunabeln+'!E510</f>
        <v>II 32,1 b</v>
      </c>
      <c r="F510" s="63">
        <f>'II_Inkunabeln+'!H510</f>
        <v>0</v>
      </c>
      <c r="G510" s="93">
        <f>'II_Inkunabeln+'!AG510</f>
        <v>0</v>
      </c>
      <c r="H510" s="93">
        <f>'II_Inkunabeln+'!AP510</f>
        <v>0</v>
      </c>
      <c r="I510" s="93">
        <f>'II_Inkunabeln+'!AQ510</f>
        <v>0</v>
      </c>
      <c r="J510" s="94"/>
      <c r="K510" s="93">
        <f>'II_Inkunabeln+'!AW510</f>
        <v>0</v>
      </c>
      <c r="L510" s="93">
        <f>'II_Inkunabeln+'!AX510</f>
        <v>0</v>
      </c>
      <c r="AA510" s="93">
        <f>'II_Inkunabeln+'!AY510</f>
        <v>0</v>
      </c>
      <c r="AB510" s="94">
        <f>'II_Inkunabeln+'!BA510</f>
        <v>0</v>
      </c>
      <c r="AC510" s="108"/>
      <c r="AD510" s="81">
        <f>'II_Inkunabeln+'!BJ510</f>
        <v>0</v>
      </c>
    </row>
    <row r="511" spans="1:30" x14ac:dyDescent="0.25">
      <c r="A511" s="63">
        <f>'II_Inkunabeln+'!A511</f>
        <v>488</v>
      </c>
      <c r="B511" s="63" t="str">
        <f>'II_Inkunabeln+'!B511</f>
        <v>L-1473-315498161</v>
      </c>
      <c r="C511" s="63">
        <f>'II_Inkunabeln+'!C511</f>
        <v>1066967911</v>
      </c>
      <c r="D511" s="84" t="str">
        <f>'II_Inkunabeln+'!D511</f>
        <v>https://portal.dnb.de/opac.htm?method=simpleSearch&amp;cqlMode=true&amp;query=idn%3D1066967911</v>
      </c>
      <c r="E511" s="63" t="str">
        <f>'II_Inkunabeln+'!E511</f>
        <v>II 32,1a</v>
      </c>
      <c r="F511" s="63">
        <f>'II_Inkunabeln+'!H511</f>
        <v>0</v>
      </c>
      <c r="G511" s="93">
        <f>'II_Inkunabeln+'!AG511</f>
        <v>0</v>
      </c>
      <c r="H511" s="93">
        <f>'II_Inkunabeln+'!AP511</f>
        <v>0</v>
      </c>
      <c r="I511" s="93">
        <f>'II_Inkunabeln+'!AQ511</f>
        <v>0</v>
      </c>
      <c r="J511" s="94"/>
      <c r="K511" s="93">
        <f>'II_Inkunabeln+'!AW511</f>
        <v>0</v>
      </c>
      <c r="L511" s="93">
        <f>'II_Inkunabeln+'!AX511</f>
        <v>0</v>
      </c>
      <c r="AA511" s="93">
        <f>'II_Inkunabeln+'!AY511</f>
        <v>0</v>
      </c>
      <c r="AB511" s="94">
        <f>'II_Inkunabeln+'!BA511</f>
        <v>0</v>
      </c>
      <c r="AC511" s="108"/>
      <c r="AD511" s="81">
        <f>'II_Inkunabeln+'!BJ511</f>
        <v>0</v>
      </c>
    </row>
    <row r="512" spans="1:30" x14ac:dyDescent="0.25">
      <c r="A512" s="63">
        <f>'II_Inkunabeln+'!A512</f>
        <v>489</v>
      </c>
      <c r="B512" s="63" t="str">
        <f>'II_Inkunabeln+'!B512</f>
        <v>L-1475-315498188</v>
      </c>
      <c r="C512" s="63" t="str">
        <f>'II_Inkunabeln+'!C512</f>
        <v>106696792X</v>
      </c>
      <c r="D512" s="84" t="str">
        <f>'II_Inkunabeln+'!D512</f>
        <v>https://portal.dnb.de/opac.htm?method=simpleSearch&amp;cqlMode=true&amp;query=idn%3D106696792X</v>
      </c>
      <c r="E512" s="63" t="str">
        <f>'II_Inkunabeln+'!E512</f>
        <v>II 32,1c</v>
      </c>
      <c r="F512" s="63">
        <f>'II_Inkunabeln+'!H512</f>
        <v>0</v>
      </c>
      <c r="G512" s="93">
        <f>'II_Inkunabeln+'!AG512</f>
        <v>0</v>
      </c>
      <c r="H512" s="93">
        <f>'II_Inkunabeln+'!AP512</f>
        <v>0</v>
      </c>
      <c r="I512" s="93">
        <f>'II_Inkunabeln+'!AQ512</f>
        <v>0</v>
      </c>
      <c r="J512" s="94"/>
      <c r="K512" s="93">
        <f>'II_Inkunabeln+'!AW512</f>
        <v>0</v>
      </c>
      <c r="L512" s="93">
        <f>'II_Inkunabeln+'!AX512</f>
        <v>0</v>
      </c>
      <c r="AA512" s="93">
        <f>'II_Inkunabeln+'!AY512</f>
        <v>0</v>
      </c>
      <c r="AB512" s="94">
        <f>'II_Inkunabeln+'!BA512</f>
        <v>0</v>
      </c>
      <c r="AC512" s="108"/>
      <c r="AD512" s="81">
        <f>'II_Inkunabeln+'!BJ512</f>
        <v>0</v>
      </c>
    </row>
    <row r="513" spans="1:30" x14ac:dyDescent="0.25">
      <c r="A513" s="63">
        <f>'II_Inkunabeln+'!A513</f>
        <v>490</v>
      </c>
      <c r="B513" s="63" t="str">
        <f>'II_Inkunabeln+'!B513</f>
        <v>L-1475-315498196</v>
      </c>
      <c r="C513" s="63" t="str">
        <f>'II_Inkunabeln+'!C513</f>
        <v>106696792X</v>
      </c>
      <c r="D513" s="84" t="str">
        <f>'II_Inkunabeln+'!D513</f>
        <v>https://portal.dnb.de/opac.htm?method=simpleSearch&amp;cqlMode=true&amp;query=idn%3D106696792X</v>
      </c>
      <c r="E513" s="63" t="str">
        <f>'II_Inkunabeln+'!E513</f>
        <v>II 32,1ca - Fragm.</v>
      </c>
      <c r="F513" s="63">
        <f>'II_Inkunabeln+'!H513</f>
        <v>0</v>
      </c>
      <c r="G513" s="93">
        <f>'II_Inkunabeln+'!AG513</f>
        <v>0</v>
      </c>
      <c r="H513" s="93">
        <f>'II_Inkunabeln+'!AP513</f>
        <v>0</v>
      </c>
      <c r="I513" s="93">
        <f>'II_Inkunabeln+'!AQ513</f>
        <v>0</v>
      </c>
      <c r="J513" s="94"/>
      <c r="K513" s="93">
        <f>'II_Inkunabeln+'!AW513</f>
        <v>0</v>
      </c>
      <c r="L513" s="93">
        <f>'II_Inkunabeln+'!AX513</f>
        <v>0</v>
      </c>
      <c r="AA513" s="93">
        <f>'II_Inkunabeln+'!AY513</f>
        <v>0</v>
      </c>
      <c r="AB513" s="94">
        <f>'II_Inkunabeln+'!BA513</f>
        <v>0</v>
      </c>
      <c r="AC513" s="108"/>
      <c r="AD513" s="81">
        <f>'II_Inkunabeln+'!BJ513</f>
        <v>0</v>
      </c>
    </row>
    <row r="514" spans="1:30" x14ac:dyDescent="0.25">
      <c r="A514" s="63">
        <f>'II_Inkunabeln+'!A514</f>
        <v>491</v>
      </c>
      <c r="B514" s="63" t="str">
        <f>'II_Inkunabeln+'!B514</f>
        <v>L-1475-31549705X</v>
      </c>
      <c r="C514" s="63">
        <f>'II_Inkunabeln+'!C514</f>
        <v>1066966753</v>
      </c>
      <c r="D514" s="84" t="str">
        <f>'II_Inkunabeln+'!D514</f>
        <v>https://portal.dnb.de/opac.htm?method=simpleSearch&amp;cqlMode=true&amp;query=idn%3D1066966753</v>
      </c>
      <c r="E514" s="63" t="str">
        <f>'II_Inkunabeln+'!E514</f>
        <v>II 32,1d</v>
      </c>
      <c r="F514" s="63">
        <f>'II_Inkunabeln+'!H514</f>
        <v>0</v>
      </c>
      <c r="G514" s="93">
        <f>'II_Inkunabeln+'!AG514</f>
        <v>0</v>
      </c>
      <c r="H514" s="93">
        <f>'II_Inkunabeln+'!AP514</f>
        <v>0</v>
      </c>
      <c r="I514" s="93">
        <f>'II_Inkunabeln+'!AQ514</f>
        <v>0</v>
      </c>
      <c r="J514" s="94"/>
      <c r="K514" s="93">
        <f>'II_Inkunabeln+'!AW514</f>
        <v>0</v>
      </c>
      <c r="L514" s="93">
        <f>'II_Inkunabeln+'!AX514</f>
        <v>0</v>
      </c>
      <c r="AA514" s="93">
        <f>'II_Inkunabeln+'!AY514</f>
        <v>0</v>
      </c>
      <c r="AB514" s="94">
        <f>'II_Inkunabeln+'!BA514</f>
        <v>0</v>
      </c>
      <c r="AC514" s="108"/>
      <c r="AD514" s="81">
        <f>'II_Inkunabeln+'!BJ514</f>
        <v>0</v>
      </c>
    </row>
    <row r="515" spans="1:30" x14ac:dyDescent="0.25">
      <c r="A515" s="63">
        <f>'II_Inkunabeln+'!A515</f>
        <v>492</v>
      </c>
      <c r="B515" s="63" t="str">
        <f>'II_Inkunabeln+'!B515</f>
        <v>L-1480-315500476</v>
      </c>
      <c r="C515" s="63">
        <f>'II_Inkunabeln+'!C515</f>
        <v>1066970130</v>
      </c>
      <c r="D515" s="84" t="str">
        <f>'II_Inkunabeln+'!D515</f>
        <v>https://portal.dnb.de/opac.htm?method=simpleSearch&amp;cqlMode=true&amp;query=idn%3D1066970130</v>
      </c>
      <c r="E515" s="63" t="str">
        <f>'II_Inkunabeln+'!E515</f>
        <v>II 32,1e</v>
      </c>
      <c r="F515" s="63">
        <f>'II_Inkunabeln+'!H515</f>
        <v>0</v>
      </c>
      <c r="G515" s="93">
        <f>'II_Inkunabeln+'!AG515</f>
        <v>0</v>
      </c>
      <c r="H515" s="93">
        <f>'II_Inkunabeln+'!AP515</f>
        <v>0</v>
      </c>
      <c r="I515" s="93">
        <f>'II_Inkunabeln+'!AQ515</f>
        <v>0</v>
      </c>
      <c r="J515" s="94"/>
      <c r="K515" s="93">
        <f>'II_Inkunabeln+'!AW515</f>
        <v>0</v>
      </c>
      <c r="L515" s="93">
        <f>'II_Inkunabeln+'!AX515</f>
        <v>0</v>
      </c>
      <c r="AA515" s="93">
        <f>'II_Inkunabeln+'!AY515</f>
        <v>0</v>
      </c>
      <c r="AB515" s="94">
        <f>'II_Inkunabeln+'!BA515</f>
        <v>0</v>
      </c>
      <c r="AC515" s="108"/>
      <c r="AD515" s="81">
        <f>'II_Inkunabeln+'!BJ515</f>
        <v>0</v>
      </c>
    </row>
    <row r="516" spans="1:30" x14ac:dyDescent="0.25">
      <c r="A516" s="63">
        <f>'II_Inkunabeln+'!A516</f>
        <v>493</v>
      </c>
      <c r="B516" s="63" t="str">
        <f>'II_Inkunabeln+'!B516</f>
        <v>L-1481-315502622</v>
      </c>
      <c r="C516" s="63">
        <f>'II_Inkunabeln+'!C516</f>
        <v>1066972206</v>
      </c>
      <c r="D516" s="84" t="str">
        <f>'II_Inkunabeln+'!D516</f>
        <v>https://portal.dnb.de/opac.htm?method=simpleSearch&amp;cqlMode=true&amp;query=idn%3D1066972206</v>
      </c>
      <c r="E516" s="63" t="str">
        <f>'II_Inkunabeln+'!E516</f>
        <v>II 32,1f</v>
      </c>
      <c r="F516" s="63">
        <f>'II_Inkunabeln+'!H516</f>
        <v>0</v>
      </c>
      <c r="G516" s="93">
        <f>'II_Inkunabeln+'!AG516</f>
        <v>0</v>
      </c>
      <c r="H516" s="93">
        <f>'II_Inkunabeln+'!AP516</f>
        <v>0</v>
      </c>
      <c r="I516" s="93">
        <f>'II_Inkunabeln+'!AQ516</f>
        <v>0</v>
      </c>
      <c r="J516" s="94"/>
      <c r="K516" s="93">
        <f>'II_Inkunabeln+'!AW516</f>
        <v>0</v>
      </c>
      <c r="L516" s="93">
        <f>'II_Inkunabeln+'!AX516</f>
        <v>0</v>
      </c>
      <c r="AA516" s="93">
        <f>'II_Inkunabeln+'!AY516</f>
        <v>0</v>
      </c>
      <c r="AB516" s="94">
        <f>'II_Inkunabeln+'!BA516</f>
        <v>0</v>
      </c>
      <c r="AC516" s="108"/>
      <c r="AD516" s="81">
        <f>'II_Inkunabeln+'!BJ516</f>
        <v>0</v>
      </c>
    </row>
    <row r="517" spans="1:30" x14ac:dyDescent="0.25">
      <c r="A517" s="63">
        <f>'II_Inkunabeln+'!A517</f>
        <v>494</v>
      </c>
      <c r="B517" s="63" t="str">
        <f>'II_Inkunabeln+'!B517</f>
        <v>L-1473-31550028X</v>
      </c>
      <c r="C517" s="63">
        <f>'II_Inkunabeln+'!C517</f>
        <v>1066969949</v>
      </c>
      <c r="D517" s="84" t="str">
        <f>'II_Inkunabeln+'!D517</f>
        <v>https://portal.dnb.de/opac.htm?method=simpleSearch&amp;cqlMode=true&amp;query=idn%3D1066969949</v>
      </c>
      <c r="E517" s="63" t="str">
        <f>'II_Inkunabeln+'!E517</f>
        <v>II 32,1h</v>
      </c>
      <c r="F517" s="63">
        <f>'II_Inkunabeln+'!H517</f>
        <v>0</v>
      </c>
      <c r="G517" s="93">
        <f>'II_Inkunabeln+'!AG517</f>
        <v>0</v>
      </c>
      <c r="H517" s="93">
        <f>'II_Inkunabeln+'!AP517</f>
        <v>0</v>
      </c>
      <c r="I517" s="93">
        <f>'II_Inkunabeln+'!AQ517</f>
        <v>0</v>
      </c>
      <c r="J517" s="94"/>
      <c r="K517" s="93">
        <f>'II_Inkunabeln+'!AW517</f>
        <v>0</v>
      </c>
      <c r="L517" s="93">
        <f>'II_Inkunabeln+'!AX517</f>
        <v>0</v>
      </c>
      <c r="AA517" s="93">
        <f>'II_Inkunabeln+'!AY517</f>
        <v>0</v>
      </c>
      <c r="AB517" s="94">
        <f>'II_Inkunabeln+'!BA517</f>
        <v>0</v>
      </c>
      <c r="AC517" s="108"/>
      <c r="AD517" s="81">
        <f>'II_Inkunabeln+'!BJ517</f>
        <v>0</v>
      </c>
    </row>
    <row r="518" spans="1:30" x14ac:dyDescent="0.25">
      <c r="A518" s="63">
        <f>'II_Inkunabeln+'!A518</f>
        <v>495</v>
      </c>
      <c r="B518" s="63" t="str">
        <f>'II_Inkunabeln+'!B518</f>
        <v>L-1481-315499591</v>
      </c>
      <c r="C518" s="63">
        <f>'II_Inkunabeln+'!C518</f>
        <v>1066969280</v>
      </c>
      <c r="D518" s="84" t="str">
        <f>'II_Inkunabeln+'!D518</f>
        <v>https://portal.dnb.de/opac.htm?method=simpleSearch&amp;cqlMode=true&amp;query=idn%3D1066969280</v>
      </c>
      <c r="E518" s="63" t="str">
        <f>'II_Inkunabeln+'!E518</f>
        <v>II 32,1i</v>
      </c>
      <c r="F518" s="63">
        <f>'II_Inkunabeln+'!H518</f>
        <v>0</v>
      </c>
      <c r="G518" s="93">
        <f>'II_Inkunabeln+'!AG518</f>
        <v>0</v>
      </c>
      <c r="H518" s="93">
        <f>'II_Inkunabeln+'!AP518</f>
        <v>0</v>
      </c>
      <c r="I518" s="93">
        <f>'II_Inkunabeln+'!AQ518</f>
        <v>0</v>
      </c>
      <c r="J518" s="94"/>
      <c r="K518" s="93">
        <f>'II_Inkunabeln+'!AW518</f>
        <v>0</v>
      </c>
      <c r="L518" s="93">
        <f>'II_Inkunabeln+'!AX518</f>
        <v>0</v>
      </c>
      <c r="AA518" s="93">
        <f>'II_Inkunabeln+'!AY518</f>
        <v>0</v>
      </c>
      <c r="AB518" s="94">
        <f>'II_Inkunabeln+'!BA518</f>
        <v>0</v>
      </c>
      <c r="AC518" s="108"/>
      <c r="AD518" s="81">
        <f>'II_Inkunabeln+'!BJ518</f>
        <v>0</v>
      </c>
    </row>
    <row r="519" spans="1:30" x14ac:dyDescent="0.25">
      <c r="A519" s="63">
        <f>'II_Inkunabeln+'!A519</f>
        <v>496</v>
      </c>
      <c r="B519" s="63" t="str">
        <f>'II_Inkunabeln+'!B519</f>
        <v>L-1484-315500301</v>
      </c>
      <c r="C519" s="63">
        <f>'II_Inkunabeln+'!C519</f>
        <v>1066969965</v>
      </c>
      <c r="D519" s="84" t="str">
        <f>'II_Inkunabeln+'!D519</f>
        <v>https://portal.dnb.de/opac.htm?method=simpleSearch&amp;cqlMode=true&amp;query=idn%3D1066969965</v>
      </c>
      <c r="E519" s="63" t="str">
        <f>'II_Inkunabeln+'!E519</f>
        <v>II 32,2ab</v>
      </c>
      <c r="F519" s="63">
        <f>'II_Inkunabeln+'!H519</f>
        <v>0</v>
      </c>
      <c r="G519" s="93">
        <f>'II_Inkunabeln+'!AG519</f>
        <v>0</v>
      </c>
      <c r="H519" s="93">
        <f>'II_Inkunabeln+'!AP519</f>
        <v>0</v>
      </c>
      <c r="I519" s="93">
        <f>'II_Inkunabeln+'!AQ519</f>
        <v>0</v>
      </c>
      <c r="J519" s="94"/>
      <c r="K519" s="93">
        <f>'II_Inkunabeln+'!AW519</f>
        <v>0</v>
      </c>
      <c r="L519" s="93">
        <f>'II_Inkunabeln+'!AX519</f>
        <v>0</v>
      </c>
      <c r="AA519" s="93">
        <f>'II_Inkunabeln+'!AY519</f>
        <v>0</v>
      </c>
      <c r="AB519" s="94">
        <f>'II_Inkunabeln+'!BA519</f>
        <v>0</v>
      </c>
      <c r="AC519" s="108"/>
      <c r="AD519" s="81">
        <f>'II_Inkunabeln+'!BJ519</f>
        <v>0</v>
      </c>
    </row>
    <row r="520" spans="1:30" x14ac:dyDescent="0.25">
      <c r="A520" s="63">
        <f>'II_Inkunabeln+'!A520</f>
        <v>497</v>
      </c>
      <c r="B520" s="63" t="str">
        <f>'II_Inkunabeln+'!B520</f>
        <v>L-1486-315499206</v>
      </c>
      <c r="C520" s="63">
        <f>'II_Inkunabeln+'!C520</f>
        <v>1066968926</v>
      </c>
      <c r="D520" s="84" t="str">
        <f>'II_Inkunabeln+'!D520</f>
        <v>https://portal.dnb.de/opac.htm?method=simpleSearch&amp;cqlMode=true&amp;query=idn%3D1066968926</v>
      </c>
      <c r="E520" s="63" t="str">
        <f>'II_Inkunabeln+'!E520</f>
        <v>II 32,2b</v>
      </c>
      <c r="F520" s="63">
        <f>'II_Inkunabeln+'!H520</f>
        <v>0</v>
      </c>
      <c r="G520" s="93">
        <f>'II_Inkunabeln+'!AG520</f>
        <v>0</v>
      </c>
      <c r="H520" s="93">
        <f>'II_Inkunabeln+'!AP520</f>
        <v>0</v>
      </c>
      <c r="I520" s="93">
        <f>'II_Inkunabeln+'!AQ520</f>
        <v>0</v>
      </c>
      <c r="J520" s="94"/>
      <c r="K520" s="93">
        <f>'II_Inkunabeln+'!AW520</f>
        <v>0</v>
      </c>
      <c r="L520" s="93">
        <f>'II_Inkunabeln+'!AX520</f>
        <v>0</v>
      </c>
      <c r="AA520" s="93">
        <f>'II_Inkunabeln+'!AY520</f>
        <v>0</v>
      </c>
      <c r="AB520" s="94">
        <f>'II_Inkunabeln+'!BA520</f>
        <v>0</v>
      </c>
      <c r="AC520" s="108"/>
      <c r="AD520" s="81">
        <f>'II_Inkunabeln+'!BJ520</f>
        <v>0</v>
      </c>
    </row>
    <row r="521" spans="1:30" x14ac:dyDescent="0.25">
      <c r="A521" s="63">
        <f>'II_Inkunabeln+'!A521</f>
        <v>498</v>
      </c>
      <c r="B521" s="63" t="str">
        <f>'II_Inkunabeln+'!B521</f>
        <v>L-1488-315500107</v>
      </c>
      <c r="C521" s="63">
        <f>'II_Inkunabeln+'!C521</f>
        <v>1066969760</v>
      </c>
      <c r="D521" s="84" t="str">
        <f>'II_Inkunabeln+'!D521</f>
        <v>https://portal.dnb.de/opac.htm?method=simpleSearch&amp;cqlMode=true&amp;query=idn%3D1066969760</v>
      </c>
      <c r="E521" s="63" t="str">
        <f>'II_Inkunabeln+'!E521</f>
        <v>II 32,2c</v>
      </c>
      <c r="F521" s="63">
        <f>'II_Inkunabeln+'!H521</f>
        <v>0</v>
      </c>
      <c r="G521" s="93">
        <f>'II_Inkunabeln+'!AG521</f>
        <v>0</v>
      </c>
      <c r="H521" s="93">
        <f>'II_Inkunabeln+'!AP521</f>
        <v>0</v>
      </c>
      <c r="I521" s="93">
        <f>'II_Inkunabeln+'!AQ521</f>
        <v>0</v>
      </c>
      <c r="J521" s="94"/>
      <c r="K521" s="93">
        <f>'II_Inkunabeln+'!AW521</f>
        <v>0</v>
      </c>
      <c r="L521" s="93">
        <f>'II_Inkunabeln+'!AX521</f>
        <v>0</v>
      </c>
      <c r="AA521" s="93">
        <f>'II_Inkunabeln+'!AY521</f>
        <v>0</v>
      </c>
      <c r="AB521" s="94">
        <f>'II_Inkunabeln+'!BA521</f>
        <v>0</v>
      </c>
      <c r="AC521" s="108"/>
      <c r="AD521" s="81">
        <f>'II_Inkunabeln+'!BJ521</f>
        <v>0</v>
      </c>
    </row>
    <row r="522" spans="1:30" x14ac:dyDescent="0.25">
      <c r="A522" s="63">
        <f>'II_Inkunabeln+'!A522</f>
        <v>499</v>
      </c>
      <c r="B522" s="63" t="str">
        <f>'II_Inkunabeln+'!B522</f>
        <v>L-1488-315499664</v>
      </c>
      <c r="C522" s="63">
        <f>'II_Inkunabeln+'!C522</f>
        <v>1066969337</v>
      </c>
      <c r="D522" s="84" t="str">
        <f>'II_Inkunabeln+'!D522</f>
        <v>https://portal.dnb.de/opac.htm?method=simpleSearch&amp;cqlMode=true&amp;query=idn%3D1066969337</v>
      </c>
      <c r="E522" s="63" t="str">
        <f>'II_Inkunabeln+'!E522</f>
        <v>II 32,2d</v>
      </c>
      <c r="F522" s="63">
        <f>'II_Inkunabeln+'!H522</f>
        <v>0</v>
      </c>
      <c r="G522" s="93">
        <f>'II_Inkunabeln+'!AG522</f>
        <v>0</v>
      </c>
      <c r="H522" s="93">
        <f>'II_Inkunabeln+'!AP522</f>
        <v>0</v>
      </c>
      <c r="I522" s="93">
        <f>'II_Inkunabeln+'!AQ522</f>
        <v>0</v>
      </c>
      <c r="J522" s="94"/>
      <c r="K522" s="93">
        <f>'II_Inkunabeln+'!AW522</f>
        <v>0</v>
      </c>
      <c r="L522" s="93">
        <f>'II_Inkunabeln+'!AX522</f>
        <v>0</v>
      </c>
      <c r="AA522" s="93">
        <f>'II_Inkunabeln+'!AY522</f>
        <v>0</v>
      </c>
      <c r="AB522" s="94">
        <f>'II_Inkunabeln+'!BA522</f>
        <v>0</v>
      </c>
      <c r="AC522" s="108"/>
      <c r="AD522" s="81">
        <f>'II_Inkunabeln+'!BJ522</f>
        <v>0</v>
      </c>
    </row>
    <row r="523" spans="1:30" x14ac:dyDescent="0.25">
      <c r="A523" s="63">
        <f>'II_Inkunabeln+'!A523</f>
        <v>500</v>
      </c>
      <c r="B523" s="63" t="str">
        <f>'II_Inkunabeln+'!B523</f>
        <v>L-1488-444452109</v>
      </c>
      <c r="C523" s="63">
        <f>'II_Inkunabeln+'!C523</f>
        <v>1066969337</v>
      </c>
      <c r="D523" s="84" t="str">
        <f>'II_Inkunabeln+'!D523</f>
        <v>https://portal.dnb.de/opac.htm?method=simpleSearch&amp;cqlMode=true&amp;query=idn%3D1066969337</v>
      </c>
      <c r="E523" s="63" t="str">
        <f>'II_Inkunabeln+'!E523</f>
        <v>II 32,2da</v>
      </c>
      <c r="F523" s="63">
        <f>'II_Inkunabeln+'!H523</f>
        <v>0</v>
      </c>
      <c r="G523" s="93">
        <f>'II_Inkunabeln+'!AG523</f>
        <v>0</v>
      </c>
      <c r="H523" s="93">
        <f>'II_Inkunabeln+'!AP523</f>
        <v>0</v>
      </c>
      <c r="I523" s="93">
        <f>'II_Inkunabeln+'!AQ523</f>
        <v>0</v>
      </c>
      <c r="J523" s="94"/>
      <c r="K523" s="93">
        <f>'II_Inkunabeln+'!AW523</f>
        <v>0</v>
      </c>
      <c r="L523" s="93">
        <f>'II_Inkunabeln+'!AX523</f>
        <v>0</v>
      </c>
      <c r="AA523" s="93">
        <f>'II_Inkunabeln+'!AY523</f>
        <v>0</v>
      </c>
      <c r="AB523" s="94">
        <f>'II_Inkunabeln+'!BA523</f>
        <v>0</v>
      </c>
      <c r="AC523" s="108"/>
      <c r="AD523" s="81">
        <f>'II_Inkunabeln+'!BJ523</f>
        <v>0</v>
      </c>
    </row>
    <row r="524" spans="1:30" x14ac:dyDescent="0.25">
      <c r="A524" s="63">
        <f>'II_Inkunabeln+'!A524</f>
        <v>501</v>
      </c>
      <c r="B524" s="63" t="str">
        <f>'II_Inkunabeln+'!B524</f>
        <v>L-1499-315502738</v>
      </c>
      <c r="C524" s="63" t="str">
        <f>'II_Inkunabeln+'!C524</f>
        <v>106697229X</v>
      </c>
      <c r="D524" s="84" t="str">
        <f>'II_Inkunabeln+'!D524</f>
        <v>https://portal.dnb.de/opac.htm?method=simpleSearch&amp;cqlMode=true&amp;query=idn%3D106697229X</v>
      </c>
      <c r="E524" s="63" t="str">
        <f>'II_Inkunabeln+'!E524</f>
        <v>II 32,4a</v>
      </c>
      <c r="F524" s="63" t="str">
        <f>'II_Inkunabeln+'!H524</f>
        <v>bis 25 cm</v>
      </c>
      <c r="G524" s="93">
        <f>'II_Inkunabeln+'!AG524</f>
        <v>0</v>
      </c>
      <c r="H524" s="93">
        <f>'II_Inkunabeln+'!AP524</f>
        <v>0</v>
      </c>
      <c r="I524" s="93">
        <f>'II_Inkunabeln+'!AQ524</f>
        <v>0</v>
      </c>
      <c r="J524" s="94"/>
      <c r="K524" s="93">
        <f>'II_Inkunabeln+'!AW524</f>
        <v>0</v>
      </c>
      <c r="L524" s="93">
        <f>'II_Inkunabeln+'!AX524</f>
        <v>0</v>
      </c>
      <c r="AA524" s="93">
        <f>'II_Inkunabeln+'!AY524</f>
        <v>0</v>
      </c>
      <c r="AB524" s="94">
        <f>'II_Inkunabeln+'!BA524</f>
        <v>0</v>
      </c>
      <c r="AC524" s="108"/>
      <c r="AD524" s="81">
        <f>'II_Inkunabeln+'!BJ524</f>
        <v>0</v>
      </c>
    </row>
    <row r="525" spans="1:30" x14ac:dyDescent="0.25">
      <c r="A525" s="63">
        <f>'II_Inkunabeln+'!A525</f>
        <v>502</v>
      </c>
      <c r="B525" s="63" t="str">
        <f>'II_Inkunabeln+'!B525</f>
        <v>L-1499-31550109X</v>
      </c>
      <c r="C525" s="63">
        <f>'II_Inkunabeln+'!C525</f>
        <v>1066970742</v>
      </c>
      <c r="D525" s="84" t="str">
        <f>'II_Inkunabeln+'!D525</f>
        <v>https://portal.dnb.de/opac.htm?method=simpleSearch&amp;cqlMode=true&amp;query=idn%3D1066970742</v>
      </c>
      <c r="E525" s="63" t="str">
        <f>'II_Inkunabeln+'!E525</f>
        <v>II 32,5a</v>
      </c>
      <c r="F525" s="63">
        <f>'II_Inkunabeln+'!H525</f>
        <v>0</v>
      </c>
      <c r="G525" s="93">
        <f>'II_Inkunabeln+'!AG525</f>
        <v>0</v>
      </c>
      <c r="H525" s="93">
        <f>'II_Inkunabeln+'!AP525</f>
        <v>0</v>
      </c>
      <c r="I525" s="93">
        <f>'II_Inkunabeln+'!AQ525</f>
        <v>0</v>
      </c>
      <c r="J525" s="94"/>
      <c r="K525" s="93">
        <f>'II_Inkunabeln+'!AW525</f>
        <v>0</v>
      </c>
      <c r="L525" s="93">
        <f>'II_Inkunabeln+'!AX525</f>
        <v>0</v>
      </c>
      <c r="AA525" s="93">
        <f>'II_Inkunabeln+'!AY525</f>
        <v>0</v>
      </c>
      <c r="AB525" s="94">
        <f>'II_Inkunabeln+'!BA525</f>
        <v>0</v>
      </c>
      <c r="AC525" s="108"/>
      <c r="AD525" s="81">
        <f>'II_Inkunabeln+'!BJ525</f>
        <v>0</v>
      </c>
    </row>
    <row r="526" spans="1:30" x14ac:dyDescent="0.25">
      <c r="A526" s="63">
        <f>'II_Inkunabeln+'!A526</f>
        <v>503</v>
      </c>
      <c r="B526" s="63" t="str">
        <f>'II_Inkunabeln+'!B526</f>
        <v>L-1494-315500581</v>
      </c>
      <c r="C526" s="63">
        <f>'II_Inkunabeln+'!C526</f>
        <v>1066970246</v>
      </c>
      <c r="D526" s="84" t="str">
        <f>'II_Inkunabeln+'!D526</f>
        <v>https://portal.dnb.de/opac.htm?method=simpleSearch&amp;cqlMode=true&amp;query=idn%3D1066970246</v>
      </c>
      <c r="E526" s="63" t="str">
        <f>'II_Inkunabeln+'!E526</f>
        <v>II 33,1a</v>
      </c>
      <c r="F526" s="63" t="str">
        <f>'II_Inkunabeln+'!H526</f>
        <v>bis 25 cm</v>
      </c>
      <c r="G526" s="93">
        <f>'II_Inkunabeln+'!AG526</f>
        <v>0</v>
      </c>
      <c r="H526" s="93">
        <f>'II_Inkunabeln+'!AP526</f>
        <v>0</v>
      </c>
      <c r="I526" s="93">
        <f>'II_Inkunabeln+'!AQ526</f>
        <v>0</v>
      </c>
      <c r="J526" s="94"/>
      <c r="K526" s="93">
        <f>'II_Inkunabeln+'!AW526</f>
        <v>0</v>
      </c>
      <c r="L526" s="93">
        <f>'II_Inkunabeln+'!AX526</f>
        <v>0</v>
      </c>
      <c r="AA526" s="93">
        <f>'II_Inkunabeln+'!AY526</f>
        <v>0</v>
      </c>
      <c r="AB526" s="94">
        <f>'II_Inkunabeln+'!BA526</f>
        <v>0</v>
      </c>
      <c r="AC526" s="108"/>
      <c r="AD526" s="81">
        <f>'II_Inkunabeln+'!BJ526</f>
        <v>0</v>
      </c>
    </row>
    <row r="527" spans="1:30" x14ac:dyDescent="0.25">
      <c r="A527" s="63">
        <f>'II_Inkunabeln+'!A527</f>
        <v>504</v>
      </c>
      <c r="B527" s="63" t="str">
        <f>'II_Inkunabeln+'!B527</f>
        <v>L-1484-315495278</v>
      </c>
      <c r="C527" s="63">
        <f>'II_Inkunabeln+'!C527</f>
        <v>1066965137</v>
      </c>
      <c r="D527" s="84" t="str">
        <f>'II_Inkunabeln+'!D527</f>
        <v>https://portal.dnb.de/opac.htm?method=simpleSearch&amp;cqlMode=true&amp;query=idn%3D1066965137</v>
      </c>
      <c r="E527" s="63" t="str">
        <f>'II_Inkunabeln+'!E527</f>
        <v>II 34,1a</v>
      </c>
      <c r="F527" s="63">
        <f>'II_Inkunabeln+'!H527</f>
        <v>0</v>
      </c>
      <c r="G527" s="93">
        <f>'II_Inkunabeln+'!AG527</f>
        <v>0</v>
      </c>
      <c r="H527" s="93">
        <f>'II_Inkunabeln+'!AP527</f>
        <v>0</v>
      </c>
      <c r="I527" s="93">
        <f>'II_Inkunabeln+'!AQ527</f>
        <v>0</v>
      </c>
      <c r="J527" s="94"/>
      <c r="K527" s="93">
        <f>'II_Inkunabeln+'!AW527</f>
        <v>0</v>
      </c>
      <c r="L527" s="93">
        <f>'II_Inkunabeln+'!AX527</f>
        <v>0</v>
      </c>
      <c r="AA527" s="93">
        <f>'II_Inkunabeln+'!AY527</f>
        <v>0</v>
      </c>
      <c r="AB527" s="94">
        <f>'II_Inkunabeln+'!BA527</f>
        <v>0</v>
      </c>
      <c r="AC527" s="108"/>
      <c r="AD527" s="81">
        <f>'II_Inkunabeln+'!BJ527</f>
        <v>0</v>
      </c>
    </row>
    <row r="528" spans="1:30" x14ac:dyDescent="0.25">
      <c r="A528" s="63">
        <f>'II_Inkunabeln+'!A528</f>
        <v>505</v>
      </c>
      <c r="B528" s="63" t="str">
        <f>'II_Inkunabeln+'!B528</f>
        <v>L-1479-316402591</v>
      </c>
      <c r="C528" s="63">
        <f>'II_Inkunabeln+'!C528</f>
        <v>1067439234</v>
      </c>
      <c r="D528" s="84" t="str">
        <f>'II_Inkunabeln+'!D528</f>
        <v>https://portal.dnb.de/opac.htm?method=simpleSearch&amp;cqlMode=true&amp;query=idn%3D1067439234</v>
      </c>
      <c r="E528" s="63" t="str">
        <f>'II_Inkunabeln+'!E528</f>
        <v>II 35,1a - Fragm.</v>
      </c>
      <c r="F528" s="63">
        <f>'II_Inkunabeln+'!H528</f>
        <v>0</v>
      </c>
      <c r="G528" s="93">
        <f>'II_Inkunabeln+'!AG528</f>
        <v>0</v>
      </c>
      <c r="H528" s="93">
        <f>'II_Inkunabeln+'!AP528</f>
        <v>0</v>
      </c>
      <c r="I528" s="93">
        <f>'II_Inkunabeln+'!AQ528</f>
        <v>0</v>
      </c>
      <c r="J528" s="94"/>
      <c r="K528" s="93">
        <f>'II_Inkunabeln+'!AW528</f>
        <v>0</v>
      </c>
      <c r="L528" s="93">
        <f>'II_Inkunabeln+'!AX528</f>
        <v>0</v>
      </c>
      <c r="AA528" s="93">
        <f>'II_Inkunabeln+'!AY528</f>
        <v>0</v>
      </c>
      <c r="AB528" s="94">
        <f>'II_Inkunabeln+'!BA528</f>
        <v>0</v>
      </c>
      <c r="AC528" s="108"/>
      <c r="AD528" s="81">
        <f>'II_Inkunabeln+'!BJ528</f>
        <v>0</v>
      </c>
    </row>
    <row r="529" spans="1:30" x14ac:dyDescent="0.25">
      <c r="A529" s="63">
        <f>'II_Inkunabeln+'!A529</f>
        <v>506</v>
      </c>
      <c r="B529" s="63" t="str">
        <f>'II_Inkunabeln+'!B529</f>
        <v>L-1499-316402605</v>
      </c>
      <c r="C529" s="63">
        <f>'II_Inkunabeln+'!C529</f>
        <v>1067439250</v>
      </c>
      <c r="D529" s="84" t="str">
        <f>'II_Inkunabeln+'!D529</f>
        <v>https://portal.dnb.de/opac.htm?method=simpleSearch&amp;cqlMode=true&amp;query=idn%3D1067439250</v>
      </c>
      <c r="E529" s="63" t="str">
        <f>'II_Inkunabeln+'!E529</f>
        <v>II 35,2a - Fragm.</v>
      </c>
      <c r="F529" s="63">
        <f>'II_Inkunabeln+'!H529</f>
        <v>0</v>
      </c>
      <c r="G529" s="93">
        <f>'II_Inkunabeln+'!AG529</f>
        <v>0</v>
      </c>
      <c r="H529" s="93">
        <f>'II_Inkunabeln+'!AP529</f>
        <v>0</v>
      </c>
      <c r="I529" s="93">
        <f>'II_Inkunabeln+'!AQ529</f>
        <v>0</v>
      </c>
      <c r="J529" s="94"/>
      <c r="K529" s="93">
        <f>'II_Inkunabeln+'!AW529</f>
        <v>0</v>
      </c>
      <c r="L529" s="93">
        <f>'II_Inkunabeln+'!AX529</f>
        <v>0</v>
      </c>
      <c r="AA529" s="93">
        <f>'II_Inkunabeln+'!AY529</f>
        <v>0</v>
      </c>
      <c r="AB529" s="94">
        <f>'II_Inkunabeln+'!BA529</f>
        <v>0</v>
      </c>
      <c r="AC529" s="108"/>
      <c r="AD529" s="81">
        <f>'II_Inkunabeln+'!BJ529</f>
        <v>0</v>
      </c>
    </row>
    <row r="530" spans="1:30" x14ac:dyDescent="0.25">
      <c r="A530" s="63">
        <f>'II_Inkunabeln+'!A530</f>
        <v>507</v>
      </c>
      <c r="B530" s="63" t="str">
        <f>'II_Inkunabeln+'!B530</f>
        <v>L-1474-315495456</v>
      </c>
      <c r="C530" s="63">
        <f>'II_Inkunabeln+'!C530</f>
        <v>1066965277</v>
      </c>
      <c r="D530" s="84" t="str">
        <f>'II_Inkunabeln+'!D530</f>
        <v>https://portal.dnb.de/opac.htm?method=simpleSearch&amp;cqlMode=true&amp;query=idn%3D1066965277</v>
      </c>
      <c r="E530" s="63" t="str">
        <f>'II_Inkunabeln+'!E530</f>
        <v>II 36,1a</v>
      </c>
      <c r="F530" s="63" t="str">
        <f>'II_Inkunabeln+'!H530</f>
        <v>bis 25 cm</v>
      </c>
      <c r="G530" s="93">
        <f>'II_Inkunabeln+'!AG530</f>
        <v>0</v>
      </c>
      <c r="H530" s="93">
        <f>'II_Inkunabeln+'!AP530</f>
        <v>0</v>
      </c>
      <c r="I530" s="93">
        <f>'II_Inkunabeln+'!AQ530</f>
        <v>0</v>
      </c>
      <c r="J530" s="94"/>
      <c r="K530" s="93">
        <f>'II_Inkunabeln+'!AW530</f>
        <v>0</v>
      </c>
      <c r="L530" s="93">
        <f>'II_Inkunabeln+'!AX530</f>
        <v>0</v>
      </c>
      <c r="AA530" s="93">
        <f>'II_Inkunabeln+'!AY530</f>
        <v>0</v>
      </c>
      <c r="AB530" s="94">
        <f>'II_Inkunabeln+'!BA530</f>
        <v>0</v>
      </c>
      <c r="AC530" s="108"/>
      <c r="AD530" s="81">
        <f>'II_Inkunabeln+'!BJ530</f>
        <v>0</v>
      </c>
    </row>
    <row r="531" spans="1:30" x14ac:dyDescent="0.25">
      <c r="A531" s="63">
        <f>'II_Inkunabeln+'!A531</f>
        <v>0</v>
      </c>
      <c r="B531" s="63">
        <f>'II_Inkunabeln+'!B531</f>
        <v>0</v>
      </c>
      <c r="C531" s="63">
        <f>'II_Inkunabeln+'!C531</f>
        <v>0</v>
      </c>
      <c r="D531" s="84">
        <f>'II_Inkunabeln+'!D531</f>
        <v>0</v>
      </c>
      <c r="E531" s="63" t="str">
        <f>'II_Inkunabeln+'!E531</f>
        <v>II 36,1b</v>
      </c>
      <c r="F531" s="63" t="str">
        <f>'II_Inkunabeln+'!H531</f>
        <v>bis 25 cm</v>
      </c>
      <c r="G531" s="93">
        <f>'II_Inkunabeln+'!AG531</f>
        <v>0</v>
      </c>
      <c r="H531" s="93">
        <f>'II_Inkunabeln+'!AP531</f>
        <v>0</v>
      </c>
      <c r="I531" s="93">
        <f>'II_Inkunabeln+'!AQ531</f>
        <v>0</v>
      </c>
      <c r="J531" s="94"/>
      <c r="K531" s="93">
        <f>'II_Inkunabeln+'!AW531</f>
        <v>0</v>
      </c>
      <c r="L531" s="93">
        <f>'II_Inkunabeln+'!AX531</f>
        <v>0</v>
      </c>
      <c r="AA531" s="93">
        <f>'II_Inkunabeln+'!AY531</f>
        <v>0</v>
      </c>
      <c r="AB531" s="94">
        <f>'II_Inkunabeln+'!BA531</f>
        <v>0</v>
      </c>
      <c r="AC531" s="108"/>
      <c r="AD531" s="81">
        <f>'II_Inkunabeln+'!BJ531</f>
        <v>0</v>
      </c>
    </row>
    <row r="532" spans="1:30" x14ac:dyDescent="0.25">
      <c r="A532" s="63">
        <f>'II_Inkunabeln+'!A532</f>
        <v>508</v>
      </c>
      <c r="B532" s="63" t="str">
        <f>'II_Inkunabeln+'!B532</f>
        <v>L-2019-323537</v>
      </c>
      <c r="C532" s="63">
        <f>'II_Inkunabeln+'!C532</f>
        <v>1200511840</v>
      </c>
      <c r="D532" s="84" t="str">
        <f>'II_Inkunabeln+'!D532</f>
        <v>https://portal.dnb.de/opac.htm?method=simpleSearch&amp;cqlMode=true&amp;query=idn%3D1200511840</v>
      </c>
      <c r="E532" s="63" t="str">
        <f>'II_Inkunabeln+'!E532</f>
        <v>II 37,1a</v>
      </c>
      <c r="F532" s="63">
        <f>'II_Inkunabeln+'!H532</f>
        <v>0</v>
      </c>
      <c r="G532" s="93">
        <f>'II_Inkunabeln+'!AG532</f>
        <v>0</v>
      </c>
      <c r="H532" s="93">
        <f>'II_Inkunabeln+'!AP532</f>
        <v>0</v>
      </c>
      <c r="I532" s="93">
        <f>'II_Inkunabeln+'!AQ532</f>
        <v>0</v>
      </c>
      <c r="J532" s="94"/>
      <c r="K532" s="93">
        <f>'II_Inkunabeln+'!AW532</f>
        <v>0</v>
      </c>
      <c r="L532" s="93">
        <f>'II_Inkunabeln+'!AX532</f>
        <v>0</v>
      </c>
      <c r="AA532" s="93">
        <f>'II_Inkunabeln+'!AY532</f>
        <v>0</v>
      </c>
      <c r="AB532" s="94">
        <f>'II_Inkunabeln+'!BA532</f>
        <v>0</v>
      </c>
      <c r="AC532" s="108"/>
      <c r="AD532" s="81">
        <f>'II_Inkunabeln+'!BJ532</f>
        <v>0</v>
      </c>
    </row>
    <row r="533" spans="1:30" x14ac:dyDescent="0.25">
      <c r="A533" s="63">
        <f>'II_Inkunabeln+'!A533</f>
        <v>509</v>
      </c>
      <c r="B533" s="63" t="str">
        <f>'II_Inkunabeln+'!B533</f>
        <v>L-1472-327281049</v>
      </c>
      <c r="C533" s="63">
        <f>'II_Inkunabeln+'!C533</f>
        <v>1072321904</v>
      </c>
      <c r="D533" s="84" t="str">
        <f>'II_Inkunabeln+'!D533</f>
        <v>https://portal.dnb.de/opac.htm?method=simpleSearch&amp;cqlMode=true&amp;query=idn%3D1072321904</v>
      </c>
      <c r="E533" s="63" t="str">
        <f>'II_Inkunabeln+'!E533</f>
        <v>II 43,1a</v>
      </c>
      <c r="F533" s="63" t="str">
        <f>'II_Inkunabeln+'!H533</f>
        <v>bis 25 cm</v>
      </c>
      <c r="G533" s="93">
        <f>'II_Inkunabeln+'!AG533</f>
        <v>0</v>
      </c>
      <c r="H533" s="93">
        <f>'II_Inkunabeln+'!AP533</f>
        <v>0</v>
      </c>
      <c r="I533" s="93">
        <f>'II_Inkunabeln+'!AQ533</f>
        <v>0</v>
      </c>
      <c r="J533" s="94"/>
      <c r="K533" s="93">
        <f>'II_Inkunabeln+'!AW533</f>
        <v>0</v>
      </c>
      <c r="L533" s="93">
        <f>'II_Inkunabeln+'!AX533</f>
        <v>0</v>
      </c>
      <c r="AA533" s="93">
        <f>'II_Inkunabeln+'!AY533</f>
        <v>0</v>
      </c>
      <c r="AB533" s="94">
        <f>'II_Inkunabeln+'!BA533</f>
        <v>0</v>
      </c>
      <c r="AC533" s="108"/>
      <c r="AD533" s="81">
        <f>'II_Inkunabeln+'!BJ533</f>
        <v>0</v>
      </c>
    </row>
    <row r="534" spans="1:30" x14ac:dyDescent="0.25">
      <c r="A534" s="63">
        <f>'II_Inkunabeln+'!A534</f>
        <v>510</v>
      </c>
      <c r="B534" s="63" t="str">
        <f>'II_Inkunabeln+'!B534</f>
        <v>L-1486-315497173</v>
      </c>
      <c r="C534" s="63">
        <f>'II_Inkunabeln+'!C534</f>
        <v>1066966877</v>
      </c>
      <c r="D534" s="84" t="str">
        <f>'II_Inkunabeln+'!D534</f>
        <v>https://portal.dnb.de/opac.htm?method=simpleSearch&amp;cqlMode=true&amp;query=idn%3D1066966877</v>
      </c>
      <c r="E534" s="63" t="str">
        <f>'II_Inkunabeln+'!E534</f>
        <v>II 43,2a</v>
      </c>
      <c r="F534" s="63">
        <f>'II_Inkunabeln+'!H534</f>
        <v>0</v>
      </c>
      <c r="G534" s="93">
        <f>'II_Inkunabeln+'!AG534</f>
        <v>0</v>
      </c>
      <c r="H534" s="93">
        <f>'II_Inkunabeln+'!AP534</f>
        <v>0</v>
      </c>
      <c r="I534" s="93">
        <f>'II_Inkunabeln+'!AQ534</f>
        <v>0</v>
      </c>
      <c r="J534" s="94"/>
      <c r="K534" s="93">
        <f>'II_Inkunabeln+'!AW534</f>
        <v>0</v>
      </c>
      <c r="L534" s="93">
        <f>'II_Inkunabeln+'!AX534</f>
        <v>0</v>
      </c>
      <c r="AA534" s="93">
        <f>'II_Inkunabeln+'!AY534</f>
        <v>0</v>
      </c>
      <c r="AB534" s="94">
        <f>'II_Inkunabeln+'!BA534</f>
        <v>0</v>
      </c>
      <c r="AC534" s="108"/>
      <c r="AD534" s="81">
        <f>'II_Inkunabeln+'!BJ534</f>
        <v>0</v>
      </c>
    </row>
    <row r="535" spans="1:30" x14ac:dyDescent="0.25">
      <c r="A535" s="63">
        <f>'II_Inkunabeln+'!A535</f>
        <v>511</v>
      </c>
      <c r="B535" s="63" t="str">
        <f>'II_Inkunabeln+'!B535</f>
        <v>L-1496-315495340</v>
      </c>
      <c r="C535" s="63">
        <f>'II_Inkunabeln+'!C535</f>
        <v>1066965196</v>
      </c>
      <c r="D535" s="84" t="str">
        <f>'II_Inkunabeln+'!D535</f>
        <v>https://portal.dnb.de/opac.htm?method=simpleSearch&amp;cqlMode=true&amp;query=idn%3D1066965196</v>
      </c>
      <c r="E535" s="63" t="str">
        <f>'II_Inkunabeln+'!E535</f>
        <v>II 43,2b</v>
      </c>
      <c r="F535" s="63">
        <f>'II_Inkunabeln+'!H535</f>
        <v>0</v>
      </c>
      <c r="G535" s="93">
        <f>'II_Inkunabeln+'!AG535</f>
        <v>0</v>
      </c>
      <c r="H535" s="93">
        <f>'II_Inkunabeln+'!AP535</f>
        <v>0</v>
      </c>
      <c r="I535" s="93">
        <f>'II_Inkunabeln+'!AQ535</f>
        <v>0</v>
      </c>
      <c r="J535" s="94"/>
      <c r="K535" s="93">
        <f>'II_Inkunabeln+'!AW535</f>
        <v>0</v>
      </c>
      <c r="L535" s="93">
        <f>'II_Inkunabeln+'!AX535</f>
        <v>0</v>
      </c>
      <c r="AA535" s="93">
        <f>'II_Inkunabeln+'!AY535</f>
        <v>0</v>
      </c>
      <c r="AB535" s="94">
        <f>'II_Inkunabeln+'!BA535</f>
        <v>0</v>
      </c>
      <c r="AC535" s="108"/>
      <c r="AD535" s="81">
        <f>'II_Inkunabeln+'!BJ535</f>
        <v>0</v>
      </c>
    </row>
    <row r="536" spans="1:30" x14ac:dyDescent="0.25">
      <c r="A536" s="63">
        <f>'II_Inkunabeln+'!A536</f>
        <v>512</v>
      </c>
      <c r="B536" s="63" t="str">
        <f>'II_Inkunabeln+'!B536</f>
        <v>L-1482-31640263X</v>
      </c>
      <c r="C536" s="63">
        <f>'II_Inkunabeln+'!C536</f>
        <v>1067439293</v>
      </c>
      <c r="D536" s="84" t="str">
        <f>'II_Inkunabeln+'!D536</f>
        <v>https://portal.dnb.de/opac.htm?method=simpleSearch&amp;cqlMode=true&amp;query=idn%3D1067439293</v>
      </c>
      <c r="E536" s="63" t="str">
        <f>'II_Inkunabeln+'!E536</f>
        <v>II 43,3ab - Fragm.</v>
      </c>
      <c r="F536" s="63">
        <f>'II_Inkunabeln+'!H536</f>
        <v>0</v>
      </c>
      <c r="G536" s="93">
        <f>'II_Inkunabeln+'!AG536</f>
        <v>0</v>
      </c>
      <c r="H536" s="93">
        <f>'II_Inkunabeln+'!AP536</f>
        <v>0</v>
      </c>
      <c r="I536" s="93">
        <f>'II_Inkunabeln+'!AQ536</f>
        <v>0</v>
      </c>
      <c r="J536" s="94"/>
      <c r="K536" s="93">
        <f>'II_Inkunabeln+'!AW536</f>
        <v>0</v>
      </c>
      <c r="L536" s="93">
        <f>'II_Inkunabeln+'!AX536</f>
        <v>0</v>
      </c>
      <c r="AA536" s="93">
        <f>'II_Inkunabeln+'!AY536</f>
        <v>0</v>
      </c>
      <c r="AB536" s="94">
        <f>'II_Inkunabeln+'!BA536</f>
        <v>0</v>
      </c>
      <c r="AC536" s="108"/>
      <c r="AD536" s="81">
        <f>'II_Inkunabeln+'!BJ536</f>
        <v>0</v>
      </c>
    </row>
    <row r="537" spans="1:30" x14ac:dyDescent="0.25">
      <c r="A537" s="63">
        <f>'II_Inkunabeln+'!A537</f>
        <v>513</v>
      </c>
      <c r="B537" s="63" t="str">
        <f>'II_Inkunabeln+'!B537</f>
        <v>L-1495-315496649</v>
      </c>
      <c r="C537" s="63">
        <f>'II_Inkunabeln+'!C537</f>
        <v>1066966362</v>
      </c>
      <c r="D537" s="84" t="str">
        <f>'II_Inkunabeln+'!D537</f>
        <v>https://portal.dnb.de/opac.htm?method=simpleSearch&amp;cqlMode=true&amp;query=idn%3D1066966362</v>
      </c>
      <c r="E537" s="63" t="str">
        <f>'II_Inkunabeln+'!E537</f>
        <v>II 43,5a</v>
      </c>
      <c r="F537" s="63" t="str">
        <f>'II_Inkunabeln+'!H537</f>
        <v>bis 25 cm</v>
      </c>
      <c r="G537" s="93">
        <f>'II_Inkunabeln+'!AG537</f>
        <v>0</v>
      </c>
      <c r="H537" s="93">
        <f>'II_Inkunabeln+'!AP537</f>
        <v>0</v>
      </c>
      <c r="I537" s="93">
        <f>'II_Inkunabeln+'!AQ537</f>
        <v>0</v>
      </c>
      <c r="J537" s="94"/>
      <c r="K537" s="93">
        <f>'II_Inkunabeln+'!AW537</f>
        <v>0</v>
      </c>
      <c r="L537" s="93">
        <f>'II_Inkunabeln+'!AX537</f>
        <v>0</v>
      </c>
      <c r="AA537" s="93">
        <f>'II_Inkunabeln+'!AY537</f>
        <v>0</v>
      </c>
      <c r="AB537" s="94">
        <f>'II_Inkunabeln+'!BA537</f>
        <v>0</v>
      </c>
      <c r="AC537" s="108"/>
      <c r="AD537" s="81">
        <f>'II_Inkunabeln+'!BJ537</f>
        <v>0</v>
      </c>
    </row>
    <row r="538" spans="1:30" x14ac:dyDescent="0.25">
      <c r="A538" s="63">
        <f>'II_Inkunabeln+'!A538</f>
        <v>514</v>
      </c>
      <c r="B538" s="63" t="str">
        <f>'II_Inkunabeln+'!B538</f>
        <v>L-1498-315496622</v>
      </c>
      <c r="C538" s="63">
        <f>'II_Inkunabeln+'!C538</f>
        <v>1066966346</v>
      </c>
      <c r="D538" s="84" t="str">
        <f>'II_Inkunabeln+'!D538</f>
        <v>https://portal.dnb.de/opac.htm?method=simpleSearch&amp;cqlMode=true&amp;query=idn%3D1066966346</v>
      </c>
      <c r="E538" s="63" t="str">
        <f>'II_Inkunabeln+'!E538</f>
        <v>II 43,6a</v>
      </c>
      <c r="F538" s="63">
        <f>'II_Inkunabeln+'!H538</f>
        <v>0</v>
      </c>
      <c r="G538" s="93">
        <f>'II_Inkunabeln+'!AG538</f>
        <v>0</v>
      </c>
      <c r="H538" s="93">
        <f>'II_Inkunabeln+'!AP538</f>
        <v>0</v>
      </c>
      <c r="I538" s="93">
        <f>'II_Inkunabeln+'!AQ538</f>
        <v>0</v>
      </c>
      <c r="J538" s="94"/>
      <c r="K538" s="93">
        <f>'II_Inkunabeln+'!AW538</f>
        <v>0</v>
      </c>
      <c r="L538" s="93">
        <f>'II_Inkunabeln+'!AX538</f>
        <v>0</v>
      </c>
      <c r="AA538" s="93">
        <f>'II_Inkunabeln+'!AY538</f>
        <v>0</v>
      </c>
      <c r="AB538" s="94">
        <f>'II_Inkunabeln+'!BA538</f>
        <v>0</v>
      </c>
      <c r="AC538" s="108"/>
      <c r="AD538" s="81">
        <f>'II_Inkunabeln+'!BJ538</f>
        <v>0</v>
      </c>
    </row>
    <row r="539" spans="1:30" x14ac:dyDescent="0.25">
      <c r="A539" s="63">
        <f>'II_Inkunabeln+'!A539</f>
        <v>515</v>
      </c>
      <c r="B539" s="63" t="str">
        <f>'II_Inkunabeln+'!B539</f>
        <v>L-1485-315498595</v>
      </c>
      <c r="C539" s="63">
        <f>'II_Inkunabeln+'!C539</f>
        <v>1066968349</v>
      </c>
      <c r="D539" s="84" t="str">
        <f>'II_Inkunabeln+'!D539</f>
        <v>https://portal.dnb.de/opac.htm?method=simpleSearch&amp;cqlMode=true&amp;query=idn%3D1066968349</v>
      </c>
      <c r="E539" s="63" t="str">
        <f>'II_Inkunabeln+'!E539</f>
        <v>II 44,1a</v>
      </c>
      <c r="F539" s="63" t="str">
        <f>'II_Inkunabeln+'!H539</f>
        <v>bis 35 cm</v>
      </c>
      <c r="G539" s="93">
        <f>'II_Inkunabeln+'!AG539</f>
        <v>0</v>
      </c>
      <c r="H539" s="93">
        <f>'II_Inkunabeln+'!AP539</f>
        <v>0</v>
      </c>
      <c r="I539" s="93">
        <f>'II_Inkunabeln+'!AQ539</f>
        <v>0</v>
      </c>
      <c r="J539" s="94"/>
      <c r="K539" s="93">
        <f>'II_Inkunabeln+'!AW539</f>
        <v>0</v>
      </c>
      <c r="L539" s="93">
        <f>'II_Inkunabeln+'!AX539</f>
        <v>0</v>
      </c>
      <c r="AA539" s="93">
        <f>'II_Inkunabeln+'!AY539</f>
        <v>0</v>
      </c>
      <c r="AB539" s="94">
        <f>'II_Inkunabeln+'!BA539</f>
        <v>0</v>
      </c>
      <c r="AC539" s="108"/>
      <c r="AD539" s="81">
        <f>'II_Inkunabeln+'!BJ539</f>
        <v>0</v>
      </c>
    </row>
    <row r="540" spans="1:30" x14ac:dyDescent="0.25">
      <c r="A540" s="63">
        <f>'II_Inkunabeln+'!A540</f>
        <v>516</v>
      </c>
      <c r="B540" s="63" t="str">
        <f>'II_Inkunabeln+'!B540</f>
        <v>L-1486-315496177</v>
      </c>
      <c r="C540" s="63">
        <f>'II_Inkunabeln+'!C540</f>
        <v>1066965897</v>
      </c>
      <c r="D540" s="84" t="str">
        <f>'II_Inkunabeln+'!D540</f>
        <v>https://portal.dnb.de/opac.htm?method=simpleSearch&amp;cqlMode=true&amp;query=idn%3D1066965897</v>
      </c>
      <c r="E540" s="63" t="str">
        <f>'II_Inkunabeln+'!E540</f>
        <v>II 44,2a</v>
      </c>
      <c r="F540" s="63" t="str">
        <f>'II_Inkunabeln+'!H540</f>
        <v>bis 25 cm</v>
      </c>
      <c r="G540" s="93">
        <f>'II_Inkunabeln+'!AG540</f>
        <v>0</v>
      </c>
      <c r="H540" s="93">
        <f>'II_Inkunabeln+'!AP540</f>
        <v>0</v>
      </c>
      <c r="I540" s="93">
        <f>'II_Inkunabeln+'!AQ540</f>
        <v>0</v>
      </c>
      <c r="J540" s="94"/>
      <c r="K540" s="93">
        <f>'II_Inkunabeln+'!AW540</f>
        <v>0</v>
      </c>
      <c r="L540" s="93">
        <f>'II_Inkunabeln+'!AX540</f>
        <v>0</v>
      </c>
      <c r="AA540" s="93">
        <f>'II_Inkunabeln+'!AY540</f>
        <v>0</v>
      </c>
      <c r="AB540" s="94">
        <f>'II_Inkunabeln+'!BA540</f>
        <v>0</v>
      </c>
      <c r="AC540" s="108"/>
      <c r="AD540" s="81">
        <f>'II_Inkunabeln+'!BJ540</f>
        <v>0</v>
      </c>
    </row>
    <row r="541" spans="1:30" x14ac:dyDescent="0.25">
      <c r="A541" s="63">
        <f>'II_Inkunabeln+'!A541</f>
        <v>517</v>
      </c>
      <c r="B541" s="63" t="str">
        <f>'II_Inkunabeln+'!B541</f>
        <v>L-1499-327281251</v>
      </c>
      <c r="C541" s="63">
        <f>'II_Inkunabeln+'!C541</f>
        <v>1072322234</v>
      </c>
      <c r="D541" s="84" t="str">
        <f>'II_Inkunabeln+'!D541</f>
        <v>https://portal.dnb.de/opac.htm?method=simpleSearch&amp;cqlMode=true&amp;query=idn%3D1072322234</v>
      </c>
      <c r="E541" s="63" t="str">
        <f>'II_Inkunabeln+'!E541</f>
        <v>II 44,2b</v>
      </c>
      <c r="F541" s="63">
        <f>'II_Inkunabeln+'!H541</f>
        <v>0</v>
      </c>
      <c r="G541" s="93">
        <f>'II_Inkunabeln+'!AG541</f>
        <v>0</v>
      </c>
      <c r="H541" s="93">
        <f>'II_Inkunabeln+'!AP541</f>
        <v>0</v>
      </c>
      <c r="I541" s="93">
        <f>'II_Inkunabeln+'!AQ541</f>
        <v>0</v>
      </c>
      <c r="J541" s="94"/>
      <c r="K541" s="93">
        <f>'II_Inkunabeln+'!AW541</f>
        <v>0</v>
      </c>
      <c r="L541" s="93">
        <f>'II_Inkunabeln+'!AX541</f>
        <v>0</v>
      </c>
      <c r="AA541" s="93">
        <f>'II_Inkunabeln+'!AY541</f>
        <v>0</v>
      </c>
      <c r="AB541" s="94">
        <f>'II_Inkunabeln+'!BA541</f>
        <v>0</v>
      </c>
      <c r="AC541" s="108"/>
      <c r="AD541" s="81">
        <f>'II_Inkunabeln+'!BJ541</f>
        <v>0</v>
      </c>
    </row>
    <row r="542" spans="1:30" x14ac:dyDescent="0.25">
      <c r="A542" s="63">
        <f>'II_Inkunabeln+'!A542</f>
        <v>518</v>
      </c>
      <c r="B542" s="63" t="str">
        <f>'II_Inkunabeln+'!B542</f>
        <v>L-1490-315494018</v>
      </c>
      <c r="C542" s="63">
        <f>'II_Inkunabeln+'!C542</f>
        <v>1066963800</v>
      </c>
      <c r="D542" s="84" t="str">
        <f>'II_Inkunabeln+'!D542</f>
        <v>https://portal.dnb.de/opac.htm?method=simpleSearch&amp;cqlMode=true&amp;query=idn%3D1066963800</v>
      </c>
      <c r="E542" s="63" t="str">
        <f>'II_Inkunabeln+'!E542</f>
        <v>II 44,3a</v>
      </c>
      <c r="F542" s="63" t="str">
        <f>'II_Inkunabeln+'!H542</f>
        <v>bis 25 cm</v>
      </c>
      <c r="G542" s="93">
        <f>'II_Inkunabeln+'!AG542</f>
        <v>0</v>
      </c>
      <c r="H542" s="93">
        <f>'II_Inkunabeln+'!AP542</f>
        <v>0</v>
      </c>
      <c r="I542" s="93">
        <f>'II_Inkunabeln+'!AQ542</f>
        <v>0</v>
      </c>
      <c r="J542" s="94"/>
      <c r="K542" s="93">
        <f>'II_Inkunabeln+'!AW542</f>
        <v>0</v>
      </c>
      <c r="L542" s="93">
        <f>'II_Inkunabeln+'!AX542</f>
        <v>0</v>
      </c>
      <c r="AA542" s="93">
        <f>'II_Inkunabeln+'!AY542</f>
        <v>0</v>
      </c>
      <c r="AB542" s="94">
        <f>'II_Inkunabeln+'!BA542</f>
        <v>0</v>
      </c>
      <c r="AC542" s="108"/>
      <c r="AD542" s="81">
        <f>'II_Inkunabeln+'!BJ542</f>
        <v>0</v>
      </c>
    </row>
    <row r="543" spans="1:30" x14ac:dyDescent="0.25">
      <c r="A543" s="63">
        <f>'II_Inkunabeln+'!A543</f>
        <v>519</v>
      </c>
      <c r="B543" s="63" t="str">
        <f>'II_Inkunabeln+'!B543</f>
        <v>L-1473-32690154X</v>
      </c>
      <c r="C543" s="63">
        <f>'II_Inkunabeln+'!C543</f>
        <v>1072097877</v>
      </c>
      <c r="D543" s="84" t="str">
        <f>'II_Inkunabeln+'!D543</f>
        <v>https://portal.dnb.de/opac.htm?method=simpleSearch&amp;cqlMode=true&amp;query=idn%3D1072097877</v>
      </c>
      <c r="E543" s="63" t="str">
        <f>'II_Inkunabeln+'!E543</f>
        <v>II 44,4a</v>
      </c>
      <c r="F543" s="63">
        <f>'II_Inkunabeln+'!H543</f>
        <v>0</v>
      </c>
      <c r="G543" s="93">
        <f>'II_Inkunabeln+'!AG543</f>
        <v>0</v>
      </c>
      <c r="H543" s="93">
        <f>'II_Inkunabeln+'!AP543</f>
        <v>0</v>
      </c>
      <c r="I543" s="93">
        <f>'II_Inkunabeln+'!AQ543</f>
        <v>0</v>
      </c>
      <c r="J543" s="94"/>
      <c r="K543" s="93">
        <f>'II_Inkunabeln+'!AW543</f>
        <v>0</v>
      </c>
      <c r="L543" s="93">
        <f>'II_Inkunabeln+'!AX543</f>
        <v>0</v>
      </c>
      <c r="AA543" s="93">
        <f>'II_Inkunabeln+'!AY543</f>
        <v>0</v>
      </c>
      <c r="AB543" s="94">
        <f>'II_Inkunabeln+'!BA543</f>
        <v>0</v>
      </c>
      <c r="AC543" s="108"/>
      <c r="AD543" s="81">
        <f>'II_Inkunabeln+'!BJ543</f>
        <v>0</v>
      </c>
    </row>
    <row r="544" spans="1:30" x14ac:dyDescent="0.25">
      <c r="A544" s="63">
        <f>'II_Inkunabeln+'!A544</f>
        <v>520</v>
      </c>
      <c r="B544" s="63" t="str">
        <f>'II_Inkunabeln+'!B544</f>
        <v>L-1475-315498099</v>
      </c>
      <c r="C544" s="63">
        <f>'II_Inkunabeln+'!C544</f>
        <v>1066967830</v>
      </c>
      <c r="D544" s="84" t="str">
        <f>'II_Inkunabeln+'!D544</f>
        <v>https://portal.dnb.de/opac.htm?method=simpleSearch&amp;cqlMode=true&amp;query=idn%3D1066967830</v>
      </c>
      <c r="E544" s="63" t="str">
        <f>'II_Inkunabeln+'!E544</f>
        <v>II 44,5a</v>
      </c>
      <c r="F544" s="63" t="str">
        <f>'II_Inkunabeln+'!H544</f>
        <v>bis 35 cm</v>
      </c>
      <c r="G544" s="93">
        <f>'II_Inkunabeln+'!AG544</f>
        <v>0</v>
      </c>
      <c r="H544" s="93">
        <f>'II_Inkunabeln+'!AP544</f>
        <v>0</v>
      </c>
      <c r="I544" s="93">
        <f>'II_Inkunabeln+'!AQ544</f>
        <v>0</v>
      </c>
      <c r="J544" s="94"/>
      <c r="K544" s="93">
        <f>'II_Inkunabeln+'!AW544</f>
        <v>0</v>
      </c>
      <c r="L544" s="93">
        <f>'II_Inkunabeln+'!AX544</f>
        <v>0</v>
      </c>
      <c r="AA544" s="93">
        <f>'II_Inkunabeln+'!AY544</f>
        <v>0</v>
      </c>
      <c r="AB544" s="94">
        <f>'II_Inkunabeln+'!BA544</f>
        <v>0</v>
      </c>
      <c r="AC544" s="108"/>
      <c r="AD544" s="81">
        <f>'II_Inkunabeln+'!BJ544</f>
        <v>0</v>
      </c>
    </row>
    <row r="545" spans="1:30" x14ac:dyDescent="0.25">
      <c r="A545" s="63">
        <f>'II_Inkunabeln+'!A545</f>
        <v>521</v>
      </c>
      <c r="B545" s="63" t="str">
        <f>'II_Inkunabeln+'!B545</f>
        <v>L-1476-315495782</v>
      </c>
      <c r="C545" s="63">
        <f>'II_Inkunabeln+'!C545</f>
        <v>1066965560</v>
      </c>
      <c r="D545" s="84" t="str">
        <f>'II_Inkunabeln+'!D545</f>
        <v>https://portal.dnb.de/opac.htm?method=simpleSearch&amp;cqlMode=true&amp;query=idn%3D1066965560</v>
      </c>
      <c r="E545" s="63" t="str">
        <f>'II_Inkunabeln+'!E545</f>
        <v>II 45,1a</v>
      </c>
      <c r="F545" s="63">
        <f>'II_Inkunabeln+'!H545</f>
        <v>0</v>
      </c>
      <c r="G545" s="93">
        <f>'II_Inkunabeln+'!AG545</f>
        <v>0</v>
      </c>
      <c r="H545" s="93">
        <f>'II_Inkunabeln+'!AP545</f>
        <v>0</v>
      </c>
      <c r="I545" s="93">
        <f>'II_Inkunabeln+'!AQ545</f>
        <v>0</v>
      </c>
      <c r="J545" s="94"/>
      <c r="K545" s="93">
        <f>'II_Inkunabeln+'!AW545</f>
        <v>0</v>
      </c>
      <c r="L545" s="93">
        <f>'II_Inkunabeln+'!AX545</f>
        <v>0</v>
      </c>
      <c r="AA545" s="93">
        <f>'II_Inkunabeln+'!AY545</f>
        <v>0</v>
      </c>
      <c r="AB545" s="94">
        <f>'II_Inkunabeln+'!BA545</f>
        <v>0</v>
      </c>
      <c r="AC545" s="108"/>
      <c r="AD545" s="81">
        <f>'II_Inkunabeln+'!BJ545</f>
        <v>0</v>
      </c>
    </row>
    <row r="546" spans="1:30" x14ac:dyDescent="0.25">
      <c r="A546" s="63">
        <f>'II_Inkunabeln+'!A546</f>
        <v>522</v>
      </c>
      <c r="B546" s="63" t="str">
        <f>'II_Inkunabeln+'!B546</f>
        <v>L-1481-31549655X</v>
      </c>
      <c r="C546" s="63">
        <f>'II_Inkunabeln+'!C546</f>
        <v>1066966265</v>
      </c>
      <c r="D546" s="84" t="str">
        <f>'II_Inkunabeln+'!D546</f>
        <v>https://portal.dnb.de/opac.htm?method=simpleSearch&amp;cqlMode=true&amp;query=idn%3D1066966265</v>
      </c>
      <c r="E546" s="63" t="str">
        <f>'II_Inkunabeln+'!E546</f>
        <v>II 45,1b</v>
      </c>
      <c r="F546" s="63" t="str">
        <f>'II_Inkunabeln+'!H546</f>
        <v>bis 35 cm</v>
      </c>
      <c r="G546" s="93">
        <f>'II_Inkunabeln+'!AG546</f>
        <v>0</v>
      </c>
      <c r="H546" s="93">
        <f>'II_Inkunabeln+'!AP546</f>
        <v>0</v>
      </c>
      <c r="I546" s="93">
        <f>'II_Inkunabeln+'!AQ546</f>
        <v>0</v>
      </c>
      <c r="J546" s="94"/>
      <c r="K546" s="93">
        <f>'II_Inkunabeln+'!AW546</f>
        <v>0</v>
      </c>
      <c r="L546" s="93">
        <f>'II_Inkunabeln+'!AX546</f>
        <v>0</v>
      </c>
      <c r="AA546" s="93">
        <f>'II_Inkunabeln+'!AY546</f>
        <v>0</v>
      </c>
      <c r="AB546" s="94">
        <f>'II_Inkunabeln+'!BA546</f>
        <v>0</v>
      </c>
      <c r="AC546" s="108"/>
      <c r="AD546" s="81">
        <f>'II_Inkunabeln+'!BJ546</f>
        <v>0</v>
      </c>
    </row>
    <row r="547" spans="1:30" x14ac:dyDescent="0.25">
      <c r="A547" s="63">
        <f>'II_Inkunabeln+'!A547</f>
        <v>523</v>
      </c>
      <c r="B547" s="63" t="str">
        <f>'II_Inkunabeln+'!B547</f>
        <v>L-1475-326901868</v>
      </c>
      <c r="C547" s="63">
        <f>'II_Inkunabeln+'!C547</f>
        <v>1072098342</v>
      </c>
      <c r="D547" s="84" t="str">
        <f>'II_Inkunabeln+'!D547</f>
        <v>https://portal.dnb.de/opac.htm?method=simpleSearch&amp;cqlMode=true&amp;query=idn%3D1072098342</v>
      </c>
      <c r="E547" s="63" t="str">
        <f>'II_Inkunabeln+'!E547</f>
        <v>II 46,1a</v>
      </c>
      <c r="F547" s="63">
        <f>'II_Inkunabeln+'!H547</f>
        <v>0</v>
      </c>
      <c r="G547" s="93">
        <f>'II_Inkunabeln+'!AG547</f>
        <v>0</v>
      </c>
      <c r="H547" s="93">
        <f>'II_Inkunabeln+'!AP547</f>
        <v>0</v>
      </c>
      <c r="I547" s="93">
        <f>'II_Inkunabeln+'!AQ547</f>
        <v>0</v>
      </c>
      <c r="J547" s="94"/>
      <c r="K547" s="93">
        <f>'II_Inkunabeln+'!AW547</f>
        <v>0</v>
      </c>
      <c r="L547" s="93">
        <f>'II_Inkunabeln+'!AX547</f>
        <v>0</v>
      </c>
      <c r="AA547" s="93">
        <f>'II_Inkunabeln+'!AY547</f>
        <v>0</v>
      </c>
      <c r="AB547" s="94">
        <f>'II_Inkunabeln+'!BA547</f>
        <v>0</v>
      </c>
      <c r="AC547" s="108"/>
      <c r="AD547" s="81">
        <f>'II_Inkunabeln+'!BJ547</f>
        <v>0</v>
      </c>
    </row>
    <row r="548" spans="1:30" x14ac:dyDescent="0.25">
      <c r="A548" s="63">
        <f>'II_Inkunabeln+'!A548</f>
        <v>524</v>
      </c>
      <c r="B548" s="63" t="str">
        <f>'II_Inkunabeln+'!B548</f>
        <v>L-1480-315502002</v>
      </c>
      <c r="C548" s="63">
        <f>'II_Inkunabeln+'!C548</f>
        <v>1066971625</v>
      </c>
      <c r="D548" s="84" t="str">
        <f>'II_Inkunabeln+'!D548</f>
        <v>https://portal.dnb.de/opac.htm?method=simpleSearch&amp;cqlMode=true&amp;query=idn%3D1066971625</v>
      </c>
      <c r="E548" s="63" t="str">
        <f>'II_Inkunabeln+'!E548</f>
        <v>II 48,1a</v>
      </c>
      <c r="F548" s="63">
        <f>'II_Inkunabeln+'!H548</f>
        <v>0</v>
      </c>
      <c r="G548" s="93">
        <f>'II_Inkunabeln+'!AG548</f>
        <v>0</v>
      </c>
      <c r="H548" s="93">
        <f>'II_Inkunabeln+'!AP548</f>
        <v>0</v>
      </c>
      <c r="I548" s="93">
        <f>'II_Inkunabeln+'!AQ548</f>
        <v>0</v>
      </c>
      <c r="J548" s="94"/>
      <c r="K548" s="93">
        <f>'II_Inkunabeln+'!AW548</f>
        <v>0</v>
      </c>
      <c r="L548" s="93">
        <f>'II_Inkunabeln+'!AX548</f>
        <v>0</v>
      </c>
      <c r="AA548" s="93">
        <f>'II_Inkunabeln+'!AY548</f>
        <v>0</v>
      </c>
      <c r="AB548" s="94">
        <f>'II_Inkunabeln+'!BA548</f>
        <v>0</v>
      </c>
      <c r="AC548" s="108"/>
      <c r="AD548" s="81">
        <f>'II_Inkunabeln+'!BJ548</f>
        <v>0</v>
      </c>
    </row>
    <row r="549" spans="1:30" x14ac:dyDescent="0.25">
      <c r="A549" s="63">
        <f>'II_Inkunabeln+'!A549</f>
        <v>525</v>
      </c>
      <c r="B549" s="63" t="str">
        <f>'II_Inkunabeln+'!B549</f>
        <v>L-1492-315501766</v>
      </c>
      <c r="C549" s="63">
        <f>'II_Inkunabeln+'!C549</f>
        <v>1066971390</v>
      </c>
      <c r="D549" s="84" t="str">
        <f>'II_Inkunabeln+'!D549</f>
        <v>https://portal.dnb.de/opac.htm?method=simpleSearch&amp;cqlMode=true&amp;query=idn%3D1066971390</v>
      </c>
      <c r="E549" s="63" t="str">
        <f>'II_Inkunabeln+'!E549</f>
        <v>II 49,1a</v>
      </c>
      <c r="F549" s="63">
        <f>'II_Inkunabeln+'!H549</f>
        <v>0</v>
      </c>
      <c r="G549" s="93">
        <f>'II_Inkunabeln+'!AG549</f>
        <v>0</v>
      </c>
      <c r="H549" s="93">
        <f>'II_Inkunabeln+'!AP549</f>
        <v>0</v>
      </c>
      <c r="I549" s="93">
        <f>'II_Inkunabeln+'!AQ549</f>
        <v>0</v>
      </c>
      <c r="J549" s="94"/>
      <c r="K549" s="93">
        <f>'II_Inkunabeln+'!AW549</f>
        <v>0</v>
      </c>
      <c r="L549" s="93">
        <f>'II_Inkunabeln+'!AX549</f>
        <v>0</v>
      </c>
      <c r="AA549" s="93">
        <f>'II_Inkunabeln+'!AY549</f>
        <v>0</v>
      </c>
      <c r="AB549" s="94">
        <f>'II_Inkunabeln+'!BA549</f>
        <v>0</v>
      </c>
      <c r="AC549" s="108"/>
      <c r="AD549" s="81">
        <f>'II_Inkunabeln+'!BJ549</f>
        <v>0</v>
      </c>
    </row>
    <row r="550" spans="1:30" x14ac:dyDescent="0.25">
      <c r="A550" s="63">
        <f>'II_Inkunabeln+'!A550</f>
        <v>526</v>
      </c>
      <c r="B550" s="63" t="str">
        <f>'II_Inkunabeln+'!B550</f>
        <v>L-1484-327281405</v>
      </c>
      <c r="C550" s="63">
        <f>'II_Inkunabeln+'!C550</f>
        <v>1072322579</v>
      </c>
      <c r="D550" s="84" t="str">
        <f>'II_Inkunabeln+'!D550</f>
        <v>https://portal.dnb.de/opac.htm?method=simpleSearch&amp;cqlMode=true&amp;query=idn%3D1072322579</v>
      </c>
      <c r="E550" s="63" t="str">
        <f>'II_Inkunabeln+'!E550</f>
        <v>II 50,1b</v>
      </c>
      <c r="F550" s="63">
        <f>'II_Inkunabeln+'!H550</f>
        <v>0</v>
      </c>
      <c r="G550" s="93">
        <f>'II_Inkunabeln+'!AG550</f>
        <v>0</v>
      </c>
      <c r="H550" s="93">
        <f>'II_Inkunabeln+'!AP550</f>
        <v>0</v>
      </c>
      <c r="I550" s="93">
        <f>'II_Inkunabeln+'!AQ550</f>
        <v>0</v>
      </c>
      <c r="J550" s="94"/>
      <c r="K550" s="93">
        <f>'II_Inkunabeln+'!AW550</f>
        <v>0</v>
      </c>
      <c r="L550" s="93">
        <f>'II_Inkunabeln+'!AX550</f>
        <v>0</v>
      </c>
      <c r="AA550" s="93">
        <f>'II_Inkunabeln+'!AY550</f>
        <v>0</v>
      </c>
      <c r="AB550" s="94">
        <f>'II_Inkunabeln+'!BA550</f>
        <v>0</v>
      </c>
      <c r="AC550" s="108"/>
      <c r="AD550" s="81">
        <f>'II_Inkunabeln+'!BJ550</f>
        <v>0</v>
      </c>
    </row>
    <row r="551" spans="1:30" x14ac:dyDescent="0.25">
      <c r="A551" s="63">
        <f>'II_Inkunabeln+'!A551</f>
        <v>527</v>
      </c>
      <c r="B551" s="63" t="str">
        <f>'II_Inkunabeln+'!B551</f>
        <v>L-1480-327281618</v>
      </c>
      <c r="C551" s="63">
        <f>'II_Inkunabeln+'!C551</f>
        <v>1072322838</v>
      </c>
      <c r="D551" s="84" t="str">
        <f>'II_Inkunabeln+'!D551</f>
        <v>https://portal.dnb.de/opac.htm?method=simpleSearch&amp;cqlMode=true&amp;query=idn%3D1072322838</v>
      </c>
      <c r="E551" s="63" t="str">
        <f>'II_Inkunabeln+'!E551</f>
        <v>II 51,1b</v>
      </c>
      <c r="F551" s="63">
        <f>'II_Inkunabeln+'!H551</f>
        <v>0</v>
      </c>
      <c r="G551" s="93">
        <f>'II_Inkunabeln+'!AG551</f>
        <v>0</v>
      </c>
      <c r="H551" s="93">
        <f>'II_Inkunabeln+'!AP551</f>
        <v>0</v>
      </c>
      <c r="I551" s="93">
        <f>'II_Inkunabeln+'!AQ551</f>
        <v>0</v>
      </c>
      <c r="J551" s="94"/>
      <c r="K551" s="93">
        <f>'II_Inkunabeln+'!AW551</f>
        <v>0</v>
      </c>
      <c r="L551" s="93">
        <f>'II_Inkunabeln+'!AX551</f>
        <v>0</v>
      </c>
      <c r="AA551" s="93">
        <f>'II_Inkunabeln+'!AY551</f>
        <v>0</v>
      </c>
      <c r="AB551" s="94">
        <f>'II_Inkunabeln+'!BA551</f>
        <v>0</v>
      </c>
      <c r="AC551" s="108"/>
      <c r="AD551" s="81">
        <f>'II_Inkunabeln+'!BJ551</f>
        <v>0</v>
      </c>
    </row>
    <row r="552" spans="1:30" x14ac:dyDescent="0.25">
      <c r="A552" s="63">
        <f>'II_Inkunabeln+'!A552</f>
        <v>528</v>
      </c>
      <c r="B552" s="63" t="str">
        <f>'II_Inkunabeln+'!B552</f>
        <v>L-1476-315497963</v>
      </c>
      <c r="C552" s="63">
        <f>'II_Inkunabeln+'!C552</f>
        <v>1066967709</v>
      </c>
      <c r="D552" s="84" t="str">
        <f>'II_Inkunabeln+'!D552</f>
        <v>https://portal.dnb.de/opac.htm?method=simpleSearch&amp;cqlMode=true&amp;query=idn%3D1066967709</v>
      </c>
      <c r="E552" s="63" t="str">
        <f>'II_Inkunabeln+'!E552</f>
        <v>II 51,1b (angebunden)</v>
      </c>
      <c r="F552" s="63">
        <f>'II_Inkunabeln+'!H552</f>
        <v>0</v>
      </c>
      <c r="G552" s="93">
        <f>'II_Inkunabeln+'!AG552</f>
        <v>0</v>
      </c>
      <c r="H552" s="93">
        <f>'II_Inkunabeln+'!AP552</f>
        <v>0</v>
      </c>
      <c r="I552" s="93">
        <f>'II_Inkunabeln+'!AQ552</f>
        <v>0</v>
      </c>
      <c r="J552" s="94"/>
      <c r="K552" s="93">
        <f>'II_Inkunabeln+'!AW552</f>
        <v>0</v>
      </c>
      <c r="L552" s="93">
        <f>'II_Inkunabeln+'!AX552</f>
        <v>0</v>
      </c>
      <c r="AA552" s="93">
        <f>'II_Inkunabeln+'!AY552</f>
        <v>0</v>
      </c>
      <c r="AB552" s="94">
        <f>'II_Inkunabeln+'!BA552</f>
        <v>0</v>
      </c>
      <c r="AC552" s="108"/>
      <c r="AD552" s="81">
        <f>'II_Inkunabeln+'!BJ552</f>
        <v>0</v>
      </c>
    </row>
    <row r="553" spans="1:30" x14ac:dyDescent="0.25">
      <c r="A553" s="63">
        <f>'II_Inkunabeln+'!A553</f>
        <v>529</v>
      </c>
      <c r="B553" s="63" t="str">
        <f>'II_Inkunabeln+'!B553</f>
        <v>L-1480-315502282</v>
      </c>
      <c r="C553" s="63">
        <f>'II_Inkunabeln+'!C553</f>
        <v>1066971889</v>
      </c>
      <c r="D553" s="84" t="str">
        <f>'II_Inkunabeln+'!D553</f>
        <v>https://portal.dnb.de/opac.htm?method=simpleSearch&amp;cqlMode=true&amp;query=idn%3D1066971889</v>
      </c>
      <c r="E553" s="63" t="str">
        <f>'II_Inkunabeln+'!E553</f>
        <v>II 51,1c</v>
      </c>
      <c r="F553" s="63">
        <f>'II_Inkunabeln+'!H553</f>
        <v>0</v>
      </c>
      <c r="G553" s="93">
        <f>'II_Inkunabeln+'!AG553</f>
        <v>0</v>
      </c>
      <c r="H553" s="93">
        <f>'II_Inkunabeln+'!AP553</f>
        <v>0</v>
      </c>
      <c r="I553" s="93">
        <f>'II_Inkunabeln+'!AQ553</f>
        <v>0</v>
      </c>
      <c r="J553" s="94"/>
      <c r="K553" s="93">
        <f>'II_Inkunabeln+'!AW553</f>
        <v>0</v>
      </c>
      <c r="L553" s="93">
        <f>'II_Inkunabeln+'!AX553</f>
        <v>0</v>
      </c>
      <c r="AA553" s="93">
        <f>'II_Inkunabeln+'!AY553</f>
        <v>0</v>
      </c>
      <c r="AB553" s="94">
        <f>'II_Inkunabeln+'!BA553</f>
        <v>0</v>
      </c>
      <c r="AC553" s="108"/>
      <c r="AD553" s="81">
        <f>'II_Inkunabeln+'!BJ553</f>
        <v>0</v>
      </c>
    </row>
    <row r="554" spans="1:30" x14ac:dyDescent="0.25">
      <c r="A554" s="63">
        <f>'II_Inkunabeln+'!A554</f>
        <v>530</v>
      </c>
      <c r="B554" s="63" t="str">
        <f>'II_Inkunabeln+'!B554</f>
        <v>L-1480-315501715</v>
      </c>
      <c r="C554" s="63" t="str">
        <f>'II_Inkunabeln+'!C554</f>
        <v>106697134X</v>
      </c>
      <c r="D554" s="84" t="str">
        <f>'II_Inkunabeln+'!D554</f>
        <v>https://portal.dnb.de/opac.htm?method=simpleSearch&amp;cqlMode=true&amp;query=idn%3D106697134X</v>
      </c>
      <c r="E554" s="63" t="str">
        <f>'II_Inkunabeln+'!E554</f>
        <v>II 52,2a</v>
      </c>
      <c r="F554" s="63">
        <f>'II_Inkunabeln+'!H554</f>
        <v>0</v>
      </c>
      <c r="G554" s="93">
        <f>'II_Inkunabeln+'!AG554</f>
        <v>0</v>
      </c>
      <c r="H554" s="93">
        <f>'II_Inkunabeln+'!AP554</f>
        <v>0</v>
      </c>
      <c r="I554" s="93">
        <f>'II_Inkunabeln+'!AQ554</f>
        <v>0</v>
      </c>
      <c r="J554" s="94"/>
      <c r="K554" s="93">
        <f>'II_Inkunabeln+'!AW554</f>
        <v>0</v>
      </c>
      <c r="L554" s="93">
        <f>'II_Inkunabeln+'!AX554</f>
        <v>0</v>
      </c>
      <c r="AA554" s="93">
        <f>'II_Inkunabeln+'!AY554</f>
        <v>0</v>
      </c>
      <c r="AB554" s="94">
        <f>'II_Inkunabeln+'!BA554</f>
        <v>0</v>
      </c>
      <c r="AC554" s="108"/>
      <c r="AD554" s="81">
        <f>'II_Inkunabeln+'!BJ554</f>
        <v>0</v>
      </c>
    </row>
    <row r="555" spans="1:30" x14ac:dyDescent="0.25">
      <c r="A555" s="63">
        <f>'II_Inkunabeln+'!A555</f>
        <v>531</v>
      </c>
      <c r="B555" s="63" t="str">
        <f>'II_Inkunabeln+'!B555</f>
        <v>L-1493-315495359</v>
      </c>
      <c r="C555" s="63" t="str">
        <f>'II_Inkunabeln+'!C555</f>
        <v>106696520X</v>
      </c>
      <c r="D555" s="84" t="str">
        <f>'II_Inkunabeln+'!D555</f>
        <v>https://portal.dnb.de/opac.htm?method=simpleSearch&amp;cqlMode=true&amp;query=idn%3D106696520X</v>
      </c>
      <c r="E555" s="63" t="str">
        <f>'II_Inkunabeln+'!E555</f>
        <v>II 52,2b</v>
      </c>
      <c r="F555" s="63">
        <f>'II_Inkunabeln+'!H555</f>
        <v>0</v>
      </c>
      <c r="G555" s="93">
        <f>'II_Inkunabeln+'!AG555</f>
        <v>0</v>
      </c>
      <c r="H555" s="93">
        <f>'II_Inkunabeln+'!AP555</f>
        <v>0</v>
      </c>
      <c r="I555" s="93">
        <f>'II_Inkunabeln+'!AQ555</f>
        <v>0</v>
      </c>
      <c r="J555" s="94"/>
      <c r="K555" s="93">
        <f>'II_Inkunabeln+'!AW555</f>
        <v>0</v>
      </c>
      <c r="L555" s="93">
        <f>'II_Inkunabeln+'!AX555</f>
        <v>0</v>
      </c>
      <c r="AA555" s="93">
        <f>'II_Inkunabeln+'!AY555</f>
        <v>0</v>
      </c>
      <c r="AB555" s="94">
        <f>'II_Inkunabeln+'!BA555</f>
        <v>0</v>
      </c>
      <c r="AC555" s="108"/>
      <c r="AD555" s="81">
        <f>'II_Inkunabeln+'!BJ555</f>
        <v>0</v>
      </c>
    </row>
    <row r="556" spans="1:30" x14ac:dyDescent="0.25">
      <c r="A556" s="63">
        <f>'II_Inkunabeln+'!A556</f>
        <v>532</v>
      </c>
      <c r="B556" s="63" t="str">
        <f>'II_Inkunabeln+'!B556</f>
        <v>L-1470-315497491</v>
      </c>
      <c r="C556" s="63">
        <f>'II_Inkunabeln+'!C556</f>
        <v>1066967229</v>
      </c>
      <c r="D556" s="84" t="str">
        <f>'II_Inkunabeln+'!D556</f>
        <v>https://portal.dnb.de/opac.htm?method=simpleSearch&amp;cqlMode=true&amp;query=idn%3D1066967229</v>
      </c>
      <c r="E556" s="63" t="str">
        <f>'II_Inkunabeln+'!E556</f>
        <v>II 54,1a</v>
      </c>
      <c r="F556" s="63">
        <f>'II_Inkunabeln+'!H556</f>
        <v>0</v>
      </c>
      <c r="G556" s="93">
        <f>'II_Inkunabeln+'!AG556</f>
        <v>0</v>
      </c>
      <c r="H556" s="93">
        <f>'II_Inkunabeln+'!AP556</f>
        <v>0</v>
      </c>
      <c r="I556" s="93">
        <f>'II_Inkunabeln+'!AQ556</f>
        <v>0</v>
      </c>
      <c r="J556" s="94"/>
      <c r="K556" s="93">
        <f>'II_Inkunabeln+'!AW556</f>
        <v>0</v>
      </c>
      <c r="L556" s="93">
        <f>'II_Inkunabeln+'!AX556</f>
        <v>0</v>
      </c>
      <c r="AA556" s="93">
        <f>'II_Inkunabeln+'!AY556</f>
        <v>0</v>
      </c>
      <c r="AB556" s="94">
        <f>'II_Inkunabeln+'!BA556</f>
        <v>0</v>
      </c>
      <c r="AC556" s="108"/>
      <c r="AD556" s="81">
        <f>'II_Inkunabeln+'!BJ556</f>
        <v>0</v>
      </c>
    </row>
    <row r="557" spans="1:30" x14ac:dyDescent="0.25">
      <c r="A557" s="63">
        <f>'II_Inkunabeln+'!A557</f>
        <v>533</v>
      </c>
      <c r="B557" s="63" t="str">
        <f>'II_Inkunabeln+'!B557</f>
        <v>L-1481-326902260</v>
      </c>
      <c r="C557" s="63">
        <f>'II_Inkunabeln+'!C557</f>
        <v>1072098903</v>
      </c>
      <c r="D557" s="84" t="str">
        <f>'II_Inkunabeln+'!D557</f>
        <v>https://portal.dnb.de/opac.htm?method=simpleSearch&amp;cqlMode=true&amp;query=idn%3D1072098903</v>
      </c>
      <c r="E557" s="63" t="str">
        <f>'II_Inkunabeln+'!E557</f>
        <v>II 56,1a</v>
      </c>
      <c r="F557" s="63">
        <f>'II_Inkunabeln+'!H557</f>
        <v>0</v>
      </c>
      <c r="G557" s="93">
        <f>'II_Inkunabeln+'!AG557</f>
        <v>0</v>
      </c>
      <c r="H557" s="93">
        <f>'II_Inkunabeln+'!AP557</f>
        <v>0</v>
      </c>
      <c r="I557" s="93">
        <f>'II_Inkunabeln+'!AQ557</f>
        <v>0</v>
      </c>
      <c r="J557" s="94"/>
      <c r="K557" s="93">
        <f>'II_Inkunabeln+'!AW557</f>
        <v>0</v>
      </c>
      <c r="L557" s="93">
        <f>'II_Inkunabeln+'!AX557</f>
        <v>0</v>
      </c>
      <c r="AA557" s="93">
        <f>'II_Inkunabeln+'!AY557</f>
        <v>0</v>
      </c>
      <c r="AB557" s="94">
        <f>'II_Inkunabeln+'!BA557</f>
        <v>0</v>
      </c>
      <c r="AC557" s="108"/>
      <c r="AD557" s="81">
        <f>'II_Inkunabeln+'!BJ557</f>
        <v>0</v>
      </c>
    </row>
    <row r="558" spans="1:30" x14ac:dyDescent="0.25">
      <c r="A558" s="63">
        <f>'II_Inkunabeln+'!A558</f>
        <v>534</v>
      </c>
      <c r="B558" s="63" t="str">
        <f>'II_Inkunabeln+'!B558</f>
        <v>L-1491-326902686</v>
      </c>
      <c r="C558" s="63">
        <f>'II_Inkunabeln+'!C558</f>
        <v>1072099748</v>
      </c>
      <c r="D558" s="84" t="str">
        <f>'II_Inkunabeln+'!D558</f>
        <v>https://portal.dnb.de/opac.htm?method=simpleSearch&amp;cqlMode=true&amp;query=idn%3D1072099748</v>
      </c>
      <c r="E558" s="63" t="str">
        <f>'II_Inkunabeln+'!E558</f>
        <v>II 61,1a</v>
      </c>
      <c r="F558" s="63">
        <f>'II_Inkunabeln+'!H558</f>
        <v>0</v>
      </c>
      <c r="G558" s="93">
        <f>'II_Inkunabeln+'!AG558</f>
        <v>0</v>
      </c>
      <c r="H558" s="93">
        <f>'II_Inkunabeln+'!AP558</f>
        <v>0</v>
      </c>
      <c r="I558" s="93">
        <f>'II_Inkunabeln+'!AQ558</f>
        <v>0</v>
      </c>
      <c r="J558" s="94"/>
      <c r="K558" s="93">
        <f>'II_Inkunabeln+'!AW558</f>
        <v>0</v>
      </c>
      <c r="L558" s="93">
        <f>'II_Inkunabeln+'!AX558</f>
        <v>0</v>
      </c>
      <c r="AA558" s="93">
        <f>'II_Inkunabeln+'!AY558</f>
        <v>0</v>
      </c>
      <c r="AB558" s="94">
        <f>'II_Inkunabeln+'!BA558</f>
        <v>0</v>
      </c>
      <c r="AC558" s="108"/>
      <c r="AD558" s="81">
        <f>'II_Inkunabeln+'!BJ558</f>
        <v>0</v>
      </c>
    </row>
    <row r="559" spans="1:30" x14ac:dyDescent="0.25">
      <c r="A559" s="63">
        <f>'II_Inkunabeln+'!A559</f>
        <v>535</v>
      </c>
      <c r="B559" s="63" t="str">
        <f>'II_Inkunabeln+'!B559</f>
        <v>L-1480-315496304</v>
      </c>
      <c r="C559" s="63">
        <f>'II_Inkunabeln+'!C559</f>
        <v>1066966001</v>
      </c>
      <c r="D559" s="84" t="str">
        <f>'II_Inkunabeln+'!D559</f>
        <v>https://portal.dnb.de/opac.htm?method=simpleSearch&amp;cqlMode=true&amp;query=idn%3D1066966001</v>
      </c>
      <c r="E559" s="63" t="str">
        <f>'II_Inkunabeln+'!E559</f>
        <v>II 62,1a</v>
      </c>
      <c r="F559" s="63">
        <f>'II_Inkunabeln+'!H559</f>
        <v>0</v>
      </c>
      <c r="G559" s="93">
        <f>'II_Inkunabeln+'!AG559</f>
        <v>0</v>
      </c>
      <c r="H559" s="93">
        <f>'II_Inkunabeln+'!AP559</f>
        <v>0</v>
      </c>
      <c r="I559" s="93">
        <f>'II_Inkunabeln+'!AQ559</f>
        <v>0</v>
      </c>
      <c r="J559" s="94"/>
      <c r="K559" s="93">
        <f>'II_Inkunabeln+'!AW559</f>
        <v>0</v>
      </c>
      <c r="L559" s="93">
        <f>'II_Inkunabeln+'!AX559</f>
        <v>0</v>
      </c>
      <c r="AA559" s="93">
        <f>'II_Inkunabeln+'!AY559</f>
        <v>0</v>
      </c>
      <c r="AB559" s="94">
        <f>'II_Inkunabeln+'!BA559</f>
        <v>0</v>
      </c>
      <c r="AC559" s="108"/>
      <c r="AD559" s="81">
        <f>'II_Inkunabeln+'!BJ559</f>
        <v>0</v>
      </c>
    </row>
    <row r="560" spans="1:30" x14ac:dyDescent="0.25">
      <c r="A560" s="63">
        <f>'II_Inkunabeln+'!A560</f>
        <v>536</v>
      </c>
      <c r="B560" s="63" t="str">
        <f>'II_Inkunabeln+'!B560</f>
        <v>L-1482-315499834</v>
      </c>
      <c r="C560" s="63">
        <f>'II_Inkunabeln+'!C560</f>
        <v>1066969507</v>
      </c>
      <c r="D560" s="84" t="str">
        <f>'II_Inkunabeln+'!D560</f>
        <v>https://portal.dnb.de/opac.htm?method=simpleSearch&amp;cqlMode=true&amp;query=idn%3D1066969507</v>
      </c>
      <c r="E560" s="63" t="str">
        <f>'II_Inkunabeln+'!E560</f>
        <v>II 62,2a</v>
      </c>
      <c r="F560" s="63">
        <f>'II_Inkunabeln+'!H560</f>
        <v>0</v>
      </c>
      <c r="G560" s="93">
        <f>'II_Inkunabeln+'!AG560</f>
        <v>0</v>
      </c>
      <c r="H560" s="93">
        <f>'II_Inkunabeln+'!AP560</f>
        <v>0</v>
      </c>
      <c r="I560" s="93">
        <f>'II_Inkunabeln+'!AQ560</f>
        <v>0</v>
      </c>
      <c r="J560" s="94"/>
      <c r="K560" s="93">
        <f>'II_Inkunabeln+'!AW560</f>
        <v>0</v>
      </c>
      <c r="L560" s="93">
        <f>'II_Inkunabeln+'!AX560</f>
        <v>0</v>
      </c>
      <c r="AA560" s="93">
        <f>'II_Inkunabeln+'!AY560</f>
        <v>0</v>
      </c>
      <c r="AB560" s="94">
        <f>'II_Inkunabeln+'!BA560</f>
        <v>0</v>
      </c>
      <c r="AC560" s="108"/>
      <c r="AD560" s="81">
        <f>'II_Inkunabeln+'!BJ560</f>
        <v>0</v>
      </c>
    </row>
    <row r="561" spans="1:30" x14ac:dyDescent="0.25">
      <c r="A561" s="63">
        <f>'II_Inkunabeln+'!A561</f>
        <v>537</v>
      </c>
      <c r="B561" s="63" t="str">
        <f>'II_Inkunabeln+'!B561</f>
        <v>L-1497-31550336X</v>
      </c>
      <c r="C561" s="63">
        <f>'II_Inkunabeln+'!C561</f>
        <v>1066972982</v>
      </c>
      <c r="D561" s="84" t="str">
        <f>'II_Inkunabeln+'!D561</f>
        <v>https://portal.dnb.de/opac.htm?method=simpleSearch&amp;cqlMode=true&amp;query=idn%3D1066972982</v>
      </c>
      <c r="E561" s="63" t="str">
        <f>'II_Inkunabeln+'!E561</f>
        <v>II 62,3a</v>
      </c>
      <c r="F561" s="63">
        <f>'II_Inkunabeln+'!H561</f>
        <v>0</v>
      </c>
      <c r="G561" s="93">
        <f>'II_Inkunabeln+'!AG561</f>
        <v>0</v>
      </c>
      <c r="H561" s="93">
        <f>'II_Inkunabeln+'!AP561</f>
        <v>0</v>
      </c>
      <c r="I561" s="93">
        <f>'II_Inkunabeln+'!AQ561</f>
        <v>0</v>
      </c>
      <c r="J561" s="94"/>
      <c r="K561" s="93">
        <f>'II_Inkunabeln+'!AW561</f>
        <v>0</v>
      </c>
      <c r="L561" s="93">
        <f>'II_Inkunabeln+'!AX561</f>
        <v>0</v>
      </c>
      <c r="AA561" s="93">
        <f>'II_Inkunabeln+'!AY561</f>
        <v>0</v>
      </c>
      <c r="AB561" s="94">
        <f>'II_Inkunabeln+'!BA561</f>
        <v>0</v>
      </c>
      <c r="AC561" s="108"/>
      <c r="AD561" s="81">
        <f>'II_Inkunabeln+'!BJ561</f>
        <v>0</v>
      </c>
    </row>
    <row r="562" spans="1:30" x14ac:dyDescent="0.25">
      <c r="A562" s="63">
        <f>'II_Inkunabeln+'!A562</f>
        <v>538</v>
      </c>
      <c r="B562" s="63" t="str">
        <f>'II_Inkunabeln+'!B562</f>
        <v>L-1496-326902872</v>
      </c>
      <c r="C562" s="63">
        <f>'II_Inkunabeln+'!C562</f>
        <v>1072100134</v>
      </c>
      <c r="D562" s="84" t="str">
        <f>'II_Inkunabeln+'!D562</f>
        <v>https://portal.dnb.de/opac.htm?method=simpleSearch&amp;cqlMode=true&amp;query=idn%3D1072100134</v>
      </c>
      <c r="E562" s="63" t="str">
        <f>'II_Inkunabeln+'!E562</f>
        <v>II 62,4a</v>
      </c>
      <c r="F562" s="63">
        <f>'II_Inkunabeln+'!H562</f>
        <v>0</v>
      </c>
      <c r="G562" s="93">
        <f>'II_Inkunabeln+'!AG562</f>
        <v>0</v>
      </c>
      <c r="H562" s="93">
        <f>'II_Inkunabeln+'!AP562</f>
        <v>0</v>
      </c>
      <c r="I562" s="93">
        <f>'II_Inkunabeln+'!AQ562</f>
        <v>0</v>
      </c>
      <c r="J562" s="94"/>
      <c r="K562" s="93">
        <f>'II_Inkunabeln+'!AW562</f>
        <v>0</v>
      </c>
      <c r="L562" s="93">
        <f>'II_Inkunabeln+'!AX562</f>
        <v>0</v>
      </c>
      <c r="AA562" s="93">
        <f>'II_Inkunabeln+'!AY562</f>
        <v>0</v>
      </c>
      <c r="AB562" s="94">
        <f>'II_Inkunabeln+'!BA562</f>
        <v>0</v>
      </c>
      <c r="AC562" s="108"/>
      <c r="AD562" s="81">
        <f>'II_Inkunabeln+'!BJ562</f>
        <v>0</v>
      </c>
    </row>
    <row r="563" spans="1:30" x14ac:dyDescent="0.25">
      <c r="A563" s="63">
        <f>'II_Inkunabeln+'!A563</f>
        <v>539</v>
      </c>
      <c r="B563" s="63" t="str">
        <f>'II_Inkunabeln+'!B563</f>
        <v>L-1497-315496126</v>
      </c>
      <c r="C563" s="63">
        <f>'II_Inkunabeln+'!C563</f>
        <v>1066965854</v>
      </c>
      <c r="D563" s="84" t="str">
        <f>'II_Inkunabeln+'!D563</f>
        <v>https://portal.dnb.de/opac.htm?method=simpleSearch&amp;cqlMode=true&amp;query=idn%3D1066965854</v>
      </c>
      <c r="E563" s="63" t="str">
        <f>'II_Inkunabeln+'!E563</f>
        <v>II 62,4b</v>
      </c>
      <c r="F563" s="63">
        <f>'II_Inkunabeln+'!H563</f>
        <v>0</v>
      </c>
      <c r="G563" s="93">
        <f>'II_Inkunabeln+'!AG563</f>
        <v>0</v>
      </c>
      <c r="H563" s="93">
        <f>'II_Inkunabeln+'!AP563</f>
        <v>0</v>
      </c>
      <c r="I563" s="93">
        <f>'II_Inkunabeln+'!AQ563</f>
        <v>0</v>
      </c>
      <c r="J563" s="94"/>
      <c r="K563" s="93">
        <f>'II_Inkunabeln+'!AW563</f>
        <v>0</v>
      </c>
      <c r="L563" s="93">
        <f>'II_Inkunabeln+'!AX563</f>
        <v>0</v>
      </c>
      <c r="AA563" s="93">
        <f>'II_Inkunabeln+'!AY563</f>
        <v>0</v>
      </c>
      <c r="AB563" s="94">
        <f>'II_Inkunabeln+'!BA563</f>
        <v>0</v>
      </c>
      <c r="AC563" s="108"/>
      <c r="AD563" s="81">
        <f>'II_Inkunabeln+'!BJ563</f>
        <v>0</v>
      </c>
    </row>
    <row r="564" spans="1:30" x14ac:dyDescent="0.25">
      <c r="A564" s="63">
        <f>'II_Inkunabeln+'!A564</f>
        <v>540</v>
      </c>
      <c r="B564" s="63" t="str">
        <f>'II_Inkunabeln+'!B564</f>
        <v>L-1499-327281782</v>
      </c>
      <c r="C564" s="63">
        <f>'II_Inkunabeln+'!C564</f>
        <v>1072323095</v>
      </c>
      <c r="D564" s="84" t="str">
        <f>'II_Inkunabeln+'!D564</f>
        <v>https://portal.dnb.de/opac.htm?method=simpleSearch&amp;cqlMode=true&amp;query=idn%3D1072323095</v>
      </c>
      <c r="E564" s="63" t="str">
        <f>'II_Inkunabeln+'!E564</f>
        <v>II 62,5a</v>
      </c>
      <c r="F564" s="63">
        <f>'II_Inkunabeln+'!H564</f>
        <v>0</v>
      </c>
      <c r="G564" s="93">
        <f>'II_Inkunabeln+'!AG564</f>
        <v>0</v>
      </c>
      <c r="H564" s="93">
        <f>'II_Inkunabeln+'!AP564</f>
        <v>0</v>
      </c>
      <c r="I564" s="93">
        <f>'II_Inkunabeln+'!AQ564</f>
        <v>0</v>
      </c>
      <c r="J564" s="94"/>
      <c r="K564" s="93">
        <f>'II_Inkunabeln+'!AW564</f>
        <v>0</v>
      </c>
      <c r="L564" s="93">
        <f>'II_Inkunabeln+'!AX564</f>
        <v>0</v>
      </c>
      <c r="AA564" s="93">
        <f>'II_Inkunabeln+'!AY564</f>
        <v>0</v>
      </c>
      <c r="AB564" s="94">
        <f>'II_Inkunabeln+'!BA564</f>
        <v>0</v>
      </c>
      <c r="AC564" s="108"/>
      <c r="AD564" s="81">
        <f>'II_Inkunabeln+'!BJ564</f>
        <v>0</v>
      </c>
    </row>
    <row r="565" spans="1:30" x14ac:dyDescent="0.25">
      <c r="A565" s="63">
        <f>'II_Inkunabeln+'!A565</f>
        <v>541</v>
      </c>
      <c r="B565" s="63" t="str">
        <f>'II_Inkunabeln+'!B565</f>
        <v>L-1476-327679115</v>
      </c>
      <c r="C565" s="63" t="str">
        <f>'II_Inkunabeln+'!C565</f>
        <v>107237806X</v>
      </c>
      <c r="D565" s="84" t="str">
        <f>'II_Inkunabeln+'!D565</f>
        <v>https://portal.dnb.de/opac.htm?method=simpleSearch&amp;cqlMode=true&amp;query=idn%3D107237806X</v>
      </c>
      <c r="E565" s="63" t="str">
        <f>'II_Inkunabeln+'!E565</f>
        <v>II 63,1a (daran angebunden ist II 85,1b)</v>
      </c>
      <c r="F565" s="63" t="str">
        <f>'II_Inkunabeln+'!H565</f>
        <v>bis 35 cm</v>
      </c>
      <c r="G565" s="93" t="str">
        <f>'II_Inkunabeln+'!AG565</f>
        <v>Pa</v>
      </c>
      <c r="H565" s="93">
        <f>'II_Inkunabeln+'!AP565</f>
        <v>0</v>
      </c>
      <c r="I565" s="93">
        <f>'II_Inkunabeln+'!AQ565</f>
        <v>0</v>
      </c>
      <c r="J565" s="94"/>
      <c r="K565" s="93">
        <f>'II_Inkunabeln+'!AW565</f>
        <v>0</v>
      </c>
      <c r="L565" s="93">
        <f>'II_Inkunabeln+'!AX565</f>
        <v>0</v>
      </c>
      <c r="AA565" s="93">
        <f>'II_Inkunabeln+'!AY565</f>
        <v>0</v>
      </c>
      <c r="AB565" s="94" t="str">
        <f>'II_Inkunabeln+'!BA565</f>
        <v>n</v>
      </c>
      <c r="AC565" s="108"/>
      <c r="AD565" s="81" t="str">
        <f>'II_Inkunabeln+'!BJ565</f>
        <v>Schaden ist stabil genug für Digit.</v>
      </c>
    </row>
    <row r="566" spans="1:30" x14ac:dyDescent="0.25">
      <c r="A566" s="63">
        <f>'II_Inkunabeln+'!A566</f>
        <v>542</v>
      </c>
      <c r="B566" s="63" t="str">
        <f>'II_Inkunabeln+'!B566</f>
        <v>L-1478-315497734</v>
      </c>
      <c r="C566" s="63">
        <f>'II_Inkunabeln+'!C566</f>
        <v>1066967474</v>
      </c>
      <c r="D566" s="84" t="str">
        <f>'II_Inkunabeln+'!D566</f>
        <v>https://portal.dnb.de/opac.htm?method=simpleSearch&amp;cqlMode=true&amp;query=idn%3D1066967474</v>
      </c>
      <c r="E566" s="63" t="str">
        <f>'II_Inkunabeln+'!E566</f>
        <v>II 63,2 d</v>
      </c>
      <c r="F566" s="63">
        <f>'II_Inkunabeln+'!H566</f>
        <v>0</v>
      </c>
      <c r="G566" s="93">
        <f>'II_Inkunabeln+'!AG566</f>
        <v>0</v>
      </c>
      <c r="H566" s="93">
        <f>'II_Inkunabeln+'!AP566</f>
        <v>0</v>
      </c>
      <c r="I566" s="93">
        <f>'II_Inkunabeln+'!AQ566</f>
        <v>0</v>
      </c>
      <c r="J566" s="94"/>
      <c r="K566" s="93">
        <f>'II_Inkunabeln+'!AW566</f>
        <v>0</v>
      </c>
      <c r="L566" s="93">
        <f>'II_Inkunabeln+'!AX566</f>
        <v>0</v>
      </c>
      <c r="AA566" s="93">
        <f>'II_Inkunabeln+'!AY566</f>
        <v>0</v>
      </c>
      <c r="AB566" s="94">
        <f>'II_Inkunabeln+'!BA566</f>
        <v>0</v>
      </c>
      <c r="AC566" s="108"/>
      <c r="AD566" s="81">
        <f>'II_Inkunabeln+'!BJ566</f>
        <v>0</v>
      </c>
    </row>
    <row r="567" spans="1:30" x14ac:dyDescent="0.25">
      <c r="A567" s="63">
        <f>'II_Inkunabeln+'!A567</f>
        <v>543</v>
      </c>
      <c r="B567" s="63" t="str">
        <f>'II_Inkunabeln+'!B567</f>
        <v>L-1475-315501049</v>
      </c>
      <c r="C567" s="63">
        <f>'II_Inkunabeln+'!C567</f>
        <v>1066970696</v>
      </c>
      <c r="D567" s="84" t="str">
        <f>'II_Inkunabeln+'!D567</f>
        <v>https://portal.dnb.de/opac.htm?method=simpleSearch&amp;cqlMode=true&amp;query=idn%3D1066970696</v>
      </c>
      <c r="E567" s="63" t="str">
        <f>'II_Inkunabeln+'!E567</f>
        <v>II 63,2a</v>
      </c>
      <c r="F567" s="63">
        <f>'II_Inkunabeln+'!H567</f>
        <v>0</v>
      </c>
      <c r="G567" s="93">
        <f>'II_Inkunabeln+'!AG567</f>
        <v>0</v>
      </c>
      <c r="H567" s="93">
        <f>'II_Inkunabeln+'!AP567</f>
        <v>0</v>
      </c>
      <c r="I567" s="93">
        <f>'II_Inkunabeln+'!AQ567</f>
        <v>0</v>
      </c>
      <c r="J567" s="94"/>
      <c r="K567" s="93">
        <f>'II_Inkunabeln+'!AW567</f>
        <v>0</v>
      </c>
      <c r="L567" s="93">
        <f>'II_Inkunabeln+'!AX567</f>
        <v>0</v>
      </c>
      <c r="AA567" s="93">
        <f>'II_Inkunabeln+'!AY567</f>
        <v>0</v>
      </c>
      <c r="AB567" s="94">
        <f>'II_Inkunabeln+'!BA567</f>
        <v>0</v>
      </c>
      <c r="AC567" s="108"/>
      <c r="AD567" s="81">
        <f>'II_Inkunabeln+'!BJ567</f>
        <v>0</v>
      </c>
    </row>
    <row r="568" spans="1:30" x14ac:dyDescent="0.25">
      <c r="A568" s="63">
        <f>'II_Inkunabeln+'!A568</f>
        <v>544</v>
      </c>
      <c r="B568" s="63" t="str">
        <f>'II_Inkunabeln+'!B568</f>
        <v>L-1479-326902988</v>
      </c>
      <c r="C568" s="63">
        <f>'II_Inkunabeln+'!C568</f>
        <v>1072100355</v>
      </c>
      <c r="D568" s="84" t="str">
        <f>'II_Inkunabeln+'!D568</f>
        <v>https://portal.dnb.de/opac.htm?method=simpleSearch&amp;cqlMode=true&amp;query=idn%3D1072100355</v>
      </c>
      <c r="E568" s="63" t="str">
        <f>'II_Inkunabeln+'!E568</f>
        <v>II 63,2b</v>
      </c>
      <c r="F568" s="63">
        <f>'II_Inkunabeln+'!H568</f>
        <v>0</v>
      </c>
      <c r="G568" s="93">
        <f>'II_Inkunabeln+'!AG568</f>
        <v>0</v>
      </c>
      <c r="H568" s="93">
        <f>'II_Inkunabeln+'!AP568</f>
        <v>0</v>
      </c>
      <c r="I568" s="93">
        <f>'II_Inkunabeln+'!AQ568</f>
        <v>0</v>
      </c>
      <c r="J568" s="94"/>
      <c r="K568" s="93">
        <f>'II_Inkunabeln+'!AW568</f>
        <v>0</v>
      </c>
      <c r="L568" s="93">
        <f>'II_Inkunabeln+'!AX568</f>
        <v>0</v>
      </c>
      <c r="AA568" s="93">
        <f>'II_Inkunabeln+'!AY568</f>
        <v>0</v>
      </c>
      <c r="AB568" s="94">
        <f>'II_Inkunabeln+'!BA568</f>
        <v>0</v>
      </c>
      <c r="AC568" s="108"/>
      <c r="AD568" s="81">
        <f>'II_Inkunabeln+'!BJ568</f>
        <v>0</v>
      </c>
    </row>
    <row r="569" spans="1:30" x14ac:dyDescent="0.25">
      <c r="A569" s="63">
        <f>'II_Inkunabeln+'!A569</f>
        <v>545</v>
      </c>
      <c r="B569" s="63" t="str">
        <f>'II_Inkunabeln+'!B569</f>
        <v>L-1477-326903305</v>
      </c>
      <c r="C569" s="63">
        <f>'II_Inkunabeln+'!C569</f>
        <v>1072101181</v>
      </c>
      <c r="D569" s="84" t="str">
        <f>'II_Inkunabeln+'!D569</f>
        <v>https://portal.dnb.de/opac.htm?method=simpleSearch&amp;cqlMode=true&amp;query=idn%3D1072101181</v>
      </c>
      <c r="E569" s="63" t="str">
        <f>'II_Inkunabeln+'!E569</f>
        <v>II 63,2c</v>
      </c>
      <c r="F569" s="63">
        <f>'II_Inkunabeln+'!H569</f>
        <v>0</v>
      </c>
      <c r="G569" s="93">
        <f>'II_Inkunabeln+'!AG569</f>
        <v>0</v>
      </c>
      <c r="H569" s="93">
        <f>'II_Inkunabeln+'!AP569</f>
        <v>0</v>
      </c>
      <c r="I569" s="93">
        <f>'II_Inkunabeln+'!AQ569</f>
        <v>0</v>
      </c>
      <c r="J569" s="94"/>
      <c r="K569" s="93">
        <f>'II_Inkunabeln+'!AW569</f>
        <v>0</v>
      </c>
      <c r="L569" s="93">
        <f>'II_Inkunabeln+'!AX569</f>
        <v>0</v>
      </c>
      <c r="AA569" s="93">
        <f>'II_Inkunabeln+'!AY569</f>
        <v>0</v>
      </c>
      <c r="AB569" s="94">
        <f>'II_Inkunabeln+'!BA569</f>
        <v>0</v>
      </c>
      <c r="AC569" s="108"/>
      <c r="AD569" s="81">
        <f>'II_Inkunabeln+'!BJ569</f>
        <v>0</v>
      </c>
    </row>
    <row r="570" spans="1:30" x14ac:dyDescent="0.25">
      <c r="A570" s="63">
        <f>'II_Inkunabeln+'!A570</f>
        <v>546</v>
      </c>
      <c r="B570" s="63" t="str">
        <f>'II_Inkunabeln+'!B570</f>
        <v>L-1476-31550174X</v>
      </c>
      <c r="C570" s="63">
        <f>'II_Inkunabeln+'!C570</f>
        <v>1066971374</v>
      </c>
      <c r="D570" s="84" t="str">
        <f>'II_Inkunabeln+'!D570</f>
        <v>https://portal.dnb.de/opac.htm?method=simpleSearch&amp;cqlMode=true&amp;query=idn%3D1066971374</v>
      </c>
      <c r="E570" s="63" t="str">
        <f>'II_Inkunabeln+'!E570</f>
        <v>II 63,3a</v>
      </c>
      <c r="F570" s="63">
        <f>'II_Inkunabeln+'!H570</f>
        <v>0</v>
      </c>
      <c r="G570" s="93">
        <f>'II_Inkunabeln+'!AG570</f>
        <v>0</v>
      </c>
      <c r="H570" s="93">
        <f>'II_Inkunabeln+'!AP570</f>
        <v>0</v>
      </c>
      <c r="I570" s="93">
        <f>'II_Inkunabeln+'!AQ570</f>
        <v>0</v>
      </c>
      <c r="J570" s="94"/>
      <c r="K570" s="93">
        <f>'II_Inkunabeln+'!AW570</f>
        <v>0</v>
      </c>
      <c r="L570" s="93">
        <f>'II_Inkunabeln+'!AX570</f>
        <v>0</v>
      </c>
      <c r="AA570" s="93">
        <f>'II_Inkunabeln+'!AY570</f>
        <v>0</v>
      </c>
      <c r="AB570" s="94">
        <f>'II_Inkunabeln+'!BA570</f>
        <v>0</v>
      </c>
      <c r="AC570" s="108"/>
      <c r="AD570" s="81">
        <f>'II_Inkunabeln+'!BJ570</f>
        <v>0</v>
      </c>
    </row>
    <row r="571" spans="1:30" x14ac:dyDescent="0.25">
      <c r="A571" s="63">
        <f>'II_Inkunabeln+'!A571</f>
        <v>547</v>
      </c>
      <c r="B571" s="63" t="str">
        <f>'II_Inkunabeln+'!B571</f>
        <v>L-1476-315496231</v>
      </c>
      <c r="C571" s="63">
        <f>'II_Inkunabeln+'!C571</f>
        <v>1066965943</v>
      </c>
      <c r="D571" s="84" t="str">
        <f>'II_Inkunabeln+'!D571</f>
        <v>https://portal.dnb.de/opac.htm?method=simpleSearch&amp;cqlMode=true&amp;query=idn%3D1066965943</v>
      </c>
      <c r="E571" s="63" t="str">
        <f>'II_Inkunabeln+'!E571</f>
        <v>II 63,3b</v>
      </c>
      <c r="F571" s="63">
        <f>'II_Inkunabeln+'!H571</f>
        <v>0</v>
      </c>
      <c r="G571" s="93">
        <f>'II_Inkunabeln+'!AG571</f>
        <v>0</v>
      </c>
      <c r="H571" s="93">
        <f>'II_Inkunabeln+'!AP571</f>
        <v>0</v>
      </c>
      <c r="I571" s="93">
        <f>'II_Inkunabeln+'!AQ571</f>
        <v>0</v>
      </c>
      <c r="J571" s="94"/>
      <c r="K571" s="93">
        <f>'II_Inkunabeln+'!AW571</f>
        <v>0</v>
      </c>
      <c r="L571" s="93">
        <f>'II_Inkunabeln+'!AX571</f>
        <v>0</v>
      </c>
      <c r="AA571" s="93">
        <f>'II_Inkunabeln+'!AY571</f>
        <v>0</v>
      </c>
      <c r="AB571" s="94">
        <f>'II_Inkunabeln+'!BA571</f>
        <v>0</v>
      </c>
      <c r="AC571" s="108"/>
      <c r="AD571" s="81">
        <f>'II_Inkunabeln+'!BJ571</f>
        <v>0</v>
      </c>
    </row>
    <row r="572" spans="1:30" x14ac:dyDescent="0.25">
      <c r="A572" s="63">
        <f>'II_Inkunabeln+'!A572</f>
        <v>548</v>
      </c>
      <c r="B572" s="63" t="str">
        <f>'II_Inkunabeln+'!B572</f>
        <v>L-1483-315495774</v>
      </c>
      <c r="C572" s="63">
        <f>'II_Inkunabeln+'!C572</f>
        <v>1066965544</v>
      </c>
      <c r="D572" s="84" t="str">
        <f>'II_Inkunabeln+'!D572</f>
        <v>https://portal.dnb.de/opac.htm?method=simpleSearch&amp;cqlMode=true&amp;query=idn%3D1066965544</v>
      </c>
      <c r="E572" s="63" t="str">
        <f>'II_Inkunabeln+'!E572</f>
        <v>II 63,3c</v>
      </c>
      <c r="F572" s="63">
        <f>'II_Inkunabeln+'!H572</f>
        <v>0</v>
      </c>
      <c r="G572" s="93">
        <f>'II_Inkunabeln+'!AG572</f>
        <v>0</v>
      </c>
      <c r="H572" s="93">
        <f>'II_Inkunabeln+'!AP572</f>
        <v>0</v>
      </c>
      <c r="I572" s="93">
        <f>'II_Inkunabeln+'!AQ572</f>
        <v>0</v>
      </c>
      <c r="J572" s="94"/>
      <c r="K572" s="93">
        <f>'II_Inkunabeln+'!AW572</f>
        <v>0</v>
      </c>
      <c r="L572" s="93">
        <f>'II_Inkunabeln+'!AX572</f>
        <v>0</v>
      </c>
      <c r="AA572" s="93">
        <f>'II_Inkunabeln+'!AY572</f>
        <v>0</v>
      </c>
      <c r="AB572" s="94">
        <f>'II_Inkunabeln+'!BA572</f>
        <v>0</v>
      </c>
      <c r="AC572" s="108"/>
      <c r="AD572" s="81">
        <f>'II_Inkunabeln+'!BJ572</f>
        <v>0</v>
      </c>
    </row>
    <row r="573" spans="1:30" x14ac:dyDescent="0.25">
      <c r="A573" s="63">
        <f>'II_Inkunabeln+'!A573</f>
        <v>549</v>
      </c>
      <c r="B573" s="63" t="str">
        <f>'II_Inkunabeln+'!B573</f>
        <v>L-1478-31549638X</v>
      </c>
      <c r="C573" s="63">
        <f>'II_Inkunabeln+'!C573</f>
        <v>1066966087</v>
      </c>
      <c r="D573" s="84" t="str">
        <f>'II_Inkunabeln+'!D573</f>
        <v>https://portal.dnb.de/opac.htm?method=simpleSearch&amp;cqlMode=true&amp;query=idn%3D1066966087</v>
      </c>
      <c r="E573" s="63" t="str">
        <f>'II_Inkunabeln+'!E573</f>
        <v>II 63,4a</v>
      </c>
      <c r="F573" s="63">
        <f>'II_Inkunabeln+'!H573</f>
        <v>0</v>
      </c>
      <c r="G573" s="93">
        <f>'II_Inkunabeln+'!AG573</f>
        <v>0</v>
      </c>
      <c r="H573" s="93">
        <f>'II_Inkunabeln+'!AP573</f>
        <v>0</v>
      </c>
      <c r="I573" s="93">
        <f>'II_Inkunabeln+'!AQ573</f>
        <v>0</v>
      </c>
      <c r="J573" s="94"/>
      <c r="K573" s="93">
        <f>'II_Inkunabeln+'!AW573</f>
        <v>0</v>
      </c>
      <c r="L573" s="93">
        <f>'II_Inkunabeln+'!AX573</f>
        <v>0</v>
      </c>
      <c r="AA573" s="93">
        <f>'II_Inkunabeln+'!AY573</f>
        <v>0</v>
      </c>
      <c r="AB573" s="94">
        <f>'II_Inkunabeln+'!BA573</f>
        <v>0</v>
      </c>
      <c r="AC573" s="108"/>
      <c r="AD573" s="81">
        <f>'II_Inkunabeln+'!BJ573</f>
        <v>0</v>
      </c>
    </row>
    <row r="574" spans="1:30" x14ac:dyDescent="0.25">
      <c r="A574" s="63">
        <f>'II_Inkunabeln+'!A574</f>
        <v>550</v>
      </c>
      <c r="B574" s="63" t="str">
        <f>'II_Inkunabeln+'!B574</f>
        <v>L-1482-326903461</v>
      </c>
      <c r="C574" s="63">
        <f>'II_Inkunabeln+'!C574</f>
        <v>1072101475</v>
      </c>
      <c r="D574" s="84" t="str">
        <f>'II_Inkunabeln+'!D574</f>
        <v>https://portal.dnb.de/opac.htm?method=simpleSearch&amp;cqlMode=true&amp;query=idn%3D1072101475</v>
      </c>
      <c r="E574" s="63" t="str">
        <f>'II_Inkunabeln+'!E574</f>
        <v>II 63,5a</v>
      </c>
      <c r="F574" s="63">
        <f>'II_Inkunabeln+'!H574</f>
        <v>0</v>
      </c>
      <c r="G574" s="93">
        <f>'II_Inkunabeln+'!AG574</f>
        <v>0</v>
      </c>
      <c r="H574" s="93">
        <f>'II_Inkunabeln+'!AP574</f>
        <v>0</v>
      </c>
      <c r="I574" s="93">
        <f>'II_Inkunabeln+'!AQ574</f>
        <v>0</v>
      </c>
      <c r="J574" s="94"/>
      <c r="K574" s="93">
        <f>'II_Inkunabeln+'!AW574</f>
        <v>0</v>
      </c>
      <c r="L574" s="93">
        <f>'II_Inkunabeln+'!AX574</f>
        <v>0</v>
      </c>
      <c r="AA574" s="93">
        <f>'II_Inkunabeln+'!AY574</f>
        <v>0</v>
      </c>
      <c r="AB574" s="94">
        <f>'II_Inkunabeln+'!BA574</f>
        <v>0</v>
      </c>
      <c r="AC574" s="108"/>
      <c r="AD574" s="81">
        <f>'II_Inkunabeln+'!BJ574</f>
        <v>0</v>
      </c>
    </row>
    <row r="575" spans="1:30" x14ac:dyDescent="0.25">
      <c r="A575" s="63">
        <f>'II_Inkunabeln+'!A575</f>
        <v>551</v>
      </c>
      <c r="B575" s="63" t="str">
        <f>'II_Inkunabeln+'!B575</f>
        <v>L-1489-315502266</v>
      </c>
      <c r="C575" s="63">
        <f>'II_Inkunabeln+'!C575</f>
        <v>1066971862</v>
      </c>
      <c r="D575" s="84" t="str">
        <f>'II_Inkunabeln+'!D575</f>
        <v>https://portal.dnb.de/opac.htm?method=simpleSearch&amp;cqlMode=true&amp;query=idn%3D1066971862</v>
      </c>
      <c r="E575" s="63" t="str">
        <f>'II_Inkunabeln+'!E575</f>
        <v>II 63,5b</v>
      </c>
      <c r="F575" s="63" t="str">
        <f>'II_Inkunabeln+'!H575</f>
        <v>bis 25 cm</v>
      </c>
      <c r="G575" s="93">
        <f>'II_Inkunabeln+'!AG575</f>
        <v>0</v>
      </c>
      <c r="H575" s="93">
        <f>'II_Inkunabeln+'!AP575</f>
        <v>0</v>
      </c>
      <c r="I575" s="93">
        <f>'II_Inkunabeln+'!AQ575</f>
        <v>0</v>
      </c>
      <c r="J575" s="94"/>
      <c r="K575" s="93">
        <f>'II_Inkunabeln+'!AW575</f>
        <v>0</v>
      </c>
      <c r="L575" s="93">
        <f>'II_Inkunabeln+'!AX575</f>
        <v>0</v>
      </c>
      <c r="AA575" s="93">
        <f>'II_Inkunabeln+'!AY575</f>
        <v>0</v>
      </c>
      <c r="AB575" s="94">
        <f>'II_Inkunabeln+'!BA575</f>
        <v>0</v>
      </c>
      <c r="AC575" s="108"/>
      <c r="AD575" s="81">
        <f>'II_Inkunabeln+'!BJ575</f>
        <v>0</v>
      </c>
    </row>
    <row r="576" spans="1:30" x14ac:dyDescent="0.25">
      <c r="A576" s="63">
        <f>'II_Inkunabeln+'!A576</f>
        <v>552</v>
      </c>
      <c r="B576" s="63" t="str">
        <f>'II_Inkunabeln+'!B576</f>
        <v>L-1480-326905863</v>
      </c>
      <c r="C576" s="63">
        <f>'II_Inkunabeln+'!C576</f>
        <v>1072105233</v>
      </c>
      <c r="D576" s="84" t="str">
        <f>'II_Inkunabeln+'!D576</f>
        <v>https://portal.dnb.de/opac.htm?method=simpleSearch&amp;cqlMode=true&amp;query=idn%3D1072105233</v>
      </c>
      <c r="E576" s="63" t="str">
        <f>'II_Inkunabeln+'!E576</f>
        <v>II 63,6a</v>
      </c>
      <c r="F576" s="63" t="str">
        <f>'II_Inkunabeln+'!H576</f>
        <v>bis 25 cm</v>
      </c>
      <c r="G576" s="93">
        <f>'II_Inkunabeln+'!AG576</f>
        <v>0</v>
      </c>
      <c r="H576" s="93">
        <f>'II_Inkunabeln+'!AP576</f>
        <v>0</v>
      </c>
      <c r="I576" s="93">
        <f>'II_Inkunabeln+'!AQ576</f>
        <v>0</v>
      </c>
      <c r="J576" s="94"/>
      <c r="K576" s="93">
        <f>'II_Inkunabeln+'!AW576</f>
        <v>0</v>
      </c>
      <c r="L576" s="93">
        <f>'II_Inkunabeln+'!AX576</f>
        <v>0</v>
      </c>
      <c r="AA576" s="93">
        <f>'II_Inkunabeln+'!AY576</f>
        <v>0</v>
      </c>
      <c r="AB576" s="94">
        <f>'II_Inkunabeln+'!BA576</f>
        <v>0</v>
      </c>
      <c r="AC576" s="108"/>
      <c r="AD576" s="81">
        <f>'II_Inkunabeln+'!BJ576</f>
        <v>0</v>
      </c>
    </row>
    <row r="577" spans="1:30" x14ac:dyDescent="0.25">
      <c r="A577" s="63">
        <f>'II_Inkunabeln+'!A577</f>
        <v>553</v>
      </c>
      <c r="B577" s="63" t="str">
        <f>'II_Inkunabeln+'!B577</f>
        <v>L-1495-315501294</v>
      </c>
      <c r="C577" s="63">
        <f>'II_Inkunabeln+'!C577</f>
        <v>1066970939</v>
      </c>
      <c r="D577" s="84" t="str">
        <f>'II_Inkunabeln+'!D577</f>
        <v>https://portal.dnb.de/opac.htm?method=simpleSearch&amp;cqlMode=true&amp;query=idn%3D1066970939</v>
      </c>
      <c r="E577" s="63" t="str">
        <f>'II_Inkunabeln+'!E577</f>
        <v>II 63,8a</v>
      </c>
      <c r="F577" s="63" t="str">
        <f>'II_Inkunabeln+'!H577</f>
        <v>bis 25 cm</v>
      </c>
      <c r="G577" s="93">
        <f>'II_Inkunabeln+'!AG577</f>
        <v>0</v>
      </c>
      <c r="H577" s="93">
        <f>'II_Inkunabeln+'!AP577</f>
        <v>0</v>
      </c>
      <c r="I577" s="93">
        <f>'II_Inkunabeln+'!AQ577</f>
        <v>0</v>
      </c>
      <c r="J577" s="94"/>
      <c r="K577" s="93">
        <f>'II_Inkunabeln+'!AW577</f>
        <v>0</v>
      </c>
      <c r="L577" s="93">
        <f>'II_Inkunabeln+'!AX577</f>
        <v>0</v>
      </c>
      <c r="AA577" s="93">
        <f>'II_Inkunabeln+'!AY577</f>
        <v>0</v>
      </c>
      <c r="AB577" s="94">
        <f>'II_Inkunabeln+'!BA577</f>
        <v>0</v>
      </c>
      <c r="AC577" s="108"/>
      <c r="AD577" s="81">
        <f>'II_Inkunabeln+'!BJ577</f>
        <v>0</v>
      </c>
    </row>
    <row r="578" spans="1:30" x14ac:dyDescent="0.25">
      <c r="A578" s="63">
        <f>'II_Inkunabeln+'!A578</f>
        <v>554</v>
      </c>
      <c r="B578" s="63" t="str">
        <f>'II_Inkunabeln+'!B578</f>
        <v>L-1479-315498382</v>
      </c>
      <c r="C578" s="63" t="str">
        <f>'II_Inkunabeln+'!C578</f>
        <v>106696811X</v>
      </c>
      <c r="D578" s="84" t="str">
        <f>'II_Inkunabeln+'!D578</f>
        <v>https://portal.dnb.de/opac.htm?method=simpleSearch&amp;cqlMode=true&amp;query=idn%3D106696811X</v>
      </c>
      <c r="E578" s="63" t="str">
        <f>'II_Inkunabeln+'!E578</f>
        <v>II 64,1b</v>
      </c>
      <c r="F578" s="63" t="str">
        <f>'II_Inkunabeln+'!H578</f>
        <v>bis 35 cm</v>
      </c>
      <c r="G578" s="93">
        <f>'II_Inkunabeln+'!AG578</f>
        <v>0</v>
      </c>
      <c r="H578" s="93">
        <f>'II_Inkunabeln+'!AP578</f>
        <v>0</v>
      </c>
      <c r="I578" s="93">
        <f>'II_Inkunabeln+'!AQ578</f>
        <v>0</v>
      </c>
      <c r="J578" s="94"/>
      <c r="K578" s="93">
        <f>'II_Inkunabeln+'!AW578</f>
        <v>0</v>
      </c>
      <c r="L578" s="93">
        <f>'II_Inkunabeln+'!AX578</f>
        <v>0</v>
      </c>
      <c r="AA578" s="93">
        <f>'II_Inkunabeln+'!AY578</f>
        <v>0</v>
      </c>
      <c r="AB578" s="94">
        <f>'II_Inkunabeln+'!BA578</f>
        <v>0</v>
      </c>
      <c r="AC578" s="108"/>
      <c r="AD578" s="81">
        <f>'II_Inkunabeln+'!BJ578</f>
        <v>0</v>
      </c>
    </row>
    <row r="579" spans="1:30" x14ac:dyDescent="0.25">
      <c r="A579" s="63">
        <f>'II_Inkunabeln+'!A579</f>
        <v>555</v>
      </c>
      <c r="B579" s="63" t="str">
        <f>'II_Inkunabeln+'!B579</f>
        <v>L-1477-326906126</v>
      </c>
      <c r="C579" s="63">
        <f>'II_Inkunabeln+'!C579</f>
        <v>1072105721</v>
      </c>
      <c r="D579" s="84" t="str">
        <f>'II_Inkunabeln+'!D579</f>
        <v>https://portal.dnb.de/opac.htm?method=simpleSearch&amp;cqlMode=true&amp;query=idn%3D1072105721</v>
      </c>
      <c r="E579" s="63" t="str">
        <f>'II_Inkunabeln+'!E579</f>
        <v>II 65,1a</v>
      </c>
      <c r="F579" s="63" t="str">
        <f>'II_Inkunabeln+'!H579</f>
        <v>bis 35 cm</v>
      </c>
      <c r="G579" s="93">
        <f>'II_Inkunabeln+'!AG579</f>
        <v>0</v>
      </c>
      <c r="H579" s="93">
        <f>'II_Inkunabeln+'!AP579</f>
        <v>0</v>
      </c>
      <c r="I579" s="93">
        <f>'II_Inkunabeln+'!AQ579</f>
        <v>0</v>
      </c>
      <c r="J579" s="94"/>
      <c r="K579" s="93">
        <f>'II_Inkunabeln+'!AW579</f>
        <v>0</v>
      </c>
      <c r="L579" s="93">
        <f>'II_Inkunabeln+'!AX579</f>
        <v>0</v>
      </c>
      <c r="AA579" s="93">
        <f>'II_Inkunabeln+'!AY579</f>
        <v>0</v>
      </c>
      <c r="AB579" s="94">
        <f>'II_Inkunabeln+'!BA579</f>
        <v>0</v>
      </c>
      <c r="AC579" s="108"/>
      <c r="AD579" s="81">
        <f>'II_Inkunabeln+'!BJ579</f>
        <v>0</v>
      </c>
    </row>
    <row r="580" spans="1:30" x14ac:dyDescent="0.25">
      <c r="A580" s="63">
        <f>'II_Inkunabeln+'!A580</f>
        <v>556</v>
      </c>
      <c r="B580" s="63" t="str">
        <f>'II_Inkunabeln+'!B580</f>
        <v>L-1480-327008083</v>
      </c>
      <c r="C580" s="63">
        <f>'II_Inkunabeln+'!C580</f>
        <v>1072172607</v>
      </c>
      <c r="D580" s="84" t="str">
        <f>'II_Inkunabeln+'!D580</f>
        <v>https://portal.dnb.de/opac.htm?method=simpleSearch&amp;cqlMode=true&amp;query=idn%3D1072172607</v>
      </c>
      <c r="E580" s="63" t="str">
        <f>'II_Inkunabeln+'!E580</f>
        <v>II 65,2</v>
      </c>
      <c r="F580" s="63" t="str">
        <f>'II_Inkunabeln+'!H580</f>
        <v>bis 25 cm</v>
      </c>
      <c r="G580" s="93">
        <f>'II_Inkunabeln+'!AG580</f>
        <v>0</v>
      </c>
      <c r="H580" s="93">
        <f>'II_Inkunabeln+'!AP580</f>
        <v>0</v>
      </c>
      <c r="I580" s="93">
        <f>'II_Inkunabeln+'!AQ580</f>
        <v>0</v>
      </c>
      <c r="J580" s="94"/>
      <c r="K580" s="93">
        <f>'II_Inkunabeln+'!AW580</f>
        <v>0</v>
      </c>
      <c r="L580" s="93">
        <f>'II_Inkunabeln+'!AX580</f>
        <v>0</v>
      </c>
      <c r="AA580" s="93">
        <f>'II_Inkunabeln+'!AY580</f>
        <v>0</v>
      </c>
      <c r="AB580" s="94">
        <f>'II_Inkunabeln+'!BA580</f>
        <v>0</v>
      </c>
      <c r="AC580" s="108"/>
      <c r="AD580" s="81">
        <f>'II_Inkunabeln+'!BJ580</f>
        <v>0</v>
      </c>
    </row>
    <row r="581" spans="1:30" x14ac:dyDescent="0.25">
      <c r="A581" s="63">
        <f>'II_Inkunabeln+'!A581</f>
        <v>557</v>
      </c>
      <c r="B581" s="63" t="str">
        <f>'II_Inkunabeln+'!B581</f>
        <v>L-1473-31549848X</v>
      </c>
      <c r="C581" s="63">
        <f>'II_Inkunabeln+'!C581</f>
        <v>1066968225</v>
      </c>
      <c r="D581" s="84" t="str">
        <f>'II_Inkunabeln+'!D581</f>
        <v>https://portal.dnb.de/opac.htm?method=simpleSearch&amp;cqlMode=true&amp;query=idn%3D1066968225</v>
      </c>
      <c r="E581" s="63" t="str">
        <f>'II_Inkunabeln+'!E581</f>
        <v>II 66,2a</v>
      </c>
      <c r="F581" s="63" t="str">
        <f>'II_Inkunabeln+'!H581</f>
        <v>bis 35 cm</v>
      </c>
      <c r="G581" s="93">
        <f>'II_Inkunabeln+'!AG581</f>
        <v>0</v>
      </c>
      <c r="H581" s="93">
        <f>'II_Inkunabeln+'!AP581</f>
        <v>0</v>
      </c>
      <c r="I581" s="93">
        <f>'II_Inkunabeln+'!AQ581</f>
        <v>0</v>
      </c>
      <c r="J581" s="94"/>
      <c r="K581" s="93">
        <f>'II_Inkunabeln+'!AW581</f>
        <v>0</v>
      </c>
      <c r="L581" s="93">
        <f>'II_Inkunabeln+'!AX581</f>
        <v>0</v>
      </c>
      <c r="AA581" s="93">
        <f>'II_Inkunabeln+'!AY581</f>
        <v>0</v>
      </c>
      <c r="AB581" s="94">
        <f>'II_Inkunabeln+'!BA581</f>
        <v>0</v>
      </c>
      <c r="AC581" s="108"/>
      <c r="AD581" s="81">
        <f>'II_Inkunabeln+'!BJ581</f>
        <v>0</v>
      </c>
    </row>
    <row r="582" spans="1:30" x14ac:dyDescent="0.25">
      <c r="A582" s="63">
        <f>'II_Inkunabeln+'!A582</f>
        <v>558</v>
      </c>
      <c r="B582" s="63" t="str">
        <f>'II_Inkunabeln+'!B582</f>
        <v>L-1479-315497939</v>
      </c>
      <c r="C582" s="63">
        <f>'II_Inkunabeln+'!C582</f>
        <v>1066967679</v>
      </c>
      <c r="D582" s="84" t="str">
        <f>'II_Inkunabeln+'!D582</f>
        <v>https://portal.dnb.de/opac.htm?method=simpleSearch&amp;cqlMode=true&amp;query=idn%3D1066967679</v>
      </c>
      <c r="E582" s="63" t="str">
        <f>'II_Inkunabeln+'!E582</f>
        <v>II 66,3a</v>
      </c>
      <c r="F582" s="63">
        <f>'II_Inkunabeln+'!H582</f>
        <v>0</v>
      </c>
      <c r="G582" s="93">
        <f>'II_Inkunabeln+'!AG582</f>
        <v>0</v>
      </c>
      <c r="H582" s="93">
        <f>'II_Inkunabeln+'!AP582</f>
        <v>0</v>
      </c>
      <c r="I582" s="93">
        <f>'II_Inkunabeln+'!AQ582</f>
        <v>0</v>
      </c>
      <c r="J582" s="94"/>
      <c r="K582" s="93">
        <f>'II_Inkunabeln+'!AW582</f>
        <v>0</v>
      </c>
      <c r="L582" s="93">
        <f>'II_Inkunabeln+'!AX582</f>
        <v>0</v>
      </c>
      <c r="AA582" s="93">
        <f>'II_Inkunabeln+'!AY582</f>
        <v>0</v>
      </c>
      <c r="AB582" s="94">
        <f>'II_Inkunabeln+'!BA582</f>
        <v>0</v>
      </c>
      <c r="AC582" s="108"/>
      <c r="AD582" s="81">
        <f>'II_Inkunabeln+'!BJ582</f>
        <v>0</v>
      </c>
    </row>
    <row r="583" spans="1:30" x14ac:dyDescent="0.25">
      <c r="A583" s="63">
        <f>'II_Inkunabeln+'!A583</f>
        <v>559</v>
      </c>
      <c r="B583" s="63" t="str">
        <f>'II_Inkunabeln+'!B583</f>
        <v>L-1486-327679239</v>
      </c>
      <c r="C583" s="63" t="str">
        <f>'II_Inkunabeln+'!C583</f>
        <v>107237840X</v>
      </c>
      <c r="D583" s="84" t="str">
        <f>'II_Inkunabeln+'!D583</f>
        <v>https://portal.dnb.de/opac.htm?method=simpleSearch&amp;cqlMode=true&amp;query=idn%3D107237840X</v>
      </c>
      <c r="E583" s="63" t="str">
        <f>'II_Inkunabeln+'!E583</f>
        <v>II 66,4a</v>
      </c>
      <c r="F583" s="63" t="str">
        <f>'II_Inkunabeln+'!H583</f>
        <v>bis 25 cm</v>
      </c>
      <c r="G583" s="93">
        <f>'II_Inkunabeln+'!AG583</f>
        <v>0</v>
      </c>
      <c r="H583" s="93">
        <f>'II_Inkunabeln+'!AP583</f>
        <v>0</v>
      </c>
      <c r="I583" s="93">
        <f>'II_Inkunabeln+'!AQ583</f>
        <v>0</v>
      </c>
      <c r="J583" s="94"/>
      <c r="K583" s="93">
        <f>'II_Inkunabeln+'!AW583</f>
        <v>0</v>
      </c>
      <c r="L583" s="93">
        <f>'II_Inkunabeln+'!AX583</f>
        <v>0</v>
      </c>
      <c r="AA583" s="93">
        <f>'II_Inkunabeln+'!AY583</f>
        <v>0</v>
      </c>
      <c r="AB583" s="94">
        <f>'II_Inkunabeln+'!BA583</f>
        <v>0</v>
      </c>
      <c r="AC583" s="108"/>
      <c r="AD583" s="81">
        <f>'II_Inkunabeln+'!BJ583</f>
        <v>0</v>
      </c>
    </row>
    <row r="584" spans="1:30" x14ac:dyDescent="0.25">
      <c r="A584" s="63">
        <f>'II_Inkunabeln+'!A584</f>
        <v>560</v>
      </c>
      <c r="B584" s="63" t="str">
        <f>'II_Inkunabeln+'!B584</f>
        <v>L-1475-326906487</v>
      </c>
      <c r="C584" s="63">
        <f>'II_Inkunabeln+'!C584</f>
        <v>1072106345</v>
      </c>
      <c r="D584" s="84" t="str">
        <f>'II_Inkunabeln+'!D584</f>
        <v>https://portal.dnb.de/opac.htm?method=simpleSearch&amp;cqlMode=true&amp;query=idn%3D1072106345</v>
      </c>
      <c r="E584" s="63" t="str">
        <f>'II_Inkunabeln+'!E584</f>
        <v>II 67,1a</v>
      </c>
      <c r="F584" s="63" t="str">
        <f>'II_Inkunabeln+'!H584</f>
        <v>bis 25 cm</v>
      </c>
      <c r="G584" s="93">
        <f>'II_Inkunabeln+'!AG584</f>
        <v>0</v>
      </c>
      <c r="H584" s="93">
        <f>'II_Inkunabeln+'!AP584</f>
        <v>0</v>
      </c>
      <c r="I584" s="93">
        <f>'II_Inkunabeln+'!AQ584</f>
        <v>0</v>
      </c>
      <c r="J584" s="94"/>
      <c r="K584" s="93">
        <f>'II_Inkunabeln+'!AW584</f>
        <v>0</v>
      </c>
      <c r="L584" s="93">
        <f>'II_Inkunabeln+'!AX584</f>
        <v>0</v>
      </c>
      <c r="AA584" s="93">
        <f>'II_Inkunabeln+'!AY584</f>
        <v>0</v>
      </c>
      <c r="AB584" s="94">
        <f>'II_Inkunabeln+'!BA584</f>
        <v>0</v>
      </c>
      <c r="AC584" s="108"/>
      <c r="AD584" s="81">
        <f>'II_Inkunabeln+'!BJ584</f>
        <v>0</v>
      </c>
    </row>
    <row r="585" spans="1:30" x14ac:dyDescent="0.25">
      <c r="A585" s="63">
        <f>'II_Inkunabeln+'!A585</f>
        <v>561</v>
      </c>
      <c r="B585" s="63" t="str">
        <f>'II_Inkunabeln+'!B585</f>
        <v>L-1494-326906622</v>
      </c>
      <c r="C585" s="63">
        <f>'II_Inkunabeln+'!C585</f>
        <v>1072106558</v>
      </c>
      <c r="D585" s="84" t="str">
        <f>'II_Inkunabeln+'!D585</f>
        <v>https://portal.dnb.de/opac.htm?method=simpleSearch&amp;cqlMode=true&amp;query=idn%3D1072106558</v>
      </c>
      <c r="E585" s="63" t="str">
        <f>'II_Inkunabeln+'!E585</f>
        <v>II 67,2a</v>
      </c>
      <c r="F585" s="63" t="str">
        <f>'II_Inkunabeln+'!H585</f>
        <v>bis 25 cm</v>
      </c>
      <c r="G585" s="93">
        <f>'II_Inkunabeln+'!AG585</f>
        <v>0</v>
      </c>
      <c r="H585" s="93">
        <f>'II_Inkunabeln+'!AP585</f>
        <v>0</v>
      </c>
      <c r="I585" s="93">
        <f>'II_Inkunabeln+'!AQ585</f>
        <v>0</v>
      </c>
      <c r="J585" s="94"/>
      <c r="K585" s="93">
        <f>'II_Inkunabeln+'!AW585</f>
        <v>0</v>
      </c>
      <c r="L585" s="93">
        <f>'II_Inkunabeln+'!AX585</f>
        <v>0</v>
      </c>
      <c r="AA585" s="93">
        <f>'II_Inkunabeln+'!AY585</f>
        <v>0</v>
      </c>
      <c r="AB585" s="94">
        <f>'II_Inkunabeln+'!BA585</f>
        <v>0</v>
      </c>
      <c r="AC585" s="108"/>
      <c r="AD585" s="81">
        <f>'II_Inkunabeln+'!BJ585</f>
        <v>0</v>
      </c>
    </row>
    <row r="586" spans="1:30" x14ac:dyDescent="0.25">
      <c r="A586" s="63">
        <f>'II_Inkunabeln+'!A586</f>
        <v>562</v>
      </c>
      <c r="B586" s="63" t="str">
        <f>'II_Inkunabeln+'!B586</f>
        <v>L-1499-315496053</v>
      </c>
      <c r="C586" s="63">
        <f>'II_Inkunabeln+'!C586</f>
        <v>1066965803</v>
      </c>
      <c r="D586" s="84" t="str">
        <f>'II_Inkunabeln+'!D586</f>
        <v>https://portal.dnb.de/opac.htm?method=simpleSearch&amp;cqlMode=true&amp;query=idn%3D1066965803</v>
      </c>
      <c r="E586" s="63" t="str">
        <f>'II_Inkunabeln+'!E586</f>
        <v>II 67,4a</v>
      </c>
      <c r="F586" s="63" t="str">
        <f>'II_Inkunabeln+'!H586</f>
        <v>bis 25 cm</v>
      </c>
      <c r="G586" s="93">
        <f>'II_Inkunabeln+'!AG586</f>
        <v>0</v>
      </c>
      <c r="H586" s="93">
        <f>'II_Inkunabeln+'!AP586</f>
        <v>0</v>
      </c>
      <c r="I586" s="93">
        <f>'II_Inkunabeln+'!AQ586</f>
        <v>0</v>
      </c>
      <c r="J586" s="94"/>
      <c r="K586" s="93">
        <f>'II_Inkunabeln+'!AW586</f>
        <v>0</v>
      </c>
      <c r="L586" s="93">
        <f>'II_Inkunabeln+'!AX586</f>
        <v>0</v>
      </c>
      <c r="AA586" s="93">
        <f>'II_Inkunabeln+'!AY586</f>
        <v>0</v>
      </c>
      <c r="AB586" s="94">
        <f>'II_Inkunabeln+'!BA586</f>
        <v>0</v>
      </c>
      <c r="AC586" s="108"/>
      <c r="AD586" s="81">
        <f>'II_Inkunabeln+'!BJ586</f>
        <v>0</v>
      </c>
    </row>
    <row r="587" spans="1:30" x14ac:dyDescent="0.25">
      <c r="A587" s="63">
        <f>'II_Inkunabeln+'!A587</f>
        <v>563</v>
      </c>
      <c r="B587" s="63" t="str">
        <f>'II_Inkunabeln+'!B587</f>
        <v>L-1480-32690672X</v>
      </c>
      <c r="C587" s="63">
        <f>'II_Inkunabeln+'!C587</f>
        <v>1072106795</v>
      </c>
      <c r="D587" s="84" t="str">
        <f>'II_Inkunabeln+'!D587</f>
        <v>https://portal.dnb.de/opac.htm?method=simpleSearch&amp;cqlMode=true&amp;query=idn%3D1072106795</v>
      </c>
      <c r="E587" s="63" t="str">
        <f>'II_Inkunabeln+'!E587</f>
        <v>II 67,6a</v>
      </c>
      <c r="F587" s="63">
        <f>'II_Inkunabeln+'!H587</f>
        <v>0</v>
      </c>
      <c r="G587" s="93">
        <f>'II_Inkunabeln+'!AG587</f>
        <v>0</v>
      </c>
      <c r="H587" s="93">
        <f>'II_Inkunabeln+'!AP587</f>
        <v>0</v>
      </c>
      <c r="I587" s="93">
        <f>'II_Inkunabeln+'!AQ587</f>
        <v>0</v>
      </c>
      <c r="J587" s="94"/>
      <c r="K587" s="93">
        <f>'II_Inkunabeln+'!AW587</f>
        <v>0</v>
      </c>
      <c r="L587" s="93">
        <f>'II_Inkunabeln+'!AX587</f>
        <v>0</v>
      </c>
      <c r="AA587" s="93">
        <f>'II_Inkunabeln+'!AY587</f>
        <v>0</v>
      </c>
      <c r="AB587" s="94">
        <f>'II_Inkunabeln+'!BA587</f>
        <v>0</v>
      </c>
      <c r="AC587" s="108"/>
      <c r="AD587" s="81">
        <f>'II_Inkunabeln+'!BJ587</f>
        <v>0</v>
      </c>
    </row>
    <row r="588" spans="1:30" x14ac:dyDescent="0.25">
      <c r="A588" s="63">
        <f>'II_Inkunabeln+'!A588</f>
        <v>564</v>
      </c>
      <c r="B588" s="63" t="str">
        <f>'II_Inkunabeln+'!B588</f>
        <v>L-1499-315496223</v>
      </c>
      <c r="C588" s="63">
        <f>'II_Inkunabeln+'!C588</f>
        <v>1066965935</v>
      </c>
      <c r="D588" s="84" t="str">
        <f>'II_Inkunabeln+'!D588</f>
        <v>https://portal.dnb.de/opac.htm?method=simpleSearch&amp;cqlMode=true&amp;query=idn%3D1066965935</v>
      </c>
      <c r="E588" s="63" t="str">
        <f>'II_Inkunabeln+'!E588</f>
        <v>II 67,7a</v>
      </c>
      <c r="F588" s="63">
        <f>'II_Inkunabeln+'!H588</f>
        <v>0</v>
      </c>
      <c r="G588" s="93">
        <f>'II_Inkunabeln+'!AG588</f>
        <v>0</v>
      </c>
      <c r="H588" s="93">
        <f>'II_Inkunabeln+'!AP588</f>
        <v>0</v>
      </c>
      <c r="I588" s="93">
        <f>'II_Inkunabeln+'!AQ588</f>
        <v>0</v>
      </c>
      <c r="J588" s="94"/>
      <c r="K588" s="93">
        <f>'II_Inkunabeln+'!AW588</f>
        <v>0</v>
      </c>
      <c r="L588" s="93">
        <f>'II_Inkunabeln+'!AX588</f>
        <v>0</v>
      </c>
      <c r="AA588" s="93">
        <f>'II_Inkunabeln+'!AY588</f>
        <v>0</v>
      </c>
      <c r="AB588" s="94">
        <f>'II_Inkunabeln+'!BA588</f>
        <v>0</v>
      </c>
      <c r="AC588" s="108"/>
      <c r="AD588" s="81">
        <f>'II_Inkunabeln+'!BJ588</f>
        <v>0</v>
      </c>
    </row>
    <row r="589" spans="1:30" x14ac:dyDescent="0.25">
      <c r="A589" s="63">
        <f>'II_Inkunabeln+'!A589</f>
        <v>565</v>
      </c>
      <c r="B589" s="63" t="str">
        <f>'II_Inkunabeln+'!B589</f>
        <v>L-1495-315501448</v>
      </c>
      <c r="C589" s="63">
        <f>'II_Inkunabeln+'!C589</f>
        <v>1066971080</v>
      </c>
      <c r="D589" s="84" t="str">
        <f>'II_Inkunabeln+'!D589</f>
        <v>https://portal.dnb.de/opac.htm?method=simpleSearch&amp;cqlMode=true&amp;query=idn%3D1066971080</v>
      </c>
      <c r="E589" s="63" t="str">
        <f>'II_Inkunabeln+'!E589</f>
        <v>II 67,9a</v>
      </c>
      <c r="F589" s="63">
        <f>'II_Inkunabeln+'!H589</f>
        <v>0</v>
      </c>
      <c r="G589" s="93">
        <f>'II_Inkunabeln+'!AG589</f>
        <v>0</v>
      </c>
      <c r="H589" s="93">
        <f>'II_Inkunabeln+'!AP589</f>
        <v>0</v>
      </c>
      <c r="I589" s="93">
        <f>'II_Inkunabeln+'!AQ589</f>
        <v>0</v>
      </c>
      <c r="J589" s="94"/>
      <c r="K589" s="93">
        <f>'II_Inkunabeln+'!AW589</f>
        <v>0</v>
      </c>
      <c r="L589" s="93">
        <f>'II_Inkunabeln+'!AX589</f>
        <v>0</v>
      </c>
      <c r="AA589" s="93">
        <f>'II_Inkunabeln+'!AY589</f>
        <v>0</v>
      </c>
      <c r="AB589" s="94">
        <f>'II_Inkunabeln+'!BA589</f>
        <v>0</v>
      </c>
      <c r="AC589" s="108"/>
      <c r="AD589" s="81">
        <f>'II_Inkunabeln+'!BJ589</f>
        <v>0</v>
      </c>
    </row>
    <row r="590" spans="1:30" x14ac:dyDescent="0.25">
      <c r="A590" s="63">
        <f>'II_Inkunabeln+'!A590</f>
        <v>566</v>
      </c>
      <c r="B590" s="63" t="str">
        <f>'II_Inkunabeln+'!B590</f>
        <v>L-1493-315495367</v>
      </c>
      <c r="C590" s="63">
        <f>'II_Inkunabeln+'!C590</f>
        <v>1066965218</v>
      </c>
      <c r="D590" s="84" t="str">
        <f>'II_Inkunabeln+'!D590</f>
        <v>https://portal.dnb.de/opac.htm?method=simpleSearch&amp;cqlMode=true&amp;query=idn%3D1066965218</v>
      </c>
      <c r="E590" s="63" t="str">
        <f>'II_Inkunabeln+'!E590</f>
        <v>II 67,10a</v>
      </c>
      <c r="F590" s="63" t="str">
        <f>'II_Inkunabeln+'!H590</f>
        <v>bis 25 cm</v>
      </c>
      <c r="G590" s="93">
        <f>'II_Inkunabeln+'!AG590</f>
        <v>0</v>
      </c>
      <c r="H590" s="93">
        <f>'II_Inkunabeln+'!AP590</f>
        <v>0</v>
      </c>
      <c r="I590" s="93">
        <f>'II_Inkunabeln+'!AQ590</f>
        <v>0</v>
      </c>
      <c r="J590" s="94"/>
      <c r="K590" s="93">
        <f>'II_Inkunabeln+'!AW590</f>
        <v>0</v>
      </c>
      <c r="L590" s="93">
        <f>'II_Inkunabeln+'!AX590</f>
        <v>0</v>
      </c>
      <c r="AA590" s="93">
        <f>'II_Inkunabeln+'!AY590</f>
        <v>0</v>
      </c>
      <c r="AB590" s="94">
        <f>'II_Inkunabeln+'!BA590</f>
        <v>0</v>
      </c>
      <c r="AC590" s="108"/>
      <c r="AD590" s="81">
        <f>'II_Inkunabeln+'!BJ590</f>
        <v>0</v>
      </c>
    </row>
    <row r="591" spans="1:30" x14ac:dyDescent="0.25">
      <c r="A591" s="63">
        <f>'II_Inkunabeln+'!A591</f>
        <v>567</v>
      </c>
      <c r="B591" s="63" t="str">
        <f>'II_Inkunabeln+'!B591</f>
        <v>L-1493-32767928X</v>
      </c>
      <c r="C591" s="63">
        <f>'II_Inkunabeln+'!C591</f>
        <v>1072378566</v>
      </c>
      <c r="D591" s="84" t="str">
        <f>'II_Inkunabeln+'!D591</f>
        <v>https://portal.dnb.de/opac.htm?method=simpleSearch&amp;cqlMode=true&amp;query=idn%3D1072378566</v>
      </c>
      <c r="E591" s="63" t="str">
        <f>'II_Inkunabeln+'!E591</f>
        <v>II 67,10b</v>
      </c>
      <c r="F591" s="63" t="str">
        <f>'II_Inkunabeln+'!H591</f>
        <v>bis 25 cm</v>
      </c>
      <c r="G591" s="93">
        <f>'II_Inkunabeln+'!AG591</f>
        <v>0</v>
      </c>
      <c r="H591" s="93">
        <f>'II_Inkunabeln+'!AP591</f>
        <v>0</v>
      </c>
      <c r="I591" s="93">
        <f>'II_Inkunabeln+'!AQ591</f>
        <v>0</v>
      </c>
      <c r="J591" s="94"/>
      <c r="K591" s="93">
        <f>'II_Inkunabeln+'!AW591</f>
        <v>0</v>
      </c>
      <c r="L591" s="93">
        <f>'II_Inkunabeln+'!AX591</f>
        <v>0</v>
      </c>
      <c r="AA591" s="93">
        <f>'II_Inkunabeln+'!AY591</f>
        <v>0</v>
      </c>
      <c r="AB591" s="94">
        <f>'II_Inkunabeln+'!BA591</f>
        <v>0</v>
      </c>
      <c r="AC591" s="108"/>
      <c r="AD591" s="81">
        <f>'II_Inkunabeln+'!BJ591</f>
        <v>0</v>
      </c>
    </row>
    <row r="592" spans="1:30" x14ac:dyDescent="0.25">
      <c r="A592" s="63">
        <f>'II_Inkunabeln+'!A592</f>
        <v>568</v>
      </c>
      <c r="B592" s="63" t="str">
        <f>'II_Inkunabeln+'!B592</f>
        <v>L-1475-327679387</v>
      </c>
      <c r="C592" s="63">
        <f>'II_Inkunabeln+'!C592</f>
        <v>1072378760</v>
      </c>
      <c r="D592" s="84" t="str">
        <f>'II_Inkunabeln+'!D592</f>
        <v>https://portal.dnb.de/opac.htm?method=simpleSearch&amp;cqlMode=true&amp;query=idn%3D1072378760</v>
      </c>
      <c r="E592" s="63" t="str">
        <f>'II_Inkunabeln+'!E592</f>
        <v>II 67,11a</v>
      </c>
      <c r="F592" s="63" t="str">
        <f>'II_Inkunabeln+'!H592</f>
        <v>bis 25 cm</v>
      </c>
      <c r="G592" s="93">
        <f>'II_Inkunabeln+'!AG592</f>
        <v>0</v>
      </c>
      <c r="H592" s="93">
        <f>'II_Inkunabeln+'!AP592</f>
        <v>0</v>
      </c>
      <c r="I592" s="93">
        <f>'II_Inkunabeln+'!AQ592</f>
        <v>0</v>
      </c>
      <c r="J592" s="94"/>
      <c r="K592" s="93">
        <f>'II_Inkunabeln+'!AW592</f>
        <v>0</v>
      </c>
      <c r="L592" s="93">
        <f>'II_Inkunabeln+'!AX592</f>
        <v>0</v>
      </c>
      <c r="AA592" s="93">
        <f>'II_Inkunabeln+'!AY592</f>
        <v>0</v>
      </c>
      <c r="AB592" s="94">
        <f>'II_Inkunabeln+'!BA592</f>
        <v>0</v>
      </c>
      <c r="AC592" s="108"/>
      <c r="AD592" s="81">
        <f>'II_Inkunabeln+'!BJ592</f>
        <v>0</v>
      </c>
    </row>
    <row r="593" spans="1:30" x14ac:dyDescent="0.25">
      <c r="A593" s="63">
        <f>'II_Inkunabeln+'!A593</f>
        <v>569</v>
      </c>
      <c r="B593" s="63" t="str">
        <f>'II_Inkunabeln+'!B593</f>
        <v>L-1481-315501057</v>
      </c>
      <c r="C593" s="63" t="str">
        <f>'II_Inkunabeln+'!C593</f>
        <v>106697070X</v>
      </c>
      <c r="D593" s="84" t="str">
        <f>'II_Inkunabeln+'!D593</f>
        <v>https://portal.dnb.de/opac.htm?method=simpleSearch&amp;cqlMode=true&amp;query=idn%3D106697070X</v>
      </c>
      <c r="E593" s="63" t="str">
        <f>'II_Inkunabeln+'!E593</f>
        <v>II 68,1a</v>
      </c>
      <c r="F593" s="63">
        <f>'II_Inkunabeln+'!H593</f>
        <v>0</v>
      </c>
      <c r="G593" s="93">
        <f>'II_Inkunabeln+'!AG593</f>
        <v>0</v>
      </c>
      <c r="H593" s="93">
        <f>'II_Inkunabeln+'!AP593</f>
        <v>0</v>
      </c>
      <c r="I593" s="93">
        <f>'II_Inkunabeln+'!AQ593</f>
        <v>0</v>
      </c>
      <c r="J593" s="94"/>
      <c r="K593" s="93">
        <f>'II_Inkunabeln+'!AW593</f>
        <v>0</v>
      </c>
      <c r="L593" s="93">
        <f>'II_Inkunabeln+'!AX593</f>
        <v>0</v>
      </c>
      <c r="AA593" s="93">
        <f>'II_Inkunabeln+'!AY593</f>
        <v>0</v>
      </c>
      <c r="AB593" s="94">
        <f>'II_Inkunabeln+'!BA593</f>
        <v>0</v>
      </c>
      <c r="AC593" s="108"/>
      <c r="AD593" s="81">
        <f>'II_Inkunabeln+'!BJ593</f>
        <v>0</v>
      </c>
    </row>
    <row r="594" spans="1:30" x14ac:dyDescent="0.25">
      <c r="A594" s="63">
        <f>'II_Inkunabeln+'!A594</f>
        <v>570</v>
      </c>
      <c r="B594" s="63" t="str">
        <f>'II_Inkunabeln+'!B594</f>
        <v>L-1482-343708523</v>
      </c>
      <c r="C594" s="63">
        <f>'II_Inkunabeln+'!C594</f>
        <v>1079560041</v>
      </c>
      <c r="D594" s="84" t="str">
        <f>'II_Inkunabeln+'!D594</f>
        <v>https://portal.dnb.de/opac.htm?method=simpleSearch&amp;cqlMode=true&amp;query=idn%3D1079560041</v>
      </c>
      <c r="E594" s="63" t="str">
        <f>'II_Inkunabeln+'!E594</f>
        <v>II 68,1b</v>
      </c>
      <c r="F594" s="63" t="str">
        <f>'II_Inkunabeln+'!H594</f>
        <v>bis 25 cm</v>
      </c>
      <c r="G594" s="93">
        <f>'II_Inkunabeln+'!AG594</f>
        <v>0</v>
      </c>
      <c r="H594" s="93">
        <f>'II_Inkunabeln+'!AP594</f>
        <v>0</v>
      </c>
      <c r="I594" s="93">
        <f>'II_Inkunabeln+'!AQ594</f>
        <v>0</v>
      </c>
      <c r="J594" s="94"/>
      <c r="K594" s="93">
        <f>'II_Inkunabeln+'!AW594</f>
        <v>0</v>
      </c>
      <c r="L594" s="93">
        <f>'II_Inkunabeln+'!AX594</f>
        <v>0</v>
      </c>
      <c r="AA594" s="93">
        <f>'II_Inkunabeln+'!AY594</f>
        <v>0</v>
      </c>
      <c r="AB594" s="94">
        <f>'II_Inkunabeln+'!BA594</f>
        <v>0</v>
      </c>
      <c r="AC594" s="108"/>
      <c r="AD594" s="81">
        <f>'II_Inkunabeln+'!BJ594</f>
        <v>0</v>
      </c>
    </row>
    <row r="595" spans="1:30" x14ac:dyDescent="0.25">
      <c r="A595" s="63">
        <f>'II_Inkunabeln+'!A595</f>
        <v>571</v>
      </c>
      <c r="B595" s="63" t="str">
        <f>'II_Inkunabeln+'!B595</f>
        <v>L-1481-326907726</v>
      </c>
      <c r="C595" s="63">
        <f>'II_Inkunabeln+'!C595</f>
        <v>1072108216</v>
      </c>
      <c r="D595" s="84" t="str">
        <f>'II_Inkunabeln+'!D595</f>
        <v>https://portal.dnb.de/opac.htm?method=simpleSearch&amp;cqlMode=true&amp;query=idn%3D1072108216</v>
      </c>
      <c r="E595" s="63" t="str">
        <f>'II_Inkunabeln+'!E595</f>
        <v>II 69,1a</v>
      </c>
      <c r="F595" s="63">
        <f>'II_Inkunabeln+'!H595</f>
        <v>0</v>
      </c>
      <c r="G595" s="93">
        <f>'II_Inkunabeln+'!AG595</f>
        <v>0</v>
      </c>
      <c r="H595" s="93">
        <f>'II_Inkunabeln+'!AP595</f>
        <v>0</v>
      </c>
      <c r="I595" s="93">
        <f>'II_Inkunabeln+'!AQ595</f>
        <v>0</v>
      </c>
      <c r="J595" s="94"/>
      <c r="K595" s="93">
        <f>'II_Inkunabeln+'!AW595</f>
        <v>0</v>
      </c>
      <c r="L595" s="93">
        <f>'II_Inkunabeln+'!AX595</f>
        <v>0</v>
      </c>
      <c r="AA595" s="93">
        <f>'II_Inkunabeln+'!AY595</f>
        <v>0</v>
      </c>
      <c r="AB595" s="94">
        <f>'II_Inkunabeln+'!BA595</f>
        <v>0</v>
      </c>
      <c r="AC595" s="108"/>
      <c r="AD595" s="81">
        <f>'II_Inkunabeln+'!BJ595</f>
        <v>0</v>
      </c>
    </row>
    <row r="596" spans="1:30" x14ac:dyDescent="0.25">
      <c r="A596" s="63">
        <f>'II_Inkunabeln+'!A596</f>
        <v>572</v>
      </c>
      <c r="B596" s="63" t="str">
        <f>'II_Inkunabeln+'!B596</f>
        <v>L-1498-315495375</v>
      </c>
      <c r="C596" s="63">
        <f>'II_Inkunabeln+'!C596</f>
        <v>1066965226</v>
      </c>
      <c r="D596" s="84" t="str">
        <f>'II_Inkunabeln+'!D596</f>
        <v>https://portal.dnb.de/opac.htm?method=simpleSearch&amp;cqlMode=true&amp;query=idn%3D1066965226</v>
      </c>
      <c r="E596" s="63" t="str">
        <f>'II_Inkunabeln+'!E596</f>
        <v>II 69,2a</v>
      </c>
      <c r="F596" s="63">
        <f>'II_Inkunabeln+'!H596</f>
        <v>0</v>
      </c>
      <c r="G596" s="93">
        <f>'II_Inkunabeln+'!AG596</f>
        <v>0</v>
      </c>
      <c r="H596" s="93">
        <f>'II_Inkunabeln+'!AP596</f>
        <v>0</v>
      </c>
      <c r="I596" s="93">
        <f>'II_Inkunabeln+'!AQ596</f>
        <v>0</v>
      </c>
      <c r="J596" s="94"/>
      <c r="K596" s="93">
        <f>'II_Inkunabeln+'!AW596</f>
        <v>0</v>
      </c>
      <c r="L596" s="93">
        <f>'II_Inkunabeln+'!AX596</f>
        <v>0</v>
      </c>
      <c r="AA596" s="93">
        <f>'II_Inkunabeln+'!AY596</f>
        <v>0</v>
      </c>
      <c r="AB596" s="94">
        <f>'II_Inkunabeln+'!BA596</f>
        <v>0</v>
      </c>
      <c r="AC596" s="108"/>
      <c r="AD596" s="81">
        <f>'II_Inkunabeln+'!BJ596</f>
        <v>0</v>
      </c>
    </row>
    <row r="597" spans="1:30" x14ac:dyDescent="0.25">
      <c r="A597" s="63">
        <f>'II_Inkunabeln+'!A597</f>
        <v>573</v>
      </c>
      <c r="B597" s="63" t="str">
        <f>'II_Inkunabeln+'!B597</f>
        <v>L-1484-327679522</v>
      </c>
      <c r="C597" s="63">
        <f>'II_Inkunabeln+'!C597</f>
        <v>1072378957</v>
      </c>
      <c r="D597" s="84" t="str">
        <f>'II_Inkunabeln+'!D597</f>
        <v>https://portal.dnb.de/opac.htm?method=simpleSearch&amp;cqlMode=true&amp;query=idn%3D1072378957</v>
      </c>
      <c r="E597" s="63" t="str">
        <f>'II_Inkunabeln+'!E597</f>
        <v>II 69,3a</v>
      </c>
      <c r="F597" s="63">
        <f>'II_Inkunabeln+'!H597</f>
        <v>0</v>
      </c>
      <c r="G597" s="93">
        <f>'II_Inkunabeln+'!AG597</f>
        <v>0</v>
      </c>
      <c r="H597" s="93">
        <f>'II_Inkunabeln+'!AP597</f>
        <v>0</v>
      </c>
      <c r="I597" s="93">
        <f>'II_Inkunabeln+'!AQ597</f>
        <v>0</v>
      </c>
      <c r="J597" s="94"/>
      <c r="K597" s="93">
        <f>'II_Inkunabeln+'!AW597</f>
        <v>0</v>
      </c>
      <c r="L597" s="93">
        <f>'II_Inkunabeln+'!AX597</f>
        <v>0</v>
      </c>
      <c r="AA597" s="93">
        <f>'II_Inkunabeln+'!AY597</f>
        <v>0</v>
      </c>
      <c r="AB597" s="94">
        <f>'II_Inkunabeln+'!BA597</f>
        <v>0</v>
      </c>
      <c r="AC597" s="108"/>
      <c r="AD597" s="81">
        <f>'II_Inkunabeln+'!BJ597</f>
        <v>0</v>
      </c>
    </row>
    <row r="598" spans="1:30" x14ac:dyDescent="0.25">
      <c r="A598" s="63">
        <f>'II_Inkunabeln+'!A598</f>
        <v>574</v>
      </c>
      <c r="B598" s="63" t="str">
        <f>'II_Inkunabeln+'!B598</f>
        <v>L-1498-326910484</v>
      </c>
      <c r="C598" s="63">
        <f>'II_Inkunabeln+'!C598</f>
        <v>1072111624</v>
      </c>
      <c r="D598" s="84" t="str">
        <f>'II_Inkunabeln+'!D598</f>
        <v>https://portal.dnb.de/opac.htm?method=simpleSearch&amp;cqlMode=true&amp;query=idn%3D1072111624</v>
      </c>
      <c r="E598" s="63" t="str">
        <f>'II_Inkunabeln+'!E598</f>
        <v>II 70,1a</v>
      </c>
      <c r="F598" s="63">
        <f>'II_Inkunabeln+'!H598</f>
        <v>0</v>
      </c>
      <c r="G598" s="93">
        <f>'II_Inkunabeln+'!AG598</f>
        <v>0</v>
      </c>
      <c r="H598" s="93">
        <f>'II_Inkunabeln+'!AP598</f>
        <v>0</v>
      </c>
      <c r="I598" s="93">
        <f>'II_Inkunabeln+'!AQ598</f>
        <v>0</v>
      </c>
      <c r="J598" s="94"/>
      <c r="K598" s="93">
        <f>'II_Inkunabeln+'!AW598</f>
        <v>0</v>
      </c>
      <c r="L598" s="93">
        <f>'II_Inkunabeln+'!AX598</f>
        <v>0</v>
      </c>
      <c r="AA598" s="93">
        <f>'II_Inkunabeln+'!AY598</f>
        <v>0</v>
      </c>
      <c r="AB598" s="94">
        <f>'II_Inkunabeln+'!BA598</f>
        <v>0</v>
      </c>
      <c r="AC598" s="108"/>
      <c r="AD598" s="81">
        <f>'II_Inkunabeln+'!BJ598</f>
        <v>0</v>
      </c>
    </row>
    <row r="599" spans="1:30" x14ac:dyDescent="0.25">
      <c r="A599" s="63">
        <f>'II_Inkunabeln+'!A599</f>
        <v>575</v>
      </c>
      <c r="B599" s="63" t="str">
        <f>'II_Inkunabeln+'!B599</f>
        <v>L-1485-326910751</v>
      </c>
      <c r="C599" s="63">
        <f>'II_Inkunabeln+'!C599</f>
        <v>1072112019</v>
      </c>
      <c r="D599" s="84" t="str">
        <f>'II_Inkunabeln+'!D599</f>
        <v>https://portal.dnb.de/opac.htm?method=simpleSearch&amp;cqlMode=true&amp;query=idn%3D1072112019</v>
      </c>
      <c r="E599" s="63" t="str">
        <f>'II_Inkunabeln+'!E599</f>
        <v>II 72,1a</v>
      </c>
      <c r="F599" s="63" t="str">
        <f>'II_Inkunabeln+'!H599</f>
        <v>bis 25 cm</v>
      </c>
      <c r="G599" s="93">
        <f>'II_Inkunabeln+'!AG599</f>
        <v>0</v>
      </c>
      <c r="H599" s="93">
        <f>'II_Inkunabeln+'!AP599</f>
        <v>0</v>
      </c>
      <c r="I599" s="93">
        <f>'II_Inkunabeln+'!AQ599</f>
        <v>0</v>
      </c>
      <c r="J599" s="94"/>
      <c r="K599" s="93">
        <f>'II_Inkunabeln+'!AW599</f>
        <v>0</v>
      </c>
      <c r="L599" s="93">
        <f>'II_Inkunabeln+'!AX599</f>
        <v>0</v>
      </c>
      <c r="AA599" s="93">
        <f>'II_Inkunabeln+'!AY599</f>
        <v>0</v>
      </c>
      <c r="AB599" s="94">
        <f>'II_Inkunabeln+'!BA599</f>
        <v>0</v>
      </c>
      <c r="AC599" s="108"/>
      <c r="AD599" s="81">
        <f>'II_Inkunabeln+'!BJ599</f>
        <v>0</v>
      </c>
    </row>
    <row r="600" spans="1:30" x14ac:dyDescent="0.25">
      <c r="A600" s="63">
        <f>'II_Inkunabeln+'!A600</f>
        <v>576</v>
      </c>
      <c r="B600" s="63" t="str">
        <f>'II_Inkunabeln+'!B600</f>
        <v>L-1481-315497114</v>
      </c>
      <c r="C600" s="63">
        <f>'II_Inkunabeln+'!C600</f>
        <v>1066966818</v>
      </c>
      <c r="D600" s="84" t="str">
        <f>'II_Inkunabeln+'!D600</f>
        <v>https://portal.dnb.de/opac.htm?method=simpleSearch&amp;cqlMode=true&amp;query=idn%3D1066966818</v>
      </c>
      <c r="E600" s="63" t="str">
        <f>'II_Inkunabeln+'!E600</f>
        <v>II 74,1a</v>
      </c>
      <c r="F600" s="63" t="str">
        <f>'II_Inkunabeln+'!H600</f>
        <v>bis 35 cm</v>
      </c>
      <c r="G600" s="93">
        <f>'II_Inkunabeln+'!AG600</f>
        <v>0</v>
      </c>
      <c r="H600" s="93">
        <f>'II_Inkunabeln+'!AP600</f>
        <v>0</v>
      </c>
      <c r="I600" s="93">
        <f>'II_Inkunabeln+'!AQ600</f>
        <v>0</v>
      </c>
      <c r="J600" s="94"/>
      <c r="K600" s="93">
        <f>'II_Inkunabeln+'!AW600</f>
        <v>0</v>
      </c>
      <c r="L600" s="93">
        <f>'II_Inkunabeln+'!AX600</f>
        <v>0</v>
      </c>
      <c r="AA600" s="93">
        <f>'II_Inkunabeln+'!AY600</f>
        <v>0</v>
      </c>
      <c r="AB600" s="94">
        <f>'II_Inkunabeln+'!BA600</f>
        <v>0</v>
      </c>
      <c r="AC600" s="108"/>
      <c r="AD600" s="81">
        <f>'II_Inkunabeln+'!BJ600</f>
        <v>0</v>
      </c>
    </row>
    <row r="601" spans="1:30" x14ac:dyDescent="0.25">
      <c r="A601" s="63">
        <f>'II_Inkunabeln+'!A601</f>
        <v>577</v>
      </c>
      <c r="B601" s="63" t="str">
        <f>'II_Inkunabeln+'!B601</f>
        <v>L-1494-315495693</v>
      </c>
      <c r="C601" s="63">
        <f>'II_Inkunabeln+'!C601</f>
        <v>1066965455</v>
      </c>
      <c r="D601" s="84" t="str">
        <f>'II_Inkunabeln+'!D601</f>
        <v>https://portal.dnb.de/opac.htm?method=simpleSearch&amp;cqlMode=true&amp;query=idn%3D1066965455</v>
      </c>
      <c r="E601" s="63" t="str">
        <f>'II_Inkunabeln+'!E601</f>
        <v>II 74,2a</v>
      </c>
      <c r="F601" s="63">
        <f>'II_Inkunabeln+'!H601</f>
        <v>0</v>
      </c>
      <c r="G601" s="93">
        <f>'II_Inkunabeln+'!AG601</f>
        <v>0</v>
      </c>
      <c r="H601" s="93">
        <f>'II_Inkunabeln+'!AP601</f>
        <v>0</v>
      </c>
      <c r="I601" s="93">
        <f>'II_Inkunabeln+'!AQ601</f>
        <v>0</v>
      </c>
      <c r="J601" s="94"/>
      <c r="K601" s="93">
        <f>'II_Inkunabeln+'!AW601</f>
        <v>0</v>
      </c>
      <c r="L601" s="93">
        <f>'II_Inkunabeln+'!AX601</f>
        <v>0</v>
      </c>
      <c r="AA601" s="93">
        <f>'II_Inkunabeln+'!AY601</f>
        <v>0</v>
      </c>
      <c r="AB601" s="94">
        <f>'II_Inkunabeln+'!BA601</f>
        <v>0</v>
      </c>
      <c r="AC601" s="108"/>
      <c r="AD601" s="81">
        <f>'II_Inkunabeln+'!BJ601</f>
        <v>0</v>
      </c>
    </row>
    <row r="602" spans="1:30" x14ac:dyDescent="0.25">
      <c r="A602" s="63">
        <f>'II_Inkunabeln+'!A602</f>
        <v>578</v>
      </c>
      <c r="B602" s="63" t="str">
        <f>'II_Inkunabeln+'!B602</f>
        <v>L-1498-315497718</v>
      </c>
      <c r="C602" s="63">
        <f>'II_Inkunabeln+'!C602</f>
        <v>1066967458</v>
      </c>
      <c r="D602" s="84" t="str">
        <f>'II_Inkunabeln+'!D602</f>
        <v>https://portal.dnb.de/opac.htm?method=simpleSearch&amp;cqlMode=true&amp;query=idn%3D1066967458</v>
      </c>
      <c r="E602" s="63" t="str">
        <f>'II_Inkunabeln+'!E602</f>
        <v>II 74,3a</v>
      </c>
      <c r="F602" s="63" t="str">
        <f>'II_Inkunabeln+'!H602</f>
        <v>bis 25 cm</v>
      </c>
      <c r="G602" s="93">
        <f>'II_Inkunabeln+'!AG602</f>
        <v>0</v>
      </c>
      <c r="H602" s="93">
        <f>'II_Inkunabeln+'!AP602</f>
        <v>0</v>
      </c>
      <c r="I602" s="93">
        <f>'II_Inkunabeln+'!AQ602</f>
        <v>0</v>
      </c>
      <c r="J602" s="94"/>
      <c r="K602" s="93">
        <f>'II_Inkunabeln+'!AW602</f>
        <v>0</v>
      </c>
      <c r="L602" s="93">
        <f>'II_Inkunabeln+'!AX602</f>
        <v>0</v>
      </c>
      <c r="AA602" s="93">
        <f>'II_Inkunabeln+'!AY602</f>
        <v>0</v>
      </c>
      <c r="AB602" s="94">
        <f>'II_Inkunabeln+'!BA602</f>
        <v>0</v>
      </c>
      <c r="AC602" s="108"/>
      <c r="AD602" s="81">
        <f>'II_Inkunabeln+'!BJ602</f>
        <v>0</v>
      </c>
    </row>
    <row r="603" spans="1:30" x14ac:dyDescent="0.25">
      <c r="A603" s="63">
        <f>'II_Inkunabeln+'!A603</f>
        <v>579</v>
      </c>
      <c r="B603" s="63" t="str">
        <f>'II_Inkunabeln+'!B603</f>
        <v>L-1470-320163695</v>
      </c>
      <c r="C603" s="63">
        <f>'II_Inkunabeln+'!C603</f>
        <v>1069014885</v>
      </c>
      <c r="D603" s="84" t="str">
        <f>'II_Inkunabeln+'!D603</f>
        <v>https://portal.dnb.de/opac.htm?method=simpleSearch&amp;cqlMode=true&amp;query=idn%3D1069014885</v>
      </c>
      <c r="E603" s="63" t="str">
        <f>'II_Inkunabeln+'!E603</f>
        <v>II 75,1b - 1</v>
      </c>
      <c r="F603" s="63">
        <f>'II_Inkunabeln+'!H603</f>
        <v>0</v>
      </c>
      <c r="G603" s="93">
        <f>'II_Inkunabeln+'!AG603</f>
        <v>0</v>
      </c>
      <c r="H603" s="93">
        <f>'II_Inkunabeln+'!AP603</f>
        <v>0</v>
      </c>
      <c r="I603" s="93">
        <f>'II_Inkunabeln+'!AQ603</f>
        <v>0</v>
      </c>
      <c r="J603" s="94"/>
      <c r="K603" s="93">
        <f>'II_Inkunabeln+'!AW603</f>
        <v>0</v>
      </c>
      <c r="L603" s="93">
        <f>'II_Inkunabeln+'!AX603</f>
        <v>0</v>
      </c>
      <c r="AA603" s="93">
        <f>'II_Inkunabeln+'!AY603</f>
        <v>0</v>
      </c>
      <c r="AB603" s="94">
        <f>'II_Inkunabeln+'!BA603</f>
        <v>0</v>
      </c>
      <c r="AC603" s="108"/>
      <c r="AD603" s="81">
        <f>'II_Inkunabeln+'!BJ603</f>
        <v>0</v>
      </c>
    </row>
    <row r="604" spans="1:30" x14ac:dyDescent="0.25">
      <c r="A604" s="63">
        <f>'II_Inkunabeln+'!A604</f>
        <v>580</v>
      </c>
      <c r="B604" s="63" t="str">
        <f>'II_Inkunabeln+'!B604</f>
        <v>L-1470-320163733</v>
      </c>
      <c r="C604" s="63" t="str">
        <f>'II_Inkunabeln+'!C604</f>
        <v>106901494X</v>
      </c>
      <c r="D604" s="84" t="str">
        <f>'II_Inkunabeln+'!D604</f>
        <v>https://portal.dnb.de/opac.htm?method=simpleSearch&amp;cqlMode=true&amp;query=idn%3D106901494X</v>
      </c>
      <c r="E604" s="63" t="str">
        <f>'II_Inkunabeln+'!E604</f>
        <v>II 75,1b - 2</v>
      </c>
      <c r="F604" s="63">
        <f>'II_Inkunabeln+'!H604</f>
        <v>0</v>
      </c>
      <c r="G604" s="93">
        <f>'II_Inkunabeln+'!AG604</f>
        <v>0</v>
      </c>
      <c r="H604" s="93">
        <f>'II_Inkunabeln+'!AP604</f>
        <v>0</v>
      </c>
      <c r="I604" s="93">
        <f>'II_Inkunabeln+'!AQ604</f>
        <v>0</v>
      </c>
      <c r="J604" s="94"/>
      <c r="K604" s="93">
        <f>'II_Inkunabeln+'!AW604</f>
        <v>0</v>
      </c>
      <c r="L604" s="93">
        <f>'II_Inkunabeln+'!AX604</f>
        <v>0</v>
      </c>
      <c r="AA604" s="93">
        <f>'II_Inkunabeln+'!AY604</f>
        <v>0</v>
      </c>
      <c r="AB604" s="94">
        <f>'II_Inkunabeln+'!BA604</f>
        <v>0</v>
      </c>
      <c r="AC604" s="108"/>
      <c r="AD604" s="81">
        <f>'II_Inkunabeln+'!BJ604</f>
        <v>0</v>
      </c>
    </row>
    <row r="605" spans="1:30" x14ac:dyDescent="0.25">
      <c r="A605" s="63">
        <f>'II_Inkunabeln+'!A605</f>
        <v>581</v>
      </c>
      <c r="B605" s="63" t="str">
        <f>'II_Inkunabeln+'!B605</f>
        <v>L-1476-315502517</v>
      </c>
      <c r="C605" s="63">
        <f>'II_Inkunabeln+'!C605</f>
        <v>1066972095</v>
      </c>
      <c r="D605" s="84" t="str">
        <f>'II_Inkunabeln+'!D605</f>
        <v>https://portal.dnb.de/opac.htm?method=simpleSearch&amp;cqlMode=true&amp;query=idn%3D1066972095</v>
      </c>
      <c r="E605" s="63" t="str">
        <f>'II_Inkunabeln+'!E605</f>
        <v>II 75,2e</v>
      </c>
      <c r="F605" s="63">
        <f>'II_Inkunabeln+'!H605</f>
        <v>0</v>
      </c>
      <c r="G605" s="93">
        <f>'II_Inkunabeln+'!AG605</f>
        <v>0</v>
      </c>
      <c r="H605" s="93">
        <f>'II_Inkunabeln+'!AP605</f>
        <v>0</v>
      </c>
      <c r="I605" s="93">
        <f>'II_Inkunabeln+'!AQ605</f>
        <v>0</v>
      </c>
      <c r="J605" s="94"/>
      <c r="K605" s="93">
        <f>'II_Inkunabeln+'!AW605</f>
        <v>0</v>
      </c>
      <c r="L605" s="93">
        <f>'II_Inkunabeln+'!AX605</f>
        <v>0</v>
      </c>
      <c r="AA605" s="93">
        <f>'II_Inkunabeln+'!AY605</f>
        <v>0</v>
      </c>
      <c r="AB605" s="94">
        <f>'II_Inkunabeln+'!BA605</f>
        <v>0</v>
      </c>
      <c r="AC605" s="108"/>
      <c r="AD605" s="81">
        <f>'II_Inkunabeln+'!BJ605</f>
        <v>0</v>
      </c>
    </row>
    <row r="606" spans="1:30" x14ac:dyDescent="0.25">
      <c r="A606" s="63">
        <f>'II_Inkunabeln+'!A606</f>
        <v>582</v>
      </c>
      <c r="B606" s="63" t="str">
        <f>'II_Inkunabeln+'!B606</f>
        <v>L-1495-326993355</v>
      </c>
      <c r="C606" s="63">
        <f>'II_Inkunabeln+'!C606</f>
        <v>1072153890</v>
      </c>
      <c r="D606" s="84" t="str">
        <f>'II_Inkunabeln+'!D606</f>
        <v>https://portal.dnb.de/opac.htm?method=simpleSearch&amp;cqlMode=true&amp;query=idn%3D1072153890</v>
      </c>
      <c r="E606" s="63" t="str">
        <f>'II_Inkunabeln+'!E606</f>
        <v>II 76,1a</v>
      </c>
      <c r="F606" s="63">
        <f>'II_Inkunabeln+'!H606</f>
        <v>0</v>
      </c>
      <c r="G606" s="93">
        <f>'II_Inkunabeln+'!AG606</f>
        <v>0</v>
      </c>
      <c r="H606" s="93">
        <f>'II_Inkunabeln+'!AP606</f>
        <v>0</v>
      </c>
      <c r="I606" s="93">
        <f>'II_Inkunabeln+'!AQ606</f>
        <v>0</v>
      </c>
      <c r="J606" s="94"/>
      <c r="K606" s="93">
        <f>'II_Inkunabeln+'!AW606</f>
        <v>0</v>
      </c>
      <c r="L606" s="93">
        <f>'II_Inkunabeln+'!AX606</f>
        <v>0</v>
      </c>
      <c r="AA606" s="93">
        <f>'II_Inkunabeln+'!AY606</f>
        <v>0</v>
      </c>
      <c r="AB606" s="94">
        <f>'II_Inkunabeln+'!BA606</f>
        <v>0</v>
      </c>
      <c r="AC606" s="108"/>
      <c r="AD606" s="81">
        <f>'II_Inkunabeln+'!BJ606</f>
        <v>0</v>
      </c>
    </row>
    <row r="607" spans="1:30" x14ac:dyDescent="0.25">
      <c r="A607" s="63">
        <f>'II_Inkunabeln+'!A607</f>
        <v>583</v>
      </c>
      <c r="B607" s="63" t="str">
        <f>'II_Inkunabeln+'!B607</f>
        <v>L-1492-326993479</v>
      </c>
      <c r="C607" s="63">
        <f>'II_Inkunabeln+'!C607</f>
        <v>1072153998</v>
      </c>
      <c r="D607" s="84" t="str">
        <f>'II_Inkunabeln+'!D607</f>
        <v>https://portal.dnb.de/opac.htm?method=simpleSearch&amp;cqlMode=true&amp;query=idn%3D1072153998</v>
      </c>
      <c r="E607" s="63" t="str">
        <f>'II_Inkunabeln+'!E607</f>
        <v>II 80,1a</v>
      </c>
      <c r="F607" s="63">
        <f>'II_Inkunabeln+'!H607</f>
        <v>0</v>
      </c>
      <c r="G607" s="93">
        <f>'II_Inkunabeln+'!AG607</f>
        <v>0</v>
      </c>
      <c r="H607" s="93">
        <f>'II_Inkunabeln+'!AP607</f>
        <v>0</v>
      </c>
      <c r="I607" s="93">
        <f>'II_Inkunabeln+'!AQ607</f>
        <v>0</v>
      </c>
      <c r="J607" s="94"/>
      <c r="K607" s="93">
        <f>'II_Inkunabeln+'!AW607</f>
        <v>0</v>
      </c>
      <c r="L607" s="93">
        <f>'II_Inkunabeln+'!AX607</f>
        <v>0</v>
      </c>
      <c r="AA607" s="93">
        <f>'II_Inkunabeln+'!AY607</f>
        <v>0</v>
      </c>
      <c r="AB607" s="94">
        <f>'II_Inkunabeln+'!BA607</f>
        <v>0</v>
      </c>
      <c r="AC607" s="108"/>
      <c r="AD607" s="81">
        <f>'II_Inkunabeln+'!BJ607</f>
        <v>0</v>
      </c>
    </row>
    <row r="608" spans="1:30" x14ac:dyDescent="0.25">
      <c r="A608" s="63">
        <f>'II_Inkunabeln+'!A608</f>
        <v>584</v>
      </c>
      <c r="B608" s="63" t="str">
        <f>'II_Inkunabeln+'!B608</f>
        <v>L-1476-326993541</v>
      </c>
      <c r="C608" s="63">
        <f>'II_Inkunabeln+'!C608</f>
        <v>1072154080</v>
      </c>
      <c r="D608" s="84" t="str">
        <f>'II_Inkunabeln+'!D608</f>
        <v>https://portal.dnb.de/opac.htm?method=simpleSearch&amp;cqlMode=true&amp;query=idn%3D1072154080</v>
      </c>
      <c r="E608" s="63" t="str">
        <f>'II_Inkunabeln+'!E608</f>
        <v>II 80,2a</v>
      </c>
      <c r="F608" s="63" t="str">
        <f>'II_Inkunabeln+'!H608</f>
        <v>bis 35 cm</v>
      </c>
      <c r="G608" s="93">
        <f>'II_Inkunabeln+'!AG608</f>
        <v>0</v>
      </c>
      <c r="H608" s="93">
        <f>'II_Inkunabeln+'!AP608</f>
        <v>0</v>
      </c>
      <c r="I608" s="93">
        <f>'II_Inkunabeln+'!AQ608</f>
        <v>0</v>
      </c>
      <c r="J608" s="94"/>
      <c r="K608" s="93">
        <f>'II_Inkunabeln+'!AW608</f>
        <v>0</v>
      </c>
      <c r="L608" s="93">
        <f>'II_Inkunabeln+'!AX608</f>
        <v>0</v>
      </c>
      <c r="AA608" s="93">
        <f>'II_Inkunabeln+'!AY608</f>
        <v>0</v>
      </c>
      <c r="AB608" s="94">
        <f>'II_Inkunabeln+'!BA608</f>
        <v>0</v>
      </c>
      <c r="AC608" s="108"/>
      <c r="AD608" s="81">
        <f>'II_Inkunabeln+'!BJ608</f>
        <v>0</v>
      </c>
    </row>
    <row r="609" spans="1:30" x14ac:dyDescent="0.25">
      <c r="A609" s="63">
        <f>'II_Inkunabeln+'!A609</f>
        <v>585</v>
      </c>
      <c r="B609" s="63" t="str">
        <f>'II_Inkunabeln+'!B609</f>
        <v>L-1477-326993959</v>
      </c>
      <c r="C609" s="63">
        <f>'II_Inkunabeln+'!C609</f>
        <v>1072154773</v>
      </c>
      <c r="D609" s="84" t="str">
        <f>'II_Inkunabeln+'!D609</f>
        <v>https://portal.dnb.de/opac.htm?method=simpleSearch&amp;cqlMode=true&amp;query=idn%3D1072154773</v>
      </c>
      <c r="E609" s="63" t="str">
        <f>'II_Inkunabeln+'!E609</f>
        <v>II 80,3a</v>
      </c>
      <c r="F609" s="63">
        <f>'II_Inkunabeln+'!H609</f>
        <v>0</v>
      </c>
      <c r="G609" s="93">
        <f>'II_Inkunabeln+'!AG609</f>
        <v>0</v>
      </c>
      <c r="H609" s="93">
        <f>'II_Inkunabeln+'!AP609</f>
        <v>0</v>
      </c>
      <c r="I609" s="93">
        <f>'II_Inkunabeln+'!AQ609</f>
        <v>0</v>
      </c>
      <c r="J609" s="94"/>
      <c r="K609" s="93">
        <f>'II_Inkunabeln+'!AW609</f>
        <v>0</v>
      </c>
      <c r="L609" s="93">
        <f>'II_Inkunabeln+'!AX609</f>
        <v>0</v>
      </c>
      <c r="AA609" s="93">
        <f>'II_Inkunabeln+'!AY609</f>
        <v>0</v>
      </c>
      <c r="AB609" s="94">
        <f>'II_Inkunabeln+'!BA609</f>
        <v>0</v>
      </c>
      <c r="AC609" s="108"/>
      <c r="AD609" s="81">
        <f>'II_Inkunabeln+'!BJ609</f>
        <v>0</v>
      </c>
    </row>
    <row r="610" spans="1:30" x14ac:dyDescent="0.25">
      <c r="A610" s="63">
        <f>'II_Inkunabeln+'!A610</f>
        <v>586</v>
      </c>
      <c r="B610" s="63" t="str">
        <f>'II_Inkunabeln+'!B610</f>
        <v>L-1480-326998527</v>
      </c>
      <c r="C610" s="63">
        <f>'II_Inkunabeln+'!C610</f>
        <v>1072161362</v>
      </c>
      <c r="D610" s="84" t="str">
        <f>'II_Inkunabeln+'!D610</f>
        <v>https://portal.dnb.de/opac.htm?method=simpleSearch&amp;cqlMode=true&amp;query=idn%3D1072161362</v>
      </c>
      <c r="E610" s="63" t="str">
        <f>'II_Inkunabeln+'!E610</f>
        <v>II 80,5a</v>
      </c>
      <c r="F610" s="63">
        <f>'II_Inkunabeln+'!H610</f>
        <v>0</v>
      </c>
      <c r="G610" s="93">
        <f>'II_Inkunabeln+'!AG610</f>
        <v>0</v>
      </c>
      <c r="H610" s="93">
        <f>'II_Inkunabeln+'!AP610</f>
        <v>0</v>
      </c>
      <c r="I610" s="93">
        <f>'II_Inkunabeln+'!AQ610</f>
        <v>0</v>
      </c>
      <c r="J610" s="94"/>
      <c r="K610" s="93">
        <f>'II_Inkunabeln+'!AW610</f>
        <v>0</v>
      </c>
      <c r="L610" s="93">
        <f>'II_Inkunabeln+'!AX610</f>
        <v>0</v>
      </c>
      <c r="AA610" s="93">
        <f>'II_Inkunabeln+'!AY610</f>
        <v>0</v>
      </c>
      <c r="AB610" s="94">
        <f>'II_Inkunabeln+'!BA610</f>
        <v>0</v>
      </c>
      <c r="AC610" s="108"/>
      <c r="AD610" s="81">
        <f>'II_Inkunabeln+'!BJ610</f>
        <v>0</v>
      </c>
    </row>
    <row r="611" spans="1:30" x14ac:dyDescent="0.25">
      <c r="A611" s="63">
        <f>'II_Inkunabeln+'!A611</f>
        <v>587</v>
      </c>
      <c r="B611" s="63" t="str">
        <f>'II_Inkunabeln+'!B611</f>
        <v>L-1480-326998683</v>
      </c>
      <c r="C611" s="63">
        <f>'II_Inkunabeln+'!C611</f>
        <v>1072161729</v>
      </c>
      <c r="D611" s="84" t="str">
        <f>'II_Inkunabeln+'!D611</f>
        <v>https://portal.dnb.de/opac.htm?method=simpleSearch&amp;cqlMode=true&amp;query=idn%3D1072161729</v>
      </c>
      <c r="E611" s="63" t="str">
        <f>'II_Inkunabeln+'!E611</f>
        <v>II 80,6a</v>
      </c>
      <c r="F611" s="63">
        <f>'II_Inkunabeln+'!H611</f>
        <v>0</v>
      </c>
      <c r="G611" s="93">
        <f>'II_Inkunabeln+'!AG611</f>
        <v>0</v>
      </c>
      <c r="H611" s="93">
        <f>'II_Inkunabeln+'!AP611</f>
        <v>0</v>
      </c>
      <c r="I611" s="93">
        <f>'II_Inkunabeln+'!AQ611</f>
        <v>0</v>
      </c>
      <c r="J611" s="94"/>
      <c r="K611" s="93">
        <f>'II_Inkunabeln+'!AW611</f>
        <v>0</v>
      </c>
      <c r="L611" s="93">
        <f>'II_Inkunabeln+'!AX611</f>
        <v>0</v>
      </c>
      <c r="AA611" s="93">
        <f>'II_Inkunabeln+'!AY611</f>
        <v>0</v>
      </c>
      <c r="AB611" s="94">
        <f>'II_Inkunabeln+'!BA611</f>
        <v>0</v>
      </c>
      <c r="AC611" s="108"/>
      <c r="AD611" s="81">
        <f>'II_Inkunabeln+'!BJ611</f>
        <v>0</v>
      </c>
    </row>
    <row r="612" spans="1:30" x14ac:dyDescent="0.25">
      <c r="A612" s="63">
        <f>'II_Inkunabeln+'!A612</f>
        <v>588</v>
      </c>
      <c r="B612" s="63" t="str">
        <f>'II_Inkunabeln+'!B612</f>
        <v>L-1470-326999035</v>
      </c>
      <c r="C612" s="63">
        <f>'II_Inkunabeln+'!C612</f>
        <v>1072162407</v>
      </c>
      <c r="D612" s="84" t="str">
        <f>'II_Inkunabeln+'!D612</f>
        <v>https://portal.dnb.de/opac.htm?method=simpleSearch&amp;cqlMode=true&amp;query=idn%3D1072162407</v>
      </c>
      <c r="E612" s="63" t="str">
        <f>'II_Inkunabeln+'!E612</f>
        <v>II 82,1 c</v>
      </c>
      <c r="F612" s="63">
        <f>'II_Inkunabeln+'!H612</f>
        <v>0</v>
      </c>
      <c r="G612" s="93">
        <f>'II_Inkunabeln+'!AG612</f>
        <v>0</v>
      </c>
      <c r="H612" s="93">
        <f>'II_Inkunabeln+'!AP612</f>
        <v>0</v>
      </c>
      <c r="I612" s="93">
        <f>'II_Inkunabeln+'!AQ612</f>
        <v>0</v>
      </c>
      <c r="J612" s="94"/>
      <c r="K612" s="93">
        <f>'II_Inkunabeln+'!AW612</f>
        <v>0</v>
      </c>
      <c r="L612" s="93">
        <f>'II_Inkunabeln+'!AX612</f>
        <v>0</v>
      </c>
      <c r="AA612" s="93">
        <f>'II_Inkunabeln+'!AY612</f>
        <v>0</v>
      </c>
      <c r="AB612" s="94">
        <f>'II_Inkunabeln+'!BA612</f>
        <v>0</v>
      </c>
      <c r="AC612" s="108"/>
      <c r="AD612" s="81">
        <f>'II_Inkunabeln+'!BJ612</f>
        <v>0</v>
      </c>
    </row>
    <row r="613" spans="1:30" x14ac:dyDescent="0.25">
      <c r="A613" s="63">
        <f>'II_Inkunabeln+'!A613</f>
        <v>589</v>
      </c>
      <c r="B613" s="63" t="str">
        <f>'II_Inkunabeln+'!B613</f>
        <v>L-1470-326998888</v>
      </c>
      <c r="C613" s="63">
        <f>'II_Inkunabeln+'!C613</f>
        <v>1072162032</v>
      </c>
      <c r="D613" s="84" t="str">
        <f>'II_Inkunabeln+'!D613</f>
        <v>https://portal.dnb.de/opac.htm?method=simpleSearch&amp;cqlMode=true&amp;query=idn%3D1072162032</v>
      </c>
      <c r="E613" s="63" t="str">
        <f>'II_Inkunabeln+'!E613</f>
        <v>II 82,1b</v>
      </c>
      <c r="F613" s="63">
        <f>'II_Inkunabeln+'!H613</f>
        <v>0</v>
      </c>
      <c r="G613" s="93">
        <f>'II_Inkunabeln+'!AG613</f>
        <v>0</v>
      </c>
      <c r="H613" s="93">
        <f>'II_Inkunabeln+'!AP613</f>
        <v>0</v>
      </c>
      <c r="I613" s="93">
        <f>'II_Inkunabeln+'!AQ613</f>
        <v>0</v>
      </c>
      <c r="J613" s="94"/>
      <c r="K613" s="93">
        <f>'II_Inkunabeln+'!AW613</f>
        <v>0</v>
      </c>
      <c r="L613" s="93">
        <f>'II_Inkunabeln+'!AX613</f>
        <v>0</v>
      </c>
      <c r="AA613" s="93">
        <f>'II_Inkunabeln+'!AY613</f>
        <v>0</v>
      </c>
      <c r="AB613" s="94">
        <f>'II_Inkunabeln+'!BA613</f>
        <v>0</v>
      </c>
      <c r="AC613" s="108"/>
      <c r="AD613" s="81">
        <f>'II_Inkunabeln+'!BJ613</f>
        <v>0</v>
      </c>
    </row>
    <row r="614" spans="1:30" x14ac:dyDescent="0.25">
      <c r="A614" s="63">
        <f>'II_Inkunabeln+'!A614</f>
        <v>590</v>
      </c>
      <c r="B614" s="63" t="str">
        <f>'II_Inkunabeln+'!B614</f>
        <v>L-1472-315497645</v>
      </c>
      <c r="C614" s="63">
        <f>'II_Inkunabeln+'!C614</f>
        <v>1066967393</v>
      </c>
      <c r="D614" s="84" t="str">
        <f>'II_Inkunabeln+'!D614</f>
        <v>https://portal.dnb.de/opac.htm?method=simpleSearch&amp;cqlMode=true&amp;query=idn%3D1066967393</v>
      </c>
      <c r="E614" s="63" t="str">
        <f>'II_Inkunabeln+'!E614</f>
        <v>II 82,1e</v>
      </c>
      <c r="F614" s="63" t="str">
        <f>'II_Inkunabeln+'!H614</f>
        <v>bis 35 cm</v>
      </c>
      <c r="G614" s="93">
        <f>'II_Inkunabeln+'!AG614</f>
        <v>0</v>
      </c>
      <c r="H614" s="93">
        <f>'II_Inkunabeln+'!AP614</f>
        <v>0</v>
      </c>
      <c r="I614" s="93">
        <f>'II_Inkunabeln+'!AQ614</f>
        <v>0</v>
      </c>
      <c r="J614" s="94"/>
      <c r="K614" s="93">
        <f>'II_Inkunabeln+'!AW614</f>
        <v>0</v>
      </c>
      <c r="L614" s="93">
        <f>'II_Inkunabeln+'!AX614</f>
        <v>0</v>
      </c>
      <c r="AA614" s="93">
        <f>'II_Inkunabeln+'!AY614</f>
        <v>0</v>
      </c>
      <c r="AB614" s="94">
        <f>'II_Inkunabeln+'!BA614</f>
        <v>0</v>
      </c>
      <c r="AC614" s="108"/>
      <c r="AD614" s="81">
        <f>'II_Inkunabeln+'!BJ614</f>
        <v>0</v>
      </c>
    </row>
    <row r="615" spans="1:30" x14ac:dyDescent="0.25">
      <c r="A615" s="63">
        <f>'II_Inkunabeln+'!A615</f>
        <v>591</v>
      </c>
      <c r="B615" s="63" t="str">
        <f>'II_Inkunabeln+'!B615</f>
        <v>L-1471-315496428</v>
      </c>
      <c r="C615" s="63">
        <f>'II_Inkunabeln+'!C615</f>
        <v>1066966125</v>
      </c>
      <c r="D615" s="84" t="str">
        <f>'II_Inkunabeln+'!D615</f>
        <v>https://portal.dnb.de/opac.htm?method=simpleSearch&amp;cqlMode=true&amp;query=idn%3D1066966125</v>
      </c>
      <c r="E615" s="63" t="str">
        <f>'II_Inkunabeln+'!E615</f>
        <v>II 82,1g (I)</v>
      </c>
      <c r="F615" s="63">
        <f>'II_Inkunabeln+'!H615</f>
        <v>0</v>
      </c>
      <c r="G615" s="93">
        <f>'II_Inkunabeln+'!AG615</f>
        <v>0</v>
      </c>
      <c r="H615" s="93">
        <f>'II_Inkunabeln+'!AP615</f>
        <v>0</v>
      </c>
      <c r="I615" s="93">
        <f>'II_Inkunabeln+'!AQ615</f>
        <v>0</v>
      </c>
      <c r="J615" s="94"/>
      <c r="K615" s="93">
        <f>'II_Inkunabeln+'!AW615</f>
        <v>0</v>
      </c>
      <c r="L615" s="93">
        <f>'II_Inkunabeln+'!AX615</f>
        <v>0</v>
      </c>
      <c r="AA615" s="93">
        <f>'II_Inkunabeln+'!AY615</f>
        <v>0</v>
      </c>
      <c r="AB615" s="94">
        <f>'II_Inkunabeln+'!BA615</f>
        <v>0</v>
      </c>
      <c r="AC615" s="108"/>
      <c r="AD615" s="81">
        <f>'II_Inkunabeln+'!BJ615</f>
        <v>0</v>
      </c>
    </row>
    <row r="616" spans="1:30" x14ac:dyDescent="0.25">
      <c r="A616" s="63">
        <f>'II_Inkunabeln+'!A616</f>
        <v>592</v>
      </c>
      <c r="B616" s="63" t="str">
        <f>'II_Inkunabeln+'!B616</f>
        <v>L-1471-315496436</v>
      </c>
      <c r="C616" s="63">
        <f>'II_Inkunabeln+'!C616</f>
        <v>1066966133</v>
      </c>
      <c r="D616" s="84" t="str">
        <f>'II_Inkunabeln+'!D616</f>
        <v>https://portal.dnb.de/opac.htm?method=simpleSearch&amp;cqlMode=true&amp;query=idn%3D1066966133</v>
      </c>
      <c r="E616" s="63" t="str">
        <f>'II_Inkunabeln+'!E616</f>
        <v>II 82,1g (II)</v>
      </c>
      <c r="F616" s="63">
        <f>'II_Inkunabeln+'!H616</f>
        <v>0</v>
      </c>
      <c r="G616" s="93">
        <f>'II_Inkunabeln+'!AG616</f>
        <v>0</v>
      </c>
      <c r="H616" s="93">
        <f>'II_Inkunabeln+'!AP616</f>
        <v>0</v>
      </c>
      <c r="I616" s="93">
        <f>'II_Inkunabeln+'!AQ616</f>
        <v>0</v>
      </c>
      <c r="J616" s="94"/>
      <c r="K616" s="93">
        <f>'II_Inkunabeln+'!AW616</f>
        <v>0</v>
      </c>
      <c r="L616" s="93">
        <f>'II_Inkunabeln+'!AX616</f>
        <v>0</v>
      </c>
      <c r="AA616" s="93">
        <f>'II_Inkunabeln+'!AY616</f>
        <v>0</v>
      </c>
      <c r="AB616" s="94">
        <f>'II_Inkunabeln+'!BA616</f>
        <v>0</v>
      </c>
      <c r="AC616" s="108"/>
      <c r="AD616" s="81">
        <f>'II_Inkunabeln+'!BJ616</f>
        <v>0</v>
      </c>
    </row>
    <row r="617" spans="1:30" x14ac:dyDescent="0.25">
      <c r="A617" s="63">
        <f>'II_Inkunabeln+'!A617</f>
        <v>593</v>
      </c>
      <c r="B617" s="63" t="str">
        <f>'II_Inkunabeln+'!B617</f>
        <v>L-1476-315501669</v>
      </c>
      <c r="C617" s="63">
        <f>'II_Inkunabeln+'!C617</f>
        <v>1066971307</v>
      </c>
      <c r="D617" s="84" t="str">
        <f>'II_Inkunabeln+'!D617</f>
        <v>https://portal.dnb.de/opac.htm?method=simpleSearch&amp;cqlMode=true&amp;query=idn%3D1066971307</v>
      </c>
      <c r="E617" s="63" t="str">
        <f>'II_Inkunabeln+'!E617</f>
        <v>II 82,2c</v>
      </c>
      <c r="F617" s="63" t="str">
        <f>'II_Inkunabeln+'!H617</f>
        <v>bis 35 cm</v>
      </c>
      <c r="G617" s="93">
        <f>'II_Inkunabeln+'!AG617</f>
        <v>0</v>
      </c>
      <c r="H617" s="93">
        <f>'II_Inkunabeln+'!AP617</f>
        <v>0</v>
      </c>
      <c r="I617" s="93">
        <f>'II_Inkunabeln+'!AQ617</f>
        <v>0</v>
      </c>
      <c r="J617" s="94"/>
      <c r="K617" s="93">
        <f>'II_Inkunabeln+'!AW617</f>
        <v>0</v>
      </c>
      <c r="L617" s="93">
        <f>'II_Inkunabeln+'!AX617</f>
        <v>0</v>
      </c>
      <c r="AA617" s="93">
        <f>'II_Inkunabeln+'!AY617</f>
        <v>0</v>
      </c>
      <c r="AB617" s="94">
        <f>'II_Inkunabeln+'!BA617</f>
        <v>0</v>
      </c>
      <c r="AC617" s="108"/>
      <c r="AD617" s="81">
        <f>'II_Inkunabeln+'!BJ617</f>
        <v>0</v>
      </c>
    </row>
    <row r="618" spans="1:30" x14ac:dyDescent="0.25">
      <c r="A618" s="63">
        <f>'II_Inkunabeln+'!A618</f>
        <v>594</v>
      </c>
      <c r="B618" s="63" t="str">
        <f>'II_Inkunabeln+'!B618</f>
        <v>L-1477-315495669</v>
      </c>
      <c r="C618" s="63">
        <f>'II_Inkunabeln+'!C618</f>
        <v>1173179313</v>
      </c>
      <c r="D618" s="84" t="str">
        <f>'II_Inkunabeln+'!D618</f>
        <v>https://portal.dnb.de/opac.htm?method=simpleSearch&amp;cqlMode=true&amp;query=idn%3D1173179313</v>
      </c>
      <c r="E618" s="63" t="str">
        <f>'II_Inkunabeln+'!E618</f>
        <v>II 82,2d</v>
      </c>
      <c r="F618" s="63" t="str">
        <f>'II_Inkunabeln+'!H618</f>
        <v>bis 35 cm</v>
      </c>
      <c r="G618" s="93">
        <f>'II_Inkunabeln+'!AG618</f>
        <v>0</v>
      </c>
      <c r="H618" s="93">
        <f>'II_Inkunabeln+'!AP618</f>
        <v>0</v>
      </c>
      <c r="I618" s="93">
        <f>'II_Inkunabeln+'!AQ618</f>
        <v>0</v>
      </c>
      <c r="J618" s="94"/>
      <c r="K618" s="93">
        <f>'II_Inkunabeln+'!AW618</f>
        <v>0</v>
      </c>
      <c r="L618" s="93">
        <f>'II_Inkunabeln+'!AX618</f>
        <v>0</v>
      </c>
      <c r="AA618" s="93">
        <f>'II_Inkunabeln+'!AY618</f>
        <v>0</v>
      </c>
      <c r="AB618" s="94">
        <f>'II_Inkunabeln+'!BA618</f>
        <v>0</v>
      </c>
      <c r="AC618" s="108"/>
      <c r="AD618" s="81">
        <f>'II_Inkunabeln+'!BJ618</f>
        <v>0</v>
      </c>
    </row>
    <row r="619" spans="1:30" x14ac:dyDescent="0.25">
      <c r="A619" s="63">
        <f>'II_Inkunabeln+'!A619</f>
        <v>595</v>
      </c>
      <c r="B619" s="63" t="str">
        <f>'II_Inkunabeln+'!B619</f>
        <v>L-1478-315499842</v>
      </c>
      <c r="C619" s="63">
        <f>'II_Inkunabeln+'!C619</f>
        <v>1066969515</v>
      </c>
      <c r="D619" s="84" t="str">
        <f>'II_Inkunabeln+'!D619</f>
        <v>https://portal.dnb.de/opac.htm?method=simpleSearch&amp;cqlMode=true&amp;query=idn%3D1066969515</v>
      </c>
      <c r="E619" s="63" t="str">
        <f>'II_Inkunabeln+'!E619</f>
        <v>II 82,2e</v>
      </c>
      <c r="F619" s="63">
        <f>'II_Inkunabeln+'!H619</f>
        <v>0</v>
      </c>
      <c r="G619" s="93">
        <f>'II_Inkunabeln+'!AG619</f>
        <v>0</v>
      </c>
      <c r="H619" s="93">
        <f>'II_Inkunabeln+'!AP619</f>
        <v>0</v>
      </c>
      <c r="I619" s="93">
        <f>'II_Inkunabeln+'!AQ619</f>
        <v>0</v>
      </c>
      <c r="J619" s="94"/>
      <c r="K619" s="93">
        <f>'II_Inkunabeln+'!AW619</f>
        <v>0</v>
      </c>
      <c r="L619" s="93">
        <f>'II_Inkunabeln+'!AX619</f>
        <v>0</v>
      </c>
      <c r="AA619" s="93">
        <f>'II_Inkunabeln+'!AY619</f>
        <v>0</v>
      </c>
      <c r="AB619" s="94">
        <f>'II_Inkunabeln+'!BA619</f>
        <v>0</v>
      </c>
      <c r="AC619" s="108"/>
      <c r="AD619" s="81">
        <f>'II_Inkunabeln+'!BJ619</f>
        <v>0</v>
      </c>
    </row>
    <row r="620" spans="1:30" x14ac:dyDescent="0.25">
      <c r="A620" s="63">
        <f>'II_Inkunabeln+'!A620</f>
        <v>596</v>
      </c>
      <c r="B620" s="63" t="str">
        <f>'II_Inkunabeln+'!B620</f>
        <v>L-1478-31549641X</v>
      </c>
      <c r="C620" s="63">
        <f>'II_Inkunabeln+'!C620</f>
        <v>1066966117</v>
      </c>
      <c r="D620" s="84" t="str">
        <f>'II_Inkunabeln+'!D620</f>
        <v>https://portal.dnb.de/opac.htm?method=simpleSearch&amp;cqlMode=true&amp;query=idn%3D1066966117</v>
      </c>
      <c r="E620" s="63" t="str">
        <f>'II_Inkunabeln+'!E620</f>
        <v>II 82,2f</v>
      </c>
      <c r="F620" s="63">
        <f>'II_Inkunabeln+'!H620</f>
        <v>0</v>
      </c>
      <c r="G620" s="93">
        <f>'II_Inkunabeln+'!AG620</f>
        <v>0</v>
      </c>
      <c r="H620" s="93">
        <f>'II_Inkunabeln+'!AP620</f>
        <v>0</v>
      </c>
      <c r="I620" s="93">
        <f>'II_Inkunabeln+'!AQ620</f>
        <v>0</v>
      </c>
      <c r="J620" s="94"/>
      <c r="K620" s="93">
        <f>'II_Inkunabeln+'!AW620</f>
        <v>0</v>
      </c>
      <c r="L620" s="93">
        <f>'II_Inkunabeln+'!AX620</f>
        <v>0</v>
      </c>
      <c r="AA620" s="93">
        <f>'II_Inkunabeln+'!AY620</f>
        <v>0</v>
      </c>
      <c r="AB620" s="94">
        <f>'II_Inkunabeln+'!BA620</f>
        <v>0</v>
      </c>
      <c r="AC620" s="108"/>
      <c r="AD620" s="81">
        <f>'II_Inkunabeln+'!BJ620</f>
        <v>0</v>
      </c>
    </row>
    <row r="621" spans="1:30" x14ac:dyDescent="0.25">
      <c r="A621" s="63">
        <f>'II_Inkunabeln+'!A621</f>
        <v>597</v>
      </c>
      <c r="B621" s="63" t="str">
        <f>'II_Inkunabeln+'!B621</f>
        <v>L-1478-343708906</v>
      </c>
      <c r="C621" s="63">
        <f>'II_Inkunabeln+'!C621</f>
        <v>1079560564</v>
      </c>
      <c r="D621" s="84" t="str">
        <f>'II_Inkunabeln+'!D621</f>
        <v>https://portal.dnb.de/opac.htm?method=simpleSearch&amp;cqlMode=true&amp;query=idn%3D1079560564</v>
      </c>
      <c r="E621" s="63" t="str">
        <f>'II_Inkunabeln+'!E621</f>
        <v>II 82,2f (angebunden)</v>
      </c>
      <c r="F621" s="63">
        <f>'II_Inkunabeln+'!H621</f>
        <v>0</v>
      </c>
      <c r="G621" s="93">
        <f>'II_Inkunabeln+'!AG621</f>
        <v>0</v>
      </c>
      <c r="H621" s="93">
        <f>'II_Inkunabeln+'!AP621</f>
        <v>0</v>
      </c>
      <c r="I621" s="93">
        <f>'II_Inkunabeln+'!AQ621</f>
        <v>0</v>
      </c>
      <c r="J621" s="94"/>
      <c r="K621" s="93">
        <f>'II_Inkunabeln+'!AW621</f>
        <v>0</v>
      </c>
      <c r="L621" s="93">
        <f>'II_Inkunabeln+'!AX621</f>
        <v>0</v>
      </c>
      <c r="AA621" s="93">
        <f>'II_Inkunabeln+'!AY621</f>
        <v>0</v>
      </c>
      <c r="AB621" s="94">
        <f>'II_Inkunabeln+'!BA621</f>
        <v>0</v>
      </c>
      <c r="AC621" s="108"/>
      <c r="AD621" s="81">
        <f>'II_Inkunabeln+'!BJ621</f>
        <v>0</v>
      </c>
    </row>
    <row r="622" spans="1:30" x14ac:dyDescent="0.25">
      <c r="A622" s="63">
        <f>'II_Inkunabeln+'!A622</f>
        <v>598</v>
      </c>
      <c r="B622" s="63" t="str">
        <f>'II_Inkunabeln+'!B622</f>
        <v>L-1471-327006366</v>
      </c>
      <c r="C622" s="63">
        <f>'II_Inkunabeln+'!C622</f>
        <v>1072170264</v>
      </c>
      <c r="D622" s="84" t="str">
        <f>'II_Inkunabeln+'!D622</f>
        <v>https://portal.dnb.de/opac.htm?method=simpleSearch&amp;cqlMode=true&amp;query=idn%3D1072170264</v>
      </c>
      <c r="E622" s="63" t="str">
        <f>'II_Inkunabeln+'!E622</f>
        <v>II 82,3a</v>
      </c>
      <c r="F622" s="63">
        <f>'II_Inkunabeln+'!H622</f>
        <v>0</v>
      </c>
      <c r="G622" s="93">
        <f>'II_Inkunabeln+'!AG622</f>
        <v>0</v>
      </c>
      <c r="H622" s="93">
        <f>'II_Inkunabeln+'!AP622</f>
        <v>0</v>
      </c>
      <c r="I622" s="93">
        <f>'II_Inkunabeln+'!AQ622</f>
        <v>0</v>
      </c>
      <c r="J622" s="94"/>
      <c r="K622" s="93">
        <f>'II_Inkunabeln+'!AW622</f>
        <v>0</v>
      </c>
      <c r="L622" s="93">
        <f>'II_Inkunabeln+'!AX622</f>
        <v>0</v>
      </c>
      <c r="AA622" s="93">
        <f>'II_Inkunabeln+'!AY622</f>
        <v>0</v>
      </c>
      <c r="AB622" s="94">
        <f>'II_Inkunabeln+'!BA622</f>
        <v>0</v>
      </c>
      <c r="AC622" s="108"/>
      <c r="AD622" s="81">
        <f>'II_Inkunabeln+'!BJ622</f>
        <v>0</v>
      </c>
    </row>
    <row r="623" spans="1:30" x14ac:dyDescent="0.25">
      <c r="A623" s="63">
        <f>'II_Inkunabeln+'!A623</f>
        <v>599</v>
      </c>
      <c r="B623" s="63" t="str">
        <f>'II_Inkunabeln+'!B623</f>
        <v>L-1476-315501278</v>
      </c>
      <c r="C623" s="63">
        <f>'II_Inkunabeln+'!C623</f>
        <v>1066970912</v>
      </c>
      <c r="D623" s="84" t="str">
        <f>'II_Inkunabeln+'!D623</f>
        <v>https://portal.dnb.de/opac.htm?method=simpleSearch&amp;cqlMode=true&amp;query=idn%3D1066970912</v>
      </c>
      <c r="E623" s="63" t="str">
        <f>'II_Inkunabeln+'!E623</f>
        <v>II 82,4b</v>
      </c>
      <c r="F623" s="63">
        <f>'II_Inkunabeln+'!H623</f>
        <v>0</v>
      </c>
      <c r="G623" s="93">
        <f>'II_Inkunabeln+'!AG623</f>
        <v>0</v>
      </c>
      <c r="H623" s="93">
        <f>'II_Inkunabeln+'!AP623</f>
        <v>0</v>
      </c>
      <c r="I623" s="93">
        <f>'II_Inkunabeln+'!AQ623</f>
        <v>0</v>
      </c>
      <c r="J623" s="94"/>
      <c r="K623" s="93">
        <f>'II_Inkunabeln+'!AW623</f>
        <v>0</v>
      </c>
      <c r="L623" s="93">
        <f>'II_Inkunabeln+'!AX623</f>
        <v>0</v>
      </c>
      <c r="AA623" s="93">
        <f>'II_Inkunabeln+'!AY623</f>
        <v>0</v>
      </c>
      <c r="AB623" s="94">
        <f>'II_Inkunabeln+'!BA623</f>
        <v>0</v>
      </c>
      <c r="AC623" s="108"/>
      <c r="AD623" s="81">
        <f>'II_Inkunabeln+'!BJ623</f>
        <v>0</v>
      </c>
    </row>
    <row r="624" spans="1:30" x14ac:dyDescent="0.25">
      <c r="A624" s="63">
        <f>'II_Inkunabeln+'!A624</f>
        <v>600</v>
      </c>
      <c r="B624" s="63" t="str">
        <f>'II_Inkunabeln+'!B624</f>
        <v>L-1482-315494972</v>
      </c>
      <c r="C624" s="63">
        <f>'II_Inkunabeln+'!C624</f>
        <v>1066964793</v>
      </c>
      <c r="D624" s="84" t="str">
        <f>'II_Inkunabeln+'!D624</f>
        <v>https://portal.dnb.de/opac.htm?method=simpleSearch&amp;cqlMode=true&amp;query=idn%3D1066964793</v>
      </c>
      <c r="E624" s="63" t="str">
        <f>'II_Inkunabeln+'!E624</f>
        <v>II 82,4c</v>
      </c>
      <c r="F624" s="63" t="str">
        <f>'II_Inkunabeln+'!H624</f>
        <v>bis 35 cm</v>
      </c>
      <c r="G624" s="93">
        <f>'II_Inkunabeln+'!AG624</f>
        <v>0</v>
      </c>
      <c r="H624" s="93">
        <f>'II_Inkunabeln+'!AP624</f>
        <v>0</v>
      </c>
      <c r="I624" s="93">
        <f>'II_Inkunabeln+'!AQ624</f>
        <v>0</v>
      </c>
      <c r="J624" s="94"/>
      <c r="K624" s="93">
        <f>'II_Inkunabeln+'!AW624</f>
        <v>0</v>
      </c>
      <c r="L624" s="93">
        <f>'II_Inkunabeln+'!AX624</f>
        <v>0</v>
      </c>
      <c r="AA624" s="93">
        <f>'II_Inkunabeln+'!AY624</f>
        <v>0</v>
      </c>
      <c r="AB624" s="94">
        <f>'II_Inkunabeln+'!BA624</f>
        <v>0</v>
      </c>
      <c r="AC624" s="108"/>
      <c r="AD624" s="81">
        <f>'II_Inkunabeln+'!BJ624</f>
        <v>0</v>
      </c>
    </row>
    <row r="625" spans="1:30" x14ac:dyDescent="0.25">
      <c r="A625" s="63">
        <f>'II_Inkunabeln+'!A625</f>
        <v>601</v>
      </c>
      <c r="B625" s="63" t="str">
        <f>'II_Inkunabeln+'!B625</f>
        <v>L-1479-315497696</v>
      </c>
      <c r="C625" s="63">
        <f>'II_Inkunabeln+'!C625</f>
        <v>1066967431</v>
      </c>
      <c r="D625" s="84" t="str">
        <f>'II_Inkunabeln+'!D625</f>
        <v>https://portal.dnb.de/opac.htm?method=simpleSearch&amp;cqlMode=true&amp;query=idn%3D1066967431</v>
      </c>
      <c r="E625" s="63" t="str">
        <f>'II_Inkunabeln+'!E625</f>
        <v>II 82,5a</v>
      </c>
      <c r="F625" s="63" t="str">
        <f>'II_Inkunabeln+'!H625</f>
        <v>bis 35 cm</v>
      </c>
      <c r="G625" s="93">
        <f>'II_Inkunabeln+'!AG625</f>
        <v>0</v>
      </c>
      <c r="H625" s="93">
        <f>'II_Inkunabeln+'!AP625</f>
        <v>0</v>
      </c>
      <c r="I625" s="93">
        <f>'II_Inkunabeln+'!AQ625</f>
        <v>0</v>
      </c>
      <c r="J625" s="94"/>
      <c r="K625" s="93">
        <f>'II_Inkunabeln+'!AW625</f>
        <v>0</v>
      </c>
      <c r="L625" s="93">
        <f>'II_Inkunabeln+'!AX625</f>
        <v>0</v>
      </c>
      <c r="AA625" s="93">
        <f>'II_Inkunabeln+'!AY625</f>
        <v>0</v>
      </c>
      <c r="AB625" s="94">
        <f>'II_Inkunabeln+'!BA625</f>
        <v>0</v>
      </c>
      <c r="AC625" s="108"/>
      <c r="AD625" s="81">
        <f>'II_Inkunabeln+'!BJ625</f>
        <v>0</v>
      </c>
    </row>
    <row r="626" spans="1:30" x14ac:dyDescent="0.25">
      <c r="A626" s="63">
        <f>'II_Inkunabeln+'!A626</f>
        <v>602</v>
      </c>
      <c r="B626" s="63" t="str">
        <f>'II_Inkunabeln+'!B626</f>
        <v>L-1476-315495723</v>
      </c>
      <c r="C626" s="63" t="str">
        <f>'II_Inkunabeln+'!C626</f>
        <v>106696548X</v>
      </c>
      <c r="D626" s="84" t="str">
        <f>'II_Inkunabeln+'!D626</f>
        <v>https://portal.dnb.de/opac.htm?method=simpleSearch&amp;cqlMode=true&amp;query=idn%3D106696548X</v>
      </c>
      <c r="E626" s="63" t="str">
        <f>'II_Inkunabeln+'!E626</f>
        <v>II 82,6a</v>
      </c>
      <c r="F626" s="63" t="str">
        <f>'II_Inkunabeln+'!H626</f>
        <v>bis 35 cm</v>
      </c>
      <c r="G626" s="93" t="str">
        <f>'II_Inkunabeln+'!AG626</f>
        <v>Pa</v>
      </c>
      <c r="H626" s="93">
        <f>'II_Inkunabeln+'!AP626</f>
        <v>0</v>
      </c>
      <c r="I626" s="93">
        <f>'II_Inkunabeln+'!AQ626</f>
        <v>0</v>
      </c>
      <c r="J626" s="94"/>
      <c r="K626" s="93">
        <f>'II_Inkunabeln+'!AW626</f>
        <v>0</v>
      </c>
      <c r="L626" s="93">
        <f>'II_Inkunabeln+'!AX626</f>
        <v>0</v>
      </c>
      <c r="AA626" s="93">
        <f>'II_Inkunabeln+'!AY626</f>
        <v>0</v>
      </c>
      <c r="AB626" s="94" t="str">
        <f>'II_Inkunabeln+'!BA626</f>
        <v>n</v>
      </c>
      <c r="AC626" s="108"/>
      <c r="AD626" s="81">
        <f>'II_Inkunabeln+'!BJ626</f>
        <v>0</v>
      </c>
    </row>
    <row r="627" spans="1:30" x14ac:dyDescent="0.25">
      <c r="A627" s="63">
        <f>'II_Inkunabeln+'!A627</f>
        <v>603</v>
      </c>
      <c r="B627" s="63" t="str">
        <f>'II_Inkunabeln+'!B627</f>
        <v>L-1468-315501197</v>
      </c>
      <c r="C627" s="63">
        <f>'II_Inkunabeln+'!C627</f>
        <v>1066970831</v>
      </c>
      <c r="D627" s="84" t="str">
        <f>'II_Inkunabeln+'!D627</f>
        <v>https://portal.dnb.de/opac.htm?method=simpleSearch&amp;cqlMode=true&amp;query=idn%3D1066970831</v>
      </c>
      <c r="E627" s="63" t="str">
        <f>'II_Inkunabeln+'!E627</f>
        <v>II 82,7b</v>
      </c>
      <c r="F627" s="63" t="str">
        <f>'II_Inkunabeln+'!H627</f>
        <v>bis 25 cm</v>
      </c>
      <c r="G627" s="93" t="str">
        <f>'II_Inkunabeln+'!AG627</f>
        <v>Pa</v>
      </c>
      <c r="H627" s="93">
        <f>'II_Inkunabeln+'!AP627</f>
        <v>0</v>
      </c>
      <c r="I627" s="93">
        <f>'II_Inkunabeln+'!AQ627</f>
        <v>0</v>
      </c>
      <c r="J627" s="94"/>
      <c r="K627" s="93">
        <f>'II_Inkunabeln+'!AW627</f>
        <v>0</v>
      </c>
      <c r="L627" s="93">
        <f>'II_Inkunabeln+'!AX627</f>
        <v>0</v>
      </c>
      <c r="AA627" s="93">
        <f>'II_Inkunabeln+'!AY627</f>
        <v>0</v>
      </c>
      <c r="AB627" s="94" t="str">
        <f>'II_Inkunabeln+'!BA627</f>
        <v>n</v>
      </c>
      <c r="AC627" s="108"/>
      <c r="AD627" s="81">
        <f>'II_Inkunabeln+'!BJ627</f>
        <v>0</v>
      </c>
    </row>
    <row r="628" spans="1:30" x14ac:dyDescent="0.25">
      <c r="A628" s="63">
        <f>'II_Inkunabeln+'!A628</f>
        <v>604</v>
      </c>
      <c r="B628" s="63" t="str">
        <f>'II_Inkunabeln+'!B628</f>
        <v>L-1483-327015608</v>
      </c>
      <c r="C628" s="63">
        <f>'II_Inkunabeln+'!C628</f>
        <v>1066968098</v>
      </c>
      <c r="D628" s="84" t="str">
        <f>'II_Inkunabeln+'!D628</f>
        <v>https://portal.dnb.de/opac.htm?method=simpleSearch&amp;cqlMode=true&amp;query=idn%3D1066968098</v>
      </c>
      <c r="E628" s="63" t="str">
        <f>'II_Inkunabeln+'!E628</f>
        <v>II 82,7d</v>
      </c>
      <c r="F628" s="63" t="str">
        <f>'II_Inkunabeln+'!H628</f>
        <v>bis 25 cm</v>
      </c>
      <c r="G628" s="93" t="str">
        <f>'II_Inkunabeln+'!AG628</f>
        <v>Pa</v>
      </c>
      <c r="H628" s="93">
        <f>'II_Inkunabeln+'!AP628</f>
        <v>0</v>
      </c>
      <c r="I628" s="93">
        <f>'II_Inkunabeln+'!AQ628</f>
        <v>0</v>
      </c>
      <c r="J628" s="94"/>
      <c r="K628" s="93">
        <f>'II_Inkunabeln+'!AW628</f>
        <v>0</v>
      </c>
      <c r="L628" s="93">
        <f>'II_Inkunabeln+'!AX628</f>
        <v>0</v>
      </c>
      <c r="N628" s="93" t="s">
        <v>1633</v>
      </c>
      <c r="AA628" s="93">
        <f>'II_Inkunabeln+'!AY628</f>
        <v>0</v>
      </c>
      <c r="AB628" s="94" t="str">
        <f>'II_Inkunabeln+'!BA628</f>
        <v>ja vor</v>
      </c>
      <c r="AC628" s="108">
        <v>0.5</v>
      </c>
      <c r="AD628" s="81">
        <f>'II_Inkunabeln+'!BJ628</f>
        <v>0</v>
      </c>
    </row>
    <row r="629" spans="1:30" x14ac:dyDescent="0.25">
      <c r="A629" s="63">
        <f>'II_Inkunabeln+'!A629</f>
        <v>605</v>
      </c>
      <c r="B629" s="63" t="str">
        <f>'II_Inkunabeln+'!B629</f>
        <v>L-1483-315501162</v>
      </c>
      <c r="C629" s="63">
        <f>'II_Inkunabeln+'!C629</f>
        <v>1066970807</v>
      </c>
      <c r="D629" s="84" t="str">
        <f>'II_Inkunabeln+'!D629</f>
        <v>https://portal.dnb.de/opac.htm?method=simpleSearch&amp;cqlMode=true&amp;query=idn%3D1066970807</v>
      </c>
      <c r="E629" s="63" t="str">
        <f>'II_Inkunabeln+'!E629</f>
        <v>II 82,7e</v>
      </c>
      <c r="F629" s="63" t="str">
        <f>'II_Inkunabeln+'!H629</f>
        <v>bis 35 cm</v>
      </c>
      <c r="G629" s="93" t="str">
        <f>'II_Inkunabeln+'!AG629</f>
        <v>Pa</v>
      </c>
      <c r="H629" s="93">
        <f>'II_Inkunabeln+'!AP629</f>
        <v>0</v>
      </c>
      <c r="I629" s="93">
        <f>'II_Inkunabeln+'!AQ629</f>
        <v>0</v>
      </c>
      <c r="J629" s="94"/>
      <c r="K629" s="93">
        <f>'II_Inkunabeln+'!AW629</f>
        <v>0</v>
      </c>
      <c r="L629" s="93">
        <f>'II_Inkunabeln+'!AX629</f>
        <v>0</v>
      </c>
      <c r="AA629" s="93">
        <f>'II_Inkunabeln+'!AY629</f>
        <v>0</v>
      </c>
      <c r="AB629" s="94" t="str">
        <f>'II_Inkunabeln+'!BA629</f>
        <v>n</v>
      </c>
      <c r="AC629" s="108"/>
      <c r="AD629" s="81">
        <f>'II_Inkunabeln+'!BJ629</f>
        <v>0</v>
      </c>
    </row>
    <row r="630" spans="1:30" x14ac:dyDescent="0.25">
      <c r="A630" s="63">
        <f>'II_Inkunabeln+'!A630</f>
        <v>606</v>
      </c>
      <c r="B630" s="63" t="str">
        <f>'II_Inkunabeln+'!B630</f>
        <v>L-1485-315498447</v>
      </c>
      <c r="C630" s="63">
        <f>'II_Inkunabeln+'!C630</f>
        <v>1066968179</v>
      </c>
      <c r="D630" s="84" t="str">
        <f>'II_Inkunabeln+'!D630</f>
        <v>https://portal.dnb.de/opac.htm?method=simpleSearch&amp;cqlMode=true&amp;query=idn%3D1066968179</v>
      </c>
      <c r="E630" s="63" t="str">
        <f>'II_Inkunabeln+'!E630</f>
        <v>II 82,7f</v>
      </c>
      <c r="F630" s="63" t="str">
        <f>'II_Inkunabeln+'!H630</f>
        <v>bis 25 cm</v>
      </c>
      <c r="G630" s="93" t="str">
        <f>'II_Inkunabeln+'!AG630</f>
        <v>Pa</v>
      </c>
      <c r="H630" s="93">
        <f>'II_Inkunabeln+'!AP630</f>
        <v>0</v>
      </c>
      <c r="I630" s="93">
        <f>'II_Inkunabeln+'!AQ630</f>
        <v>0</v>
      </c>
      <c r="J630" s="94"/>
      <c r="K630" s="93">
        <f>'II_Inkunabeln+'!AW630</f>
        <v>0</v>
      </c>
      <c r="L630" s="93">
        <f>'II_Inkunabeln+'!AX630</f>
        <v>0</v>
      </c>
      <c r="AA630" s="93">
        <f>'II_Inkunabeln+'!AY630</f>
        <v>0</v>
      </c>
      <c r="AB630" s="94" t="str">
        <f>'II_Inkunabeln+'!BA630</f>
        <v>n</v>
      </c>
      <c r="AC630" s="108"/>
      <c r="AD630" s="81">
        <f>'II_Inkunabeln+'!BJ630</f>
        <v>0</v>
      </c>
    </row>
    <row r="631" spans="1:30" x14ac:dyDescent="0.25">
      <c r="A631" s="63">
        <f>'II_Inkunabeln+'!A631</f>
        <v>607</v>
      </c>
      <c r="B631" s="63" t="str">
        <f>'II_Inkunabeln+'!B631</f>
        <v>L-1480-315499982</v>
      </c>
      <c r="C631" s="63">
        <f>'II_Inkunabeln+'!C631</f>
        <v>1066969655</v>
      </c>
      <c r="D631" s="84" t="str">
        <f>'II_Inkunabeln+'!D631</f>
        <v>https://portal.dnb.de/opac.htm?method=simpleSearch&amp;cqlMode=true&amp;query=idn%3D1066969655</v>
      </c>
      <c r="E631" s="63" t="str">
        <f>'II_Inkunabeln+'!E631</f>
        <v>II 82,7g</v>
      </c>
      <c r="F631" s="63" t="str">
        <f>'II_Inkunabeln+'!H631</f>
        <v>bis 25 cm</v>
      </c>
      <c r="G631" s="93" t="str">
        <f>'II_Inkunabeln+'!AG631</f>
        <v>Pa</v>
      </c>
      <c r="H631" s="93">
        <f>'II_Inkunabeln+'!AP631</f>
        <v>0</v>
      </c>
      <c r="I631" s="93">
        <f>'II_Inkunabeln+'!AQ631</f>
        <v>0</v>
      </c>
      <c r="J631" s="94"/>
      <c r="K631" s="93">
        <f>'II_Inkunabeln+'!AW631</f>
        <v>0</v>
      </c>
      <c r="L631" s="93">
        <f>'II_Inkunabeln+'!AX631</f>
        <v>0</v>
      </c>
      <c r="AA631" s="93">
        <f>'II_Inkunabeln+'!AY631</f>
        <v>0</v>
      </c>
      <c r="AB631" s="94" t="str">
        <f>'II_Inkunabeln+'!BA631</f>
        <v>n</v>
      </c>
      <c r="AC631" s="108"/>
      <c r="AD631" s="81" t="str">
        <f>'II_Inkunabeln+'!BJ631</f>
        <v>Schaden ist stabil genug</v>
      </c>
    </row>
    <row r="632" spans="1:30" x14ac:dyDescent="0.25">
      <c r="A632" s="63">
        <f>'II_Inkunabeln+'!A632</f>
        <v>608</v>
      </c>
      <c r="B632" s="63" t="str">
        <f>'II_Inkunabeln+'!B632</f>
        <v>L-2013-316396</v>
      </c>
      <c r="C632" s="63">
        <f>'II_Inkunabeln+'!C632</f>
        <v>1036843505</v>
      </c>
      <c r="D632" s="84" t="str">
        <f>'II_Inkunabeln+'!D632</f>
        <v>https://portal.dnb.de/opac.htm?method=simpleSearch&amp;cqlMode=true&amp;query=idn%3D1036843505</v>
      </c>
      <c r="E632" s="63" t="str">
        <f>'II_Inkunabeln+'!E632</f>
        <v>II 82,7h</v>
      </c>
      <c r="F632" s="63" t="str">
        <f>'II_Inkunabeln+'!H632</f>
        <v>bis 25 cm</v>
      </c>
      <c r="G632" s="93" t="str">
        <f>'II_Inkunabeln+'!AG632</f>
        <v>Pa</v>
      </c>
      <c r="H632" s="93">
        <f>'II_Inkunabeln+'!AP632</f>
        <v>0</v>
      </c>
      <c r="I632" s="93" t="str">
        <f>'II_Inkunabeln+'!AQ632</f>
        <v>K</v>
      </c>
      <c r="J632" s="94"/>
      <c r="K632" s="93">
        <f>'II_Inkunabeln+'!AW632</f>
        <v>0</v>
      </c>
      <c r="L632" s="93">
        <f>'II_Inkunabeln+'!AX632</f>
        <v>0</v>
      </c>
      <c r="AA632" s="93">
        <f>'II_Inkunabeln+'!AY632</f>
        <v>0</v>
      </c>
      <c r="AB632" s="94" t="str">
        <f>'II_Inkunabeln+'!BA632</f>
        <v>n</v>
      </c>
      <c r="AC632" s="108"/>
      <c r="AD632" s="81" t="str">
        <f>'II_Inkunabeln+'!BJ632</f>
        <v>Schaden ist stabil genug</v>
      </c>
    </row>
    <row r="633" spans="1:30" x14ac:dyDescent="0.25">
      <c r="A633" s="63">
        <f>'II_Inkunabeln+'!A633</f>
        <v>609</v>
      </c>
      <c r="B633" s="63" t="str">
        <f>'II_Inkunabeln+'!B633</f>
        <v>L-1485-266425038</v>
      </c>
      <c r="C633" s="63">
        <f>'II_Inkunabeln+'!C633</f>
        <v>1036845559</v>
      </c>
      <c r="D633" s="84" t="str">
        <f>'II_Inkunabeln+'!D633</f>
        <v>https://portal.dnb.de/opac.htm?method=simpleSearch&amp;cqlMode=true&amp;query=idn%3D1036845559</v>
      </c>
      <c r="E633" s="63" t="str">
        <f>'II_Inkunabeln+'!E633</f>
        <v>II 82,7h (angebunden)</v>
      </c>
      <c r="F633" s="63">
        <f>'II_Inkunabeln+'!H633</f>
        <v>0</v>
      </c>
      <c r="G633" s="93">
        <f>'II_Inkunabeln+'!AG633</f>
        <v>0</v>
      </c>
      <c r="H633" s="93">
        <f>'II_Inkunabeln+'!AP633</f>
        <v>0</v>
      </c>
      <c r="I633" s="93">
        <f>'II_Inkunabeln+'!AQ633</f>
        <v>0</v>
      </c>
      <c r="J633" s="94"/>
      <c r="K633" s="93">
        <f>'II_Inkunabeln+'!AW633</f>
        <v>0</v>
      </c>
      <c r="L633" s="93">
        <f>'II_Inkunabeln+'!AX633</f>
        <v>0</v>
      </c>
      <c r="AA633" s="93">
        <f>'II_Inkunabeln+'!AY633</f>
        <v>0</v>
      </c>
      <c r="AB633" s="94">
        <f>'II_Inkunabeln+'!BA633</f>
        <v>0</v>
      </c>
      <c r="AC633" s="108"/>
      <c r="AD633" s="81">
        <f>'II_Inkunabeln+'!BJ633</f>
        <v>0</v>
      </c>
    </row>
    <row r="634" spans="1:30" x14ac:dyDescent="0.25">
      <c r="A634" s="63">
        <f>'II_Inkunabeln+'!A634</f>
        <v>610</v>
      </c>
      <c r="B634" s="63" t="str">
        <f>'II_Inkunabeln+'!B634</f>
        <v>L-1476-315498021</v>
      </c>
      <c r="C634" s="63">
        <f>'II_Inkunabeln+'!C634</f>
        <v>1066967768</v>
      </c>
      <c r="D634" s="84" t="str">
        <f>'II_Inkunabeln+'!D634</f>
        <v>https://portal.dnb.de/opac.htm?method=simpleSearch&amp;cqlMode=true&amp;query=idn%3D1066967768</v>
      </c>
      <c r="E634" s="63" t="str">
        <f>'II_Inkunabeln+'!E634</f>
        <v>II 82,9a</v>
      </c>
      <c r="F634" s="63" t="str">
        <f>'II_Inkunabeln+'!H634</f>
        <v>bis 35 cm</v>
      </c>
      <c r="G634" s="93" t="str">
        <f>'II_Inkunabeln+'!AG634</f>
        <v>Pa</v>
      </c>
      <c r="H634" s="93">
        <f>'II_Inkunabeln+'!AP634</f>
        <v>0</v>
      </c>
      <c r="I634" s="93">
        <f>'II_Inkunabeln+'!AQ634</f>
        <v>0</v>
      </c>
      <c r="J634" s="94"/>
      <c r="K634" s="93">
        <f>'II_Inkunabeln+'!AW634</f>
        <v>0</v>
      </c>
      <c r="L634" s="93">
        <f>'II_Inkunabeln+'!AX634</f>
        <v>0</v>
      </c>
      <c r="AA634" s="93">
        <f>'II_Inkunabeln+'!AY634</f>
        <v>0</v>
      </c>
      <c r="AB634" s="94" t="str">
        <f>'II_Inkunabeln+'!BA634</f>
        <v>ja vor</v>
      </c>
      <c r="AC634" s="108"/>
      <c r="AD634" s="81">
        <f>'II_Inkunabeln+'!BJ634</f>
        <v>0</v>
      </c>
    </row>
    <row r="635" spans="1:30" x14ac:dyDescent="0.25">
      <c r="A635" s="63">
        <f>'II_Inkunabeln+'!A635</f>
        <v>611</v>
      </c>
      <c r="B635" s="63" t="str">
        <f>'II_Inkunabeln+'!B635</f>
        <v>L-1478-315500832</v>
      </c>
      <c r="C635" s="63">
        <f>'II_Inkunabeln+'!C635</f>
        <v>1066970475</v>
      </c>
      <c r="D635" s="84" t="str">
        <f>'II_Inkunabeln+'!D635</f>
        <v>https://portal.dnb.de/opac.htm?method=simpleSearch&amp;cqlMode=true&amp;query=idn%3D1066970475</v>
      </c>
      <c r="E635" s="63" t="str">
        <f>'II_Inkunabeln+'!E635</f>
        <v>II 82,9b</v>
      </c>
      <c r="F635" s="63" t="str">
        <f>'II_Inkunabeln+'!H635</f>
        <v>bis 35 cm</v>
      </c>
      <c r="G635" s="93" t="str">
        <f>'II_Inkunabeln+'!AG635</f>
        <v>Pa</v>
      </c>
      <c r="H635" s="93">
        <f>'II_Inkunabeln+'!AP635</f>
        <v>0</v>
      </c>
      <c r="I635" s="93">
        <f>'II_Inkunabeln+'!AQ635</f>
        <v>0</v>
      </c>
      <c r="J635" s="94"/>
      <c r="K635" s="93">
        <f>'II_Inkunabeln+'!AW635</f>
        <v>0</v>
      </c>
      <c r="L635" s="93">
        <f>'II_Inkunabeln+'!AX635</f>
        <v>0</v>
      </c>
      <c r="AA635" s="93">
        <f>'II_Inkunabeln+'!AY635</f>
        <v>0</v>
      </c>
      <c r="AB635" s="94" t="str">
        <f>'II_Inkunabeln+'!BA635</f>
        <v>n</v>
      </c>
      <c r="AC635" s="108"/>
      <c r="AD635" s="81">
        <f>'II_Inkunabeln+'!BJ635</f>
        <v>0</v>
      </c>
    </row>
    <row r="636" spans="1:30" x14ac:dyDescent="0.25">
      <c r="A636" s="63">
        <f>'II_Inkunabeln+'!A636</f>
        <v>612</v>
      </c>
      <c r="B636" s="63" t="str">
        <f>'II_Inkunabeln+'!B636</f>
        <v>L-1478-315496762</v>
      </c>
      <c r="C636" s="63">
        <f>'II_Inkunabeln+'!C636</f>
        <v>1066966478</v>
      </c>
      <c r="D636" s="84" t="str">
        <f>'II_Inkunabeln+'!D636</f>
        <v>https://portal.dnb.de/opac.htm?method=simpleSearch&amp;cqlMode=true&amp;query=idn%3D1066966478</v>
      </c>
      <c r="E636" s="63" t="str">
        <f>'II_Inkunabeln+'!E636</f>
        <v>II 82,10 b</v>
      </c>
      <c r="F636" s="63">
        <f>'II_Inkunabeln+'!H636</f>
        <v>0</v>
      </c>
      <c r="G636" s="93">
        <f>'II_Inkunabeln+'!AG636</f>
        <v>0</v>
      </c>
      <c r="H636" s="93">
        <f>'II_Inkunabeln+'!AP636</f>
        <v>0</v>
      </c>
      <c r="I636" s="93">
        <f>'II_Inkunabeln+'!AQ636</f>
        <v>0</v>
      </c>
      <c r="J636" s="94"/>
      <c r="K636" s="93">
        <f>'II_Inkunabeln+'!AW636</f>
        <v>0</v>
      </c>
      <c r="L636" s="93">
        <f>'II_Inkunabeln+'!AX636</f>
        <v>0</v>
      </c>
      <c r="AA636" s="93">
        <f>'II_Inkunabeln+'!AY636</f>
        <v>0</v>
      </c>
      <c r="AB636" s="94">
        <f>'II_Inkunabeln+'!BA636</f>
        <v>0</v>
      </c>
      <c r="AC636" s="108"/>
      <c r="AD636" s="81">
        <f>'II_Inkunabeln+'!BJ636</f>
        <v>0</v>
      </c>
    </row>
    <row r="637" spans="1:30" x14ac:dyDescent="0.25">
      <c r="A637" s="63">
        <f>'II_Inkunabeln+'!A637</f>
        <v>613</v>
      </c>
      <c r="B637" s="63" t="str">
        <f>'II_Inkunabeln+'!B637</f>
        <v>L-1480-315498919</v>
      </c>
      <c r="C637" s="63">
        <f>'II_Inkunabeln+'!C637</f>
        <v>1066968675</v>
      </c>
      <c r="D637" s="84" t="str">
        <f>'II_Inkunabeln+'!D637</f>
        <v>https://portal.dnb.de/opac.htm?method=simpleSearch&amp;cqlMode=true&amp;query=idn%3D1066968675</v>
      </c>
      <c r="E637" s="63" t="str">
        <f>'II_Inkunabeln+'!E637</f>
        <v>II 82,10a</v>
      </c>
      <c r="F637" s="63">
        <f>'II_Inkunabeln+'!H637</f>
        <v>0</v>
      </c>
      <c r="G637" s="93">
        <f>'II_Inkunabeln+'!AG637</f>
        <v>0</v>
      </c>
      <c r="H637" s="93">
        <f>'II_Inkunabeln+'!AP637</f>
        <v>0</v>
      </c>
      <c r="I637" s="93">
        <f>'II_Inkunabeln+'!AQ637</f>
        <v>0</v>
      </c>
      <c r="J637" s="94"/>
      <c r="K637" s="93">
        <f>'II_Inkunabeln+'!AW637</f>
        <v>0</v>
      </c>
      <c r="L637" s="93">
        <f>'II_Inkunabeln+'!AX637</f>
        <v>0</v>
      </c>
      <c r="AA637" s="93">
        <f>'II_Inkunabeln+'!AY637</f>
        <v>0</v>
      </c>
      <c r="AB637" s="94">
        <f>'II_Inkunabeln+'!BA637</f>
        <v>0</v>
      </c>
      <c r="AC637" s="108"/>
      <c r="AD637" s="81">
        <f>'II_Inkunabeln+'!BJ637</f>
        <v>0</v>
      </c>
    </row>
    <row r="638" spans="1:30" x14ac:dyDescent="0.25">
      <c r="A638" s="63">
        <f>'II_Inkunabeln+'!A638</f>
        <v>614</v>
      </c>
      <c r="B638" s="63" t="str">
        <f>'II_Inkunabeln+'!B638</f>
        <v>L-1482-327679670</v>
      </c>
      <c r="C638" s="63">
        <f>'II_Inkunabeln+'!C638</f>
        <v>1072379198</v>
      </c>
      <c r="D638" s="84" t="str">
        <f>'II_Inkunabeln+'!D638</f>
        <v>https://portal.dnb.de/opac.htm?method=simpleSearch&amp;cqlMode=true&amp;query=idn%3D1072379198</v>
      </c>
      <c r="E638" s="63" t="str">
        <f>'II_Inkunabeln+'!E638</f>
        <v>II 82,11a</v>
      </c>
      <c r="F638" s="63" t="str">
        <f>'II_Inkunabeln+'!H638</f>
        <v>bis 35 cm</v>
      </c>
      <c r="G638" s="93" t="str">
        <f>'II_Inkunabeln+'!AG638</f>
        <v>Pa</v>
      </c>
      <c r="H638" s="93">
        <f>'II_Inkunabeln+'!AP638</f>
        <v>0</v>
      </c>
      <c r="I638" s="93">
        <f>'II_Inkunabeln+'!AQ638</f>
        <v>0</v>
      </c>
      <c r="J638" s="94"/>
      <c r="K638" s="93">
        <f>'II_Inkunabeln+'!AW638</f>
        <v>0</v>
      </c>
      <c r="L638" s="93">
        <f>'II_Inkunabeln+'!AX638</f>
        <v>0</v>
      </c>
      <c r="AA638" s="93">
        <f>'II_Inkunabeln+'!AY638</f>
        <v>0</v>
      </c>
      <c r="AB638" s="94" t="str">
        <f>'II_Inkunabeln+'!BA638</f>
        <v>ja vor</v>
      </c>
      <c r="AC638" s="108"/>
      <c r="AD638" s="81">
        <f>'II_Inkunabeln+'!BJ638</f>
        <v>0</v>
      </c>
    </row>
    <row r="639" spans="1:30" x14ac:dyDescent="0.25">
      <c r="A639" s="63">
        <f>'II_Inkunabeln+'!A639</f>
        <v>615</v>
      </c>
      <c r="B639" s="63" t="str">
        <f>'II_Inkunabeln+'!B639</f>
        <v>L-1493-31550224X</v>
      </c>
      <c r="C639" s="63">
        <f>'II_Inkunabeln+'!C639</f>
        <v>1066971846</v>
      </c>
      <c r="D639" s="84" t="str">
        <f>'II_Inkunabeln+'!D639</f>
        <v>https://portal.dnb.de/opac.htm?method=simpleSearch&amp;cqlMode=true&amp;query=idn%3D1066971846</v>
      </c>
      <c r="E639" s="63" t="str">
        <f>'II_Inkunabeln+'!E639</f>
        <v>II 82,11a [angebunden]</v>
      </c>
      <c r="F639" s="63">
        <f>'II_Inkunabeln+'!H639</f>
        <v>0</v>
      </c>
      <c r="G639" s="93">
        <f>'II_Inkunabeln+'!AG639</f>
        <v>0</v>
      </c>
      <c r="H639" s="93">
        <f>'II_Inkunabeln+'!AP639</f>
        <v>0</v>
      </c>
      <c r="I639" s="93">
        <f>'II_Inkunabeln+'!AQ639</f>
        <v>0</v>
      </c>
      <c r="J639" s="94"/>
      <c r="K639" s="93">
        <f>'II_Inkunabeln+'!AW639</f>
        <v>0</v>
      </c>
      <c r="L639" s="93">
        <f>'II_Inkunabeln+'!AX639</f>
        <v>0</v>
      </c>
      <c r="AA639" s="93">
        <f>'II_Inkunabeln+'!AY639</f>
        <v>0</v>
      </c>
      <c r="AB639" s="94">
        <f>'II_Inkunabeln+'!BA639</f>
        <v>0</v>
      </c>
      <c r="AC639" s="108"/>
      <c r="AD639" s="81">
        <f>'II_Inkunabeln+'!BJ639</f>
        <v>0</v>
      </c>
    </row>
    <row r="640" spans="1:30" x14ac:dyDescent="0.25">
      <c r="A640" s="63">
        <f>'II_Inkunabeln+'!A640</f>
        <v>616</v>
      </c>
      <c r="B640" s="63" t="str">
        <f>'II_Inkunabeln+'!B640</f>
        <v>L-1480-315498528</v>
      </c>
      <c r="C640" s="63">
        <f>'II_Inkunabeln+'!C640</f>
        <v>1066968268</v>
      </c>
      <c r="D640" s="84" t="str">
        <f>'II_Inkunabeln+'!D640</f>
        <v>https://portal.dnb.de/opac.htm?method=simpleSearch&amp;cqlMode=true&amp;query=idn%3D1066968268</v>
      </c>
      <c r="E640" s="63" t="str">
        <f>'II_Inkunabeln+'!E640</f>
        <v>II 82,12a</v>
      </c>
      <c r="F640" s="63" t="str">
        <f>'II_Inkunabeln+'!H640</f>
        <v>bis 25 cm</v>
      </c>
      <c r="G640" s="93" t="str">
        <f>'II_Inkunabeln+'!AG640</f>
        <v>Pa</v>
      </c>
      <c r="H640" s="93">
        <f>'II_Inkunabeln+'!AP640</f>
        <v>0</v>
      </c>
      <c r="I640" s="93" t="str">
        <f>'II_Inkunabeln+'!AQ640</f>
        <v>B</v>
      </c>
      <c r="J640" s="94"/>
      <c r="K640" s="93">
        <f>'II_Inkunabeln+'!AW640</f>
        <v>0</v>
      </c>
      <c r="L640" s="93">
        <f>'II_Inkunabeln+'!AX640</f>
        <v>0</v>
      </c>
      <c r="AA640" s="93">
        <f>'II_Inkunabeln+'!AY640</f>
        <v>0</v>
      </c>
      <c r="AB640" s="94" t="str">
        <f>'II_Inkunabeln+'!BA640</f>
        <v>n</v>
      </c>
      <c r="AC640" s="108"/>
      <c r="AD640" s="81" t="str">
        <f>'II_Inkunabeln+'!BJ640</f>
        <v>Schaden ist stabil genug</v>
      </c>
    </row>
    <row r="641" spans="1:30" x14ac:dyDescent="0.25">
      <c r="A641" s="63">
        <f>'II_Inkunabeln+'!A641</f>
        <v>617</v>
      </c>
      <c r="B641" s="63" t="str">
        <f>'II_Inkunabeln+'!B641</f>
        <v>L-1496-327016809</v>
      </c>
      <c r="C641" s="63">
        <f>'II_Inkunabeln+'!C641</f>
        <v>1072183919</v>
      </c>
      <c r="D641" s="84" t="str">
        <f>'II_Inkunabeln+'!D641</f>
        <v>https://portal.dnb.de/opac.htm?method=simpleSearch&amp;cqlMode=true&amp;query=idn%3D1072183919</v>
      </c>
      <c r="E641" s="63" t="str">
        <f>'II_Inkunabeln+'!E641</f>
        <v>II 82,13a</v>
      </c>
      <c r="F641" s="63">
        <f>'II_Inkunabeln+'!H641</f>
        <v>0</v>
      </c>
      <c r="G641" s="93">
        <f>'II_Inkunabeln+'!AG641</f>
        <v>0</v>
      </c>
      <c r="H641" s="93">
        <f>'II_Inkunabeln+'!AP641</f>
        <v>0</v>
      </c>
      <c r="I641" s="93">
        <f>'II_Inkunabeln+'!AQ641</f>
        <v>0</v>
      </c>
      <c r="J641" s="94"/>
      <c r="K641" s="93">
        <f>'II_Inkunabeln+'!AW641</f>
        <v>0</v>
      </c>
      <c r="L641" s="93">
        <f>'II_Inkunabeln+'!AX641</f>
        <v>0</v>
      </c>
      <c r="AA641" s="93">
        <f>'II_Inkunabeln+'!AY641</f>
        <v>0</v>
      </c>
      <c r="AB641" s="94">
        <f>'II_Inkunabeln+'!BA641</f>
        <v>0</v>
      </c>
      <c r="AC641" s="108"/>
      <c r="AD641" s="81">
        <f>'II_Inkunabeln+'!BJ641</f>
        <v>0</v>
      </c>
    </row>
    <row r="642" spans="1:30" x14ac:dyDescent="0.25">
      <c r="A642" s="63">
        <f>'II_Inkunabeln+'!A642</f>
        <v>618</v>
      </c>
      <c r="B642" s="63" t="str">
        <f>'II_Inkunabeln+'!B642</f>
        <v>L-1482-315501308</v>
      </c>
      <c r="C642" s="63">
        <f>'II_Inkunabeln+'!C642</f>
        <v>1066970947</v>
      </c>
      <c r="D642" s="84" t="str">
        <f>'II_Inkunabeln+'!D642</f>
        <v>https://portal.dnb.de/opac.htm?method=simpleSearch&amp;cqlMode=true&amp;query=idn%3D1066970947</v>
      </c>
      <c r="E642" s="63" t="str">
        <f>'II_Inkunabeln+'!E642</f>
        <v>II 82,14 a</v>
      </c>
      <c r="F642" s="63" t="str">
        <f>'II_Inkunabeln+'!H642</f>
        <v>bis 25 cm</v>
      </c>
      <c r="G642" s="93" t="str">
        <f>'II_Inkunabeln+'!AG642</f>
        <v>Pa</v>
      </c>
      <c r="H642" s="93">
        <f>'II_Inkunabeln+'!AP642</f>
        <v>0</v>
      </c>
      <c r="I642" s="93" t="str">
        <f>'II_Inkunabeln+'!AQ642</f>
        <v>I/R</v>
      </c>
      <c r="J642" s="94"/>
      <c r="K642" s="93">
        <f>'II_Inkunabeln+'!AW642</f>
        <v>0</v>
      </c>
      <c r="L642" s="93">
        <f>'II_Inkunabeln+'!AX642</f>
        <v>0</v>
      </c>
      <c r="AA642" s="93">
        <f>'II_Inkunabeln+'!AY642</f>
        <v>0</v>
      </c>
      <c r="AB642" s="94" t="str">
        <f>'II_Inkunabeln+'!BA642</f>
        <v>ja vor</v>
      </c>
      <c r="AC642" s="108"/>
      <c r="AD642" s="81">
        <f>'II_Inkunabeln+'!BJ642</f>
        <v>0</v>
      </c>
    </row>
    <row r="643" spans="1:30" x14ac:dyDescent="0.25">
      <c r="A643" s="63">
        <f>'II_Inkunabeln+'!A643</f>
        <v>619</v>
      </c>
      <c r="B643" s="63" t="str">
        <f>'II_Inkunabeln+'!B643</f>
        <v>L-1486-315503114</v>
      </c>
      <c r="C643" s="63">
        <f>'II_Inkunabeln+'!C643</f>
        <v>1066972702</v>
      </c>
      <c r="D643" s="84" t="str">
        <f>'II_Inkunabeln+'!D643</f>
        <v>https://portal.dnb.de/opac.htm?method=simpleSearch&amp;cqlMode=true&amp;query=idn%3D1066972702</v>
      </c>
      <c r="E643" s="63" t="str">
        <f>'II_Inkunabeln+'!E643</f>
        <v>II 82,15a</v>
      </c>
      <c r="F643" s="63">
        <f>'II_Inkunabeln+'!H643</f>
        <v>0</v>
      </c>
      <c r="G643" s="93">
        <f>'II_Inkunabeln+'!AG643</f>
        <v>0</v>
      </c>
      <c r="H643" s="93">
        <f>'II_Inkunabeln+'!AP643</f>
        <v>0</v>
      </c>
      <c r="I643" s="93">
        <f>'II_Inkunabeln+'!AQ643</f>
        <v>0</v>
      </c>
      <c r="J643" s="94"/>
      <c r="K643" s="93">
        <f>'II_Inkunabeln+'!AW643</f>
        <v>0</v>
      </c>
      <c r="L643" s="93">
        <f>'II_Inkunabeln+'!AX643</f>
        <v>0</v>
      </c>
      <c r="AA643" s="93">
        <f>'II_Inkunabeln+'!AY643</f>
        <v>0</v>
      </c>
      <c r="AB643" s="94">
        <f>'II_Inkunabeln+'!BA643</f>
        <v>0</v>
      </c>
      <c r="AC643" s="108"/>
      <c r="AD643" s="81">
        <f>'II_Inkunabeln+'!BJ643</f>
        <v>0</v>
      </c>
    </row>
    <row r="644" spans="1:30" x14ac:dyDescent="0.25">
      <c r="A644" s="63">
        <f>'II_Inkunabeln+'!A644</f>
        <v>620</v>
      </c>
      <c r="B644" s="63" t="str">
        <f>'II_Inkunabeln+'!B644</f>
        <v>L-1489-315503017</v>
      </c>
      <c r="C644" s="63">
        <f>'II_Inkunabeln+'!C644</f>
        <v>1066972591</v>
      </c>
      <c r="D644" s="84" t="str">
        <f>'II_Inkunabeln+'!D644</f>
        <v>https://portal.dnb.de/opac.htm?method=simpleSearch&amp;cqlMode=true&amp;query=idn%3D1066972591</v>
      </c>
      <c r="E644" s="63" t="str">
        <f>'II_Inkunabeln+'!E644</f>
        <v>II 82,15b</v>
      </c>
      <c r="F644" s="63" t="str">
        <f>'II_Inkunabeln+'!H644</f>
        <v>bis 35 cm</v>
      </c>
      <c r="G644" s="93" t="str">
        <f>'II_Inkunabeln+'!AG644</f>
        <v>Pa</v>
      </c>
      <c r="H644" s="93">
        <f>'II_Inkunabeln+'!AP644</f>
        <v>0</v>
      </c>
      <c r="I644" s="93" t="str">
        <f>'II_Inkunabeln+'!AQ644</f>
        <v>I/R</v>
      </c>
      <c r="J644" s="94"/>
      <c r="K644" s="93">
        <f>'II_Inkunabeln+'!AW644</f>
        <v>0</v>
      </c>
      <c r="L644" s="93">
        <f>'II_Inkunabeln+'!AX644</f>
        <v>0</v>
      </c>
      <c r="AA644" s="93">
        <f>'II_Inkunabeln+'!AY644</f>
        <v>0</v>
      </c>
      <c r="AB644" s="94" t="str">
        <f>'II_Inkunabeln+'!BA644</f>
        <v>n</v>
      </c>
      <c r="AC644" s="108"/>
      <c r="AD644" s="81">
        <f>'II_Inkunabeln+'!BJ644</f>
        <v>0</v>
      </c>
    </row>
    <row r="645" spans="1:30" x14ac:dyDescent="0.25">
      <c r="A645" s="63">
        <f>'II_Inkunabeln+'!A645</f>
        <v>621</v>
      </c>
      <c r="B645" s="63" t="str">
        <f>'II_Inkunabeln+'!B645</f>
        <v>L-1490-327679786</v>
      </c>
      <c r="C645" s="63" t="str">
        <f>'II_Inkunabeln+'!C645</f>
        <v>107237935X</v>
      </c>
      <c r="D645" s="84" t="str">
        <f>'II_Inkunabeln+'!D645</f>
        <v>https://portal.dnb.de/opac.htm?method=simpleSearch&amp;cqlMode=true&amp;query=idn%3D107237935X</v>
      </c>
      <c r="E645" s="63" t="str">
        <f>'II_Inkunabeln+'!E645</f>
        <v>II 82,15b [angebunden]</v>
      </c>
      <c r="F645" s="63">
        <f>'II_Inkunabeln+'!H645</f>
        <v>0</v>
      </c>
      <c r="G645" s="93">
        <f>'II_Inkunabeln+'!AG645</f>
        <v>0</v>
      </c>
      <c r="H645" s="93">
        <f>'II_Inkunabeln+'!AP645</f>
        <v>0</v>
      </c>
      <c r="I645" s="93">
        <f>'II_Inkunabeln+'!AQ645</f>
        <v>0</v>
      </c>
      <c r="J645" s="94"/>
      <c r="K645" s="93">
        <f>'II_Inkunabeln+'!AW645</f>
        <v>0</v>
      </c>
      <c r="L645" s="93">
        <f>'II_Inkunabeln+'!AX645</f>
        <v>0</v>
      </c>
      <c r="AA645" s="93">
        <f>'II_Inkunabeln+'!AY645</f>
        <v>0</v>
      </c>
      <c r="AB645" s="94">
        <f>'II_Inkunabeln+'!BA645</f>
        <v>0</v>
      </c>
      <c r="AC645" s="108"/>
      <c r="AD645" s="81">
        <f>'II_Inkunabeln+'!BJ645</f>
        <v>0</v>
      </c>
    </row>
    <row r="646" spans="1:30" x14ac:dyDescent="0.25">
      <c r="A646" s="63">
        <f>'II_Inkunabeln+'!A646</f>
        <v>622</v>
      </c>
      <c r="B646" s="63" t="str">
        <f>'II_Inkunabeln+'!B646</f>
        <v>L-2013-303556</v>
      </c>
      <c r="C646" s="63">
        <f>'II_Inkunabeln+'!C646</f>
        <v>1032687681</v>
      </c>
      <c r="D646" s="84" t="str">
        <f>'II_Inkunabeln+'!D646</f>
        <v>https://portal.dnb.de/opac.htm?method=simpleSearch&amp;cqlMode=true&amp;query=idn%3D1032687681</v>
      </c>
      <c r="E646" s="63" t="str">
        <f>'II_Inkunabeln+'!E646</f>
        <v>II 82,15c</v>
      </c>
      <c r="F646" s="63" t="str">
        <f>'II_Inkunabeln+'!H646</f>
        <v>bis 25 cm</v>
      </c>
      <c r="G646" s="93" t="str">
        <f>'II_Inkunabeln+'!AG646</f>
        <v>Pa</v>
      </c>
      <c r="H646" s="93">
        <f>'II_Inkunabeln+'!AP646</f>
        <v>0</v>
      </c>
      <c r="I646" s="93">
        <f>'II_Inkunabeln+'!AQ646</f>
        <v>0</v>
      </c>
      <c r="J646" s="94"/>
      <c r="K646" s="93">
        <f>'II_Inkunabeln+'!AW646</f>
        <v>0</v>
      </c>
      <c r="L646" s="93">
        <f>'II_Inkunabeln+'!AX646</f>
        <v>0</v>
      </c>
      <c r="AA646" s="93">
        <f>'II_Inkunabeln+'!AY646</f>
        <v>0</v>
      </c>
      <c r="AB646" s="94" t="str">
        <f>'II_Inkunabeln+'!BA646</f>
        <v>n</v>
      </c>
      <c r="AC646" s="108"/>
      <c r="AD646" s="81">
        <f>'II_Inkunabeln+'!BJ646</f>
        <v>0</v>
      </c>
    </row>
    <row r="647" spans="1:30" x14ac:dyDescent="0.25">
      <c r="A647" s="63">
        <f>'II_Inkunabeln+'!A647</f>
        <v>623</v>
      </c>
      <c r="B647" s="63" t="str">
        <f>'II_Inkunabeln+'!B647</f>
        <v>L-1496-327017139</v>
      </c>
      <c r="C647" s="63">
        <f>'II_Inkunabeln+'!C647</f>
        <v>1066968594</v>
      </c>
      <c r="D647" s="84" t="str">
        <f>'II_Inkunabeln+'!D647</f>
        <v>https://portal.dnb.de/opac.htm?method=simpleSearch&amp;cqlMode=true&amp;query=idn%3D1066968594</v>
      </c>
      <c r="E647" s="63" t="str">
        <f>'II_Inkunabeln+'!E647</f>
        <v>II 82,16 a</v>
      </c>
      <c r="F647" s="63">
        <f>'II_Inkunabeln+'!H647</f>
        <v>0</v>
      </c>
      <c r="G647" s="93">
        <f>'II_Inkunabeln+'!AG647</f>
        <v>0</v>
      </c>
      <c r="H647" s="93">
        <f>'II_Inkunabeln+'!AP647</f>
        <v>0</v>
      </c>
      <c r="I647" s="93">
        <f>'II_Inkunabeln+'!AQ647</f>
        <v>0</v>
      </c>
      <c r="J647" s="94"/>
      <c r="K647" s="93">
        <f>'II_Inkunabeln+'!AW647</f>
        <v>0</v>
      </c>
      <c r="L647" s="93">
        <f>'II_Inkunabeln+'!AX647</f>
        <v>0</v>
      </c>
      <c r="AA647" s="93">
        <f>'II_Inkunabeln+'!AY647</f>
        <v>0</v>
      </c>
      <c r="AB647" s="94">
        <f>'II_Inkunabeln+'!BA647</f>
        <v>0</v>
      </c>
      <c r="AC647" s="108"/>
      <c r="AD647" s="81">
        <f>'II_Inkunabeln+'!BJ647</f>
        <v>0</v>
      </c>
    </row>
    <row r="648" spans="1:30" x14ac:dyDescent="0.25">
      <c r="A648" s="63">
        <f>'II_Inkunabeln+'!A648</f>
        <v>624</v>
      </c>
      <c r="B648" s="63" t="str">
        <f>'II_Inkunabeln+'!B648</f>
        <v>L-1497-315498404</v>
      </c>
      <c r="C648" s="63">
        <f>'II_Inkunabeln+'!C648</f>
        <v>1066968136</v>
      </c>
      <c r="D648" s="84" t="str">
        <f>'II_Inkunabeln+'!D648</f>
        <v>https://portal.dnb.de/opac.htm?method=simpleSearch&amp;cqlMode=true&amp;query=idn%3D1066968136</v>
      </c>
      <c r="E648" s="63" t="str">
        <f>'II_Inkunabeln+'!E648</f>
        <v>II 82,16 b</v>
      </c>
      <c r="F648" s="63">
        <f>'II_Inkunabeln+'!H648</f>
        <v>0</v>
      </c>
      <c r="G648" s="93">
        <f>'II_Inkunabeln+'!AG648</f>
        <v>0</v>
      </c>
      <c r="H648" s="93">
        <f>'II_Inkunabeln+'!AP648</f>
        <v>0</v>
      </c>
      <c r="I648" s="93">
        <f>'II_Inkunabeln+'!AQ648</f>
        <v>0</v>
      </c>
      <c r="J648" s="94"/>
      <c r="K648" s="93">
        <f>'II_Inkunabeln+'!AW648</f>
        <v>0</v>
      </c>
      <c r="L648" s="93">
        <f>'II_Inkunabeln+'!AX648</f>
        <v>0</v>
      </c>
      <c r="AA648" s="93">
        <f>'II_Inkunabeln+'!AY648</f>
        <v>0</v>
      </c>
      <c r="AB648" s="94">
        <f>'II_Inkunabeln+'!BA648</f>
        <v>0</v>
      </c>
      <c r="AC648" s="108"/>
      <c r="AD648" s="81">
        <f>'II_Inkunabeln+'!BJ648</f>
        <v>0</v>
      </c>
    </row>
    <row r="649" spans="1:30" x14ac:dyDescent="0.25">
      <c r="A649" s="63">
        <f>'II_Inkunabeln+'!A649</f>
        <v>625</v>
      </c>
      <c r="B649" s="63" t="str">
        <f>'II_Inkunabeln+'!B649</f>
        <v>L-1496-315498846</v>
      </c>
      <c r="C649" s="63">
        <f>'II_Inkunabeln+'!C649</f>
        <v>1066968594</v>
      </c>
      <c r="D649" s="84" t="str">
        <f>'II_Inkunabeln+'!D649</f>
        <v>https://portal.dnb.de/opac.htm?method=simpleSearch&amp;cqlMode=true&amp;query=idn%3D1066968594</v>
      </c>
      <c r="E649" s="63" t="str">
        <f>'II_Inkunabeln+'!E649</f>
        <v>II 82,16ab - Fragm.</v>
      </c>
      <c r="F649" s="63">
        <f>'II_Inkunabeln+'!H649</f>
        <v>0</v>
      </c>
      <c r="G649" s="93">
        <f>'II_Inkunabeln+'!AG649</f>
        <v>0</v>
      </c>
      <c r="H649" s="93">
        <f>'II_Inkunabeln+'!AP649</f>
        <v>0</v>
      </c>
      <c r="I649" s="93">
        <f>'II_Inkunabeln+'!AQ649</f>
        <v>0</v>
      </c>
      <c r="J649" s="94"/>
      <c r="K649" s="93">
        <f>'II_Inkunabeln+'!AW649</f>
        <v>0</v>
      </c>
      <c r="L649" s="93">
        <f>'II_Inkunabeln+'!AX649</f>
        <v>0</v>
      </c>
      <c r="AA649" s="93">
        <f>'II_Inkunabeln+'!AY649</f>
        <v>0</v>
      </c>
      <c r="AB649" s="94">
        <f>'II_Inkunabeln+'!BA649</f>
        <v>0</v>
      </c>
      <c r="AC649" s="108"/>
      <c r="AD649" s="81">
        <f>'II_Inkunabeln+'!BJ649</f>
        <v>0</v>
      </c>
    </row>
    <row r="650" spans="1:30" x14ac:dyDescent="0.25">
      <c r="A650" s="63">
        <f>'II_Inkunabeln+'!A650</f>
        <v>626</v>
      </c>
      <c r="B650" s="63" t="str">
        <f>'II_Inkunabeln+'!B650</f>
        <v>L-1481-31549851X</v>
      </c>
      <c r="C650" s="63" t="str">
        <f>'II_Inkunabeln+'!C650</f>
        <v>106696825X</v>
      </c>
      <c r="D650" s="84" t="str">
        <f>'II_Inkunabeln+'!D650</f>
        <v>https://portal.dnb.de/opac.htm?method=simpleSearch&amp;cqlMode=true&amp;query=idn%3D106696825X</v>
      </c>
      <c r="E650" s="63" t="str">
        <f>'II_Inkunabeln+'!E650</f>
        <v>II 82,17 a</v>
      </c>
      <c r="F650" s="63">
        <f>'II_Inkunabeln+'!H650</f>
        <v>0</v>
      </c>
      <c r="G650" s="93">
        <f>'II_Inkunabeln+'!AG650</f>
        <v>0</v>
      </c>
      <c r="H650" s="93">
        <f>'II_Inkunabeln+'!AP650</f>
        <v>0</v>
      </c>
      <c r="I650" s="93">
        <f>'II_Inkunabeln+'!AQ650</f>
        <v>0</v>
      </c>
      <c r="J650" s="94"/>
      <c r="K650" s="93">
        <f>'II_Inkunabeln+'!AW650</f>
        <v>0</v>
      </c>
      <c r="L650" s="93">
        <f>'II_Inkunabeln+'!AX650</f>
        <v>0</v>
      </c>
      <c r="AA650" s="93">
        <f>'II_Inkunabeln+'!AY650</f>
        <v>0</v>
      </c>
      <c r="AB650" s="94">
        <f>'II_Inkunabeln+'!BA650</f>
        <v>0</v>
      </c>
      <c r="AC650" s="108"/>
      <c r="AD650" s="81">
        <f>'II_Inkunabeln+'!BJ650</f>
        <v>0</v>
      </c>
    </row>
    <row r="651" spans="1:30" x14ac:dyDescent="0.25">
      <c r="A651" s="63">
        <f>'II_Inkunabeln+'!A651</f>
        <v>627</v>
      </c>
      <c r="B651" s="63" t="str">
        <f>'II_Inkunabeln+'!B651</f>
        <v>L-1481-315499125</v>
      </c>
      <c r="C651" s="63">
        <f>'II_Inkunabeln+'!C651</f>
        <v>1066968853</v>
      </c>
      <c r="D651" s="84" t="str">
        <f>'II_Inkunabeln+'!D651</f>
        <v>https://portal.dnb.de/opac.htm?method=simpleSearch&amp;cqlMode=true&amp;query=idn%3D1066968853</v>
      </c>
      <c r="E651" s="63" t="str">
        <f>'II_Inkunabeln+'!E651</f>
        <v>II 82,17 b</v>
      </c>
      <c r="F651" s="63">
        <f>'II_Inkunabeln+'!H651</f>
        <v>0</v>
      </c>
      <c r="G651" s="93">
        <f>'II_Inkunabeln+'!AG651</f>
        <v>0</v>
      </c>
      <c r="H651" s="93">
        <f>'II_Inkunabeln+'!AP651</f>
        <v>0</v>
      </c>
      <c r="I651" s="93">
        <f>'II_Inkunabeln+'!AQ651</f>
        <v>0</v>
      </c>
      <c r="J651" s="94"/>
      <c r="K651" s="93">
        <f>'II_Inkunabeln+'!AW651</f>
        <v>0</v>
      </c>
      <c r="L651" s="93">
        <f>'II_Inkunabeln+'!AX651</f>
        <v>0</v>
      </c>
      <c r="AA651" s="93">
        <f>'II_Inkunabeln+'!AY651</f>
        <v>0</v>
      </c>
      <c r="AB651" s="94">
        <f>'II_Inkunabeln+'!BA651</f>
        <v>0</v>
      </c>
      <c r="AC651" s="108"/>
      <c r="AD651" s="81">
        <f>'II_Inkunabeln+'!BJ651</f>
        <v>0</v>
      </c>
    </row>
    <row r="652" spans="1:30" x14ac:dyDescent="0.25">
      <c r="A652" s="63">
        <f>'II_Inkunabeln+'!A652</f>
        <v>628</v>
      </c>
      <c r="B652" s="63" t="str">
        <f>'II_Inkunabeln+'!B652</f>
        <v>L-1481-315503130</v>
      </c>
      <c r="C652" s="63">
        <f>'II_Inkunabeln+'!C652</f>
        <v>1066972737</v>
      </c>
      <c r="D652" s="84" t="str">
        <f>'II_Inkunabeln+'!D652</f>
        <v>https://portal.dnb.de/opac.htm?method=simpleSearch&amp;cqlMode=true&amp;query=idn%3D1066972737</v>
      </c>
      <c r="E652" s="63" t="str">
        <f>'II_Inkunabeln+'!E652</f>
        <v>II 82,17c</v>
      </c>
      <c r="F652" s="63" t="str">
        <f>'II_Inkunabeln+'!H652</f>
        <v>bis 35 cm</v>
      </c>
      <c r="G652" s="93" t="str">
        <f>'II_Inkunabeln+'!AG652</f>
        <v>Pa</v>
      </c>
      <c r="H652" s="93">
        <f>'II_Inkunabeln+'!AP652</f>
        <v>0</v>
      </c>
      <c r="I652" s="93" t="str">
        <f>'II_Inkunabeln+'!AQ652</f>
        <v>I/R</v>
      </c>
      <c r="J652" s="94"/>
      <c r="K652" s="93">
        <f>'II_Inkunabeln+'!AW652</f>
        <v>0</v>
      </c>
      <c r="L652" s="93">
        <f>'II_Inkunabeln+'!AX652</f>
        <v>0</v>
      </c>
      <c r="AA652" s="93">
        <f>'II_Inkunabeln+'!AY652</f>
        <v>0</v>
      </c>
      <c r="AB652" s="94" t="str">
        <f>'II_Inkunabeln+'!BA652</f>
        <v>ja vor</v>
      </c>
      <c r="AC652" s="108"/>
      <c r="AD652" s="81">
        <f>'II_Inkunabeln+'!BJ652</f>
        <v>0</v>
      </c>
    </row>
    <row r="653" spans="1:30" x14ac:dyDescent="0.25">
      <c r="A653" s="63">
        <f>'II_Inkunabeln+'!A653</f>
        <v>629</v>
      </c>
      <c r="B653" s="63" t="str">
        <f>'II_Inkunabeln+'!B653</f>
        <v>L-1481-315499052</v>
      </c>
      <c r="C653" s="63">
        <f>'II_Inkunabeln+'!C653</f>
        <v>1066968780</v>
      </c>
      <c r="D653" s="84" t="str">
        <f>'II_Inkunabeln+'!D653</f>
        <v>https://portal.dnb.de/opac.htm?method=simpleSearch&amp;cqlMode=true&amp;query=idn%3D1066968780</v>
      </c>
      <c r="E653" s="63" t="str">
        <f>'II_Inkunabeln+'!E653</f>
        <v>II 82,17d</v>
      </c>
      <c r="F653" s="63">
        <f>'II_Inkunabeln+'!H653</f>
        <v>0</v>
      </c>
      <c r="G653" s="93">
        <f>'II_Inkunabeln+'!AG653</f>
        <v>0</v>
      </c>
      <c r="H653" s="93">
        <f>'II_Inkunabeln+'!AP653</f>
        <v>0</v>
      </c>
      <c r="I653" s="93">
        <f>'II_Inkunabeln+'!AQ653</f>
        <v>0</v>
      </c>
      <c r="J653" s="94"/>
      <c r="K653" s="93">
        <f>'II_Inkunabeln+'!AW653</f>
        <v>0</v>
      </c>
      <c r="L653" s="93">
        <f>'II_Inkunabeln+'!AX653</f>
        <v>0</v>
      </c>
      <c r="AA653" s="93">
        <f>'II_Inkunabeln+'!AY653</f>
        <v>0</v>
      </c>
      <c r="AB653" s="94">
        <f>'II_Inkunabeln+'!BA653</f>
        <v>0</v>
      </c>
      <c r="AC653" s="108"/>
      <c r="AD653" s="81">
        <f>'II_Inkunabeln+'!BJ653</f>
        <v>0</v>
      </c>
    </row>
    <row r="654" spans="1:30" x14ac:dyDescent="0.25">
      <c r="A654" s="63">
        <f>'II_Inkunabeln+'!A654</f>
        <v>630</v>
      </c>
      <c r="B654" s="63" t="str">
        <f>'II_Inkunabeln+'!B654</f>
        <v>L-1481-315498137</v>
      </c>
      <c r="C654" s="63">
        <f>'II_Inkunabeln+'!C654</f>
        <v>1066967881</v>
      </c>
      <c r="D654" s="84" t="str">
        <f>'II_Inkunabeln+'!D654</f>
        <v>https://portal.dnb.de/opac.htm?method=simpleSearch&amp;cqlMode=true&amp;query=idn%3D1066967881</v>
      </c>
      <c r="E654" s="63" t="str">
        <f>'II_Inkunabeln+'!E654</f>
        <v>II 82,17e</v>
      </c>
      <c r="F654" s="63" t="str">
        <f>'II_Inkunabeln+'!H654</f>
        <v>bis 25 cm</v>
      </c>
      <c r="G654" s="93" t="str">
        <f>'II_Inkunabeln+'!AG654</f>
        <v>Pa</v>
      </c>
      <c r="H654" s="93">
        <f>'II_Inkunabeln+'!AP654</f>
        <v>0</v>
      </c>
      <c r="I654" s="93">
        <f>'II_Inkunabeln+'!AQ654</f>
        <v>0</v>
      </c>
      <c r="J654" s="94"/>
      <c r="K654" s="93">
        <f>'II_Inkunabeln+'!AW654</f>
        <v>0</v>
      </c>
      <c r="L654" s="93">
        <f>'II_Inkunabeln+'!AX654</f>
        <v>0</v>
      </c>
      <c r="AA654" s="93">
        <f>'II_Inkunabeln+'!AY654</f>
        <v>0</v>
      </c>
      <c r="AB654" s="94" t="str">
        <f>'II_Inkunabeln+'!BA654</f>
        <v>n</v>
      </c>
      <c r="AC654" s="108"/>
      <c r="AD654" s="81">
        <f>'II_Inkunabeln+'!BJ654</f>
        <v>0</v>
      </c>
    </row>
    <row r="655" spans="1:30" ht="23" x14ac:dyDescent="0.25">
      <c r="A655" s="63">
        <f>'II_Inkunabeln+'!A655</f>
        <v>631</v>
      </c>
      <c r="B655" s="63" t="str">
        <f>'II_Inkunabeln+'!B655</f>
        <v>L-1486-315502363</v>
      </c>
      <c r="C655" s="63">
        <f>'II_Inkunabeln+'!C655</f>
        <v>1066971951</v>
      </c>
      <c r="D655" s="84" t="str">
        <f>'II_Inkunabeln+'!D655</f>
        <v>https://portal.dnb.de/opac.htm?method=simpleSearch&amp;cqlMode=true&amp;query=idn%3D1066971951</v>
      </c>
      <c r="E655" s="63" t="str">
        <f>'II_Inkunabeln+'!E655</f>
        <v>II 82,19a</v>
      </c>
      <c r="F655" s="63" t="str">
        <f>'II_Inkunabeln+'!H655</f>
        <v>bis 35 cm</v>
      </c>
      <c r="G655" s="93" t="str">
        <f>'II_Inkunabeln+'!AG655</f>
        <v>Pa</v>
      </c>
      <c r="H655" s="93">
        <f>'II_Inkunabeln+'!AP655</f>
        <v>0</v>
      </c>
      <c r="I655" s="93">
        <f>'II_Inkunabeln+'!AQ655</f>
        <v>0</v>
      </c>
      <c r="J655" s="94"/>
      <c r="K655" s="93">
        <f>'II_Inkunabeln+'!AW655</f>
        <v>0</v>
      </c>
      <c r="L655" s="93">
        <f>'II_Inkunabeln+'!AX655</f>
        <v>0</v>
      </c>
      <c r="AA655" s="93">
        <f>'II_Inkunabeln+'!AY655</f>
        <v>0</v>
      </c>
      <c r="AB655" s="94" t="str">
        <f>'II_Inkunabeln+'!BA655</f>
        <v>ja vor</v>
      </c>
      <c r="AC655" s="108"/>
      <c r="AD655" s="81" t="str">
        <f>'II_Inkunabeln+'!BJ655</f>
        <v>Rückeneinlage furchtbar dick und steif --&gt; Rest.maßnahme sehr gut überlegen</v>
      </c>
    </row>
    <row r="656" spans="1:30" ht="34.5" x14ac:dyDescent="0.25">
      <c r="B656" s="63">
        <f>'II_Inkunabeln+'!B656</f>
        <v>0</v>
      </c>
      <c r="C656" s="63">
        <f>'II_Inkunabeln+'!C656</f>
        <v>0</v>
      </c>
      <c r="D656" s="84">
        <f>'II_Inkunabeln+'!D656</f>
        <v>0</v>
      </c>
      <c r="E656" s="63" t="s">
        <v>1963</v>
      </c>
      <c r="F656" s="63" t="str">
        <f>'II_Inkunabeln+'!H656</f>
        <v>bis 25 cm</v>
      </c>
      <c r="G656" s="93" t="str">
        <f>'II_Inkunabeln+'!AG656</f>
        <v>Pa</v>
      </c>
      <c r="H656" s="93">
        <f>'II_Inkunabeln+'!AP656</f>
        <v>0</v>
      </c>
      <c r="I656" s="93" t="str">
        <f>'II_Inkunabeln+'!AQ656</f>
        <v>I/R</v>
      </c>
      <c r="J656" s="94"/>
      <c r="K656" s="93">
        <f>'II_Inkunabeln+'!AW656</f>
        <v>0</v>
      </c>
      <c r="L656" s="93">
        <f>'II_Inkunabeln+'!AX656</f>
        <v>0</v>
      </c>
      <c r="AA656" s="93">
        <f>'II_Inkunabeln+'!AY656</f>
        <v>0</v>
      </c>
      <c r="AB656" s="94" t="str">
        <f>'II_Inkunabeln+'!BA656</f>
        <v>n</v>
      </c>
      <c r="AC656" s="108"/>
      <c r="AD656" s="81">
        <f>'II_Inkunabeln+'!BJ656</f>
        <v>0</v>
      </c>
    </row>
    <row r="657" spans="1:30" x14ac:dyDescent="0.25">
      <c r="A657" s="63">
        <f>'II_Inkunabeln+'!A657</f>
        <v>632</v>
      </c>
      <c r="B657" s="63" t="str">
        <f>'II_Inkunabeln+'!B657</f>
        <v>L-1485-315497599</v>
      </c>
      <c r="C657" s="63">
        <f>'II_Inkunabeln+'!C657</f>
        <v>1066967342</v>
      </c>
      <c r="D657" s="84" t="str">
        <f>'II_Inkunabeln+'!D657</f>
        <v>https://portal.dnb.de/opac.htm?method=simpleSearch&amp;cqlMode=true&amp;query=idn%3D1066967342</v>
      </c>
      <c r="E657" s="63" t="str">
        <f>'II_Inkunabeln+'!E657</f>
        <v>II 82,20a</v>
      </c>
      <c r="F657" s="63" t="str">
        <f>'II_Inkunabeln+'!H657</f>
        <v>bis 25 cm</v>
      </c>
      <c r="G657" s="93" t="str">
        <f>'II_Inkunabeln+'!AG657</f>
        <v>Pa</v>
      </c>
      <c r="H657" s="93">
        <f>'II_Inkunabeln+'!AP657</f>
        <v>0</v>
      </c>
      <c r="I657" s="93">
        <f>'II_Inkunabeln+'!AQ657</f>
        <v>0</v>
      </c>
      <c r="J657" s="94"/>
      <c r="K657" s="93">
        <f>'II_Inkunabeln+'!AW657</f>
        <v>0</v>
      </c>
      <c r="L657" s="93">
        <f>'II_Inkunabeln+'!AX657</f>
        <v>0</v>
      </c>
      <c r="AA657" s="93">
        <f>'II_Inkunabeln+'!AY657</f>
        <v>0</v>
      </c>
      <c r="AB657" s="94" t="str">
        <f>'II_Inkunabeln+'!BA657</f>
        <v>n</v>
      </c>
      <c r="AC657" s="108"/>
      <c r="AD657" s="81">
        <f>'II_Inkunabeln+'!BJ657</f>
        <v>0</v>
      </c>
    </row>
    <row r="658" spans="1:30" ht="23" x14ac:dyDescent="0.25">
      <c r="A658" s="63">
        <f>'II_Inkunabeln+'!A658</f>
        <v>633</v>
      </c>
      <c r="B658" s="63" t="str">
        <f>'II_Inkunabeln+'!B658</f>
        <v>L-1486-315503084</v>
      </c>
      <c r="C658" s="63">
        <f>'II_Inkunabeln+'!C658</f>
        <v>1066972664</v>
      </c>
      <c r="D658" s="84" t="str">
        <f>'II_Inkunabeln+'!D658</f>
        <v>https://portal.dnb.de/opac.htm?method=simpleSearch&amp;cqlMode=true&amp;query=idn%3D1066972664</v>
      </c>
      <c r="E658" s="63" t="str">
        <f>'II_Inkunabeln+'!E658</f>
        <v>II 82,21a</v>
      </c>
      <c r="F658" s="63" t="str">
        <f>'II_Inkunabeln+'!H658</f>
        <v>bis 35 cm</v>
      </c>
      <c r="G658" s="93" t="str">
        <f>'II_Inkunabeln+'!AG658</f>
        <v>Pa</v>
      </c>
      <c r="H658" s="93">
        <f>'II_Inkunabeln+'!AP658</f>
        <v>0</v>
      </c>
      <c r="I658" s="93" t="str">
        <f>'II_Inkunabeln+'!AQ658</f>
        <v>I/R</v>
      </c>
      <c r="J658" s="94"/>
      <c r="K658" s="93">
        <f>'II_Inkunabeln+'!AW658</f>
        <v>0</v>
      </c>
      <c r="L658" s="93">
        <f>'II_Inkunabeln+'!AX658</f>
        <v>0</v>
      </c>
      <c r="Q658" s="93" t="s">
        <v>1633</v>
      </c>
      <c r="AA658" s="93">
        <f>'II_Inkunabeln+'!AY658</f>
        <v>0</v>
      </c>
      <c r="AB658" s="94" t="str">
        <f>'II_Inkunabeln+'!BA658</f>
        <v>ja vor</v>
      </c>
      <c r="AC658" s="108">
        <v>0.5</v>
      </c>
      <c r="AD658" s="81" t="str">
        <f>'II_Inkunabeln+'!BJ658</f>
        <v>Erfurter Einband, leider völlig überarbeitet/überformt</v>
      </c>
    </row>
    <row r="659" spans="1:30" x14ac:dyDescent="0.25">
      <c r="A659" s="63">
        <f>'II_Inkunabeln+'!A659</f>
        <v>634</v>
      </c>
      <c r="B659" s="63" t="str">
        <f>'II_Inkunabeln+'!B659</f>
        <v>L-1494-315502258</v>
      </c>
      <c r="C659" s="63">
        <f>'II_Inkunabeln+'!C659</f>
        <v>1066971854</v>
      </c>
      <c r="D659" s="84" t="str">
        <f>'II_Inkunabeln+'!D659</f>
        <v>https://portal.dnb.de/opac.htm?method=simpleSearch&amp;cqlMode=true&amp;query=idn%3D1066971854</v>
      </c>
      <c r="E659" s="63" t="str">
        <f>'II_Inkunabeln+'!E659</f>
        <v>II 82,23a</v>
      </c>
      <c r="F659" s="63" t="str">
        <f>'II_Inkunabeln+'!H659</f>
        <v>bis 35 cm</v>
      </c>
      <c r="G659" s="93" t="str">
        <f>'II_Inkunabeln+'!AG659</f>
        <v>Pa</v>
      </c>
      <c r="H659" s="93">
        <f>'II_Inkunabeln+'!AP659</f>
        <v>0</v>
      </c>
      <c r="I659" s="93" t="str">
        <f>'II_Inkunabeln+'!AQ659</f>
        <v>I/R</v>
      </c>
      <c r="J659" s="94"/>
      <c r="K659" s="93">
        <f>'II_Inkunabeln+'!AW659</f>
        <v>0</v>
      </c>
      <c r="L659" s="93">
        <f>'II_Inkunabeln+'!AX659</f>
        <v>0</v>
      </c>
      <c r="AA659" s="93">
        <f>'II_Inkunabeln+'!AY659</f>
        <v>0</v>
      </c>
      <c r="AB659" s="94" t="str">
        <f>'II_Inkunabeln+'!BA659</f>
        <v>n</v>
      </c>
      <c r="AC659" s="108"/>
      <c r="AD659" s="81">
        <f>'II_Inkunabeln+'!BJ659</f>
        <v>0</v>
      </c>
    </row>
    <row r="660" spans="1:30" x14ac:dyDescent="0.25">
      <c r="A660" s="63">
        <f>'II_Inkunabeln+'!A660</f>
        <v>635</v>
      </c>
      <c r="B660" s="63" t="str">
        <f>'II_Inkunabeln+'!B660</f>
        <v>L-1497-315502037</v>
      </c>
      <c r="C660" s="63" t="str">
        <f>'II_Inkunabeln+'!C660</f>
        <v>106697165X</v>
      </c>
      <c r="D660" s="84" t="str">
        <f>'II_Inkunabeln+'!D660</f>
        <v>https://portal.dnb.de/opac.htm?method=simpleSearch&amp;cqlMode=true&amp;query=idn%3D106697165X</v>
      </c>
      <c r="E660" s="63" t="str">
        <f>'II_Inkunabeln+'!E660</f>
        <v>II 82,24a</v>
      </c>
      <c r="F660" s="63">
        <f>'II_Inkunabeln+'!H660</f>
        <v>0</v>
      </c>
      <c r="G660" s="93">
        <f>'II_Inkunabeln+'!AG660</f>
        <v>0</v>
      </c>
      <c r="H660" s="93">
        <f>'II_Inkunabeln+'!AP660</f>
        <v>0</v>
      </c>
      <c r="I660" s="93">
        <f>'II_Inkunabeln+'!AQ660</f>
        <v>0</v>
      </c>
      <c r="J660" s="94"/>
      <c r="K660" s="93">
        <f>'II_Inkunabeln+'!AW660</f>
        <v>0</v>
      </c>
      <c r="L660" s="93">
        <f>'II_Inkunabeln+'!AX660</f>
        <v>0</v>
      </c>
      <c r="AA660" s="93">
        <f>'II_Inkunabeln+'!AY660</f>
        <v>0</v>
      </c>
      <c r="AB660" s="94">
        <f>'II_Inkunabeln+'!BA660</f>
        <v>0</v>
      </c>
      <c r="AC660" s="108"/>
      <c r="AD660" s="81">
        <f>'II_Inkunabeln+'!BJ660</f>
        <v>0</v>
      </c>
    </row>
    <row r="661" spans="1:30" x14ac:dyDescent="0.25">
      <c r="A661" s="63">
        <f>'II_Inkunabeln+'!A661</f>
        <v>636</v>
      </c>
      <c r="B661" s="63" t="str">
        <f>'II_Inkunabeln+'!B661</f>
        <v>L-1492-315499907</v>
      </c>
      <c r="C661" s="63">
        <f>'II_Inkunabeln+'!C661</f>
        <v>1066969582</v>
      </c>
      <c r="D661" s="84" t="str">
        <f>'II_Inkunabeln+'!D661</f>
        <v>https://portal.dnb.de/opac.htm?method=simpleSearch&amp;cqlMode=true&amp;query=idn%3D1066969582</v>
      </c>
      <c r="E661" s="63" t="str">
        <f>'II_Inkunabeln+'!E661</f>
        <v>II 82,24b</v>
      </c>
      <c r="F661" s="63" t="str">
        <f>'II_Inkunabeln+'!H661</f>
        <v>bis 35 cm</v>
      </c>
      <c r="G661" s="93" t="str">
        <f>'II_Inkunabeln+'!AG661</f>
        <v>Pa</v>
      </c>
      <c r="H661" s="93">
        <f>'II_Inkunabeln+'!AP661</f>
        <v>0</v>
      </c>
      <c r="I661" s="93">
        <f>'II_Inkunabeln+'!AQ661</f>
        <v>0</v>
      </c>
      <c r="J661" s="94"/>
      <c r="K661" s="93">
        <f>'II_Inkunabeln+'!AW661</f>
        <v>0</v>
      </c>
      <c r="L661" s="93">
        <f>'II_Inkunabeln+'!AX661</f>
        <v>0</v>
      </c>
      <c r="AA661" s="93">
        <f>'II_Inkunabeln+'!AY661</f>
        <v>0</v>
      </c>
      <c r="AB661" s="94" t="str">
        <f>'II_Inkunabeln+'!BA661</f>
        <v>n</v>
      </c>
      <c r="AC661" s="108"/>
      <c r="AD661" s="81">
        <f>'II_Inkunabeln+'!BJ661</f>
        <v>0</v>
      </c>
    </row>
    <row r="662" spans="1:30" x14ac:dyDescent="0.25">
      <c r="A662" s="63">
        <f>'II_Inkunabeln+'!A662</f>
        <v>637</v>
      </c>
      <c r="B662" s="63" t="str">
        <f>'II_Inkunabeln+'!B662</f>
        <v>L-1483-315499818</v>
      </c>
      <c r="C662" s="63">
        <f>'II_Inkunabeln+'!C662</f>
        <v>1066969485</v>
      </c>
      <c r="D662" s="84" t="str">
        <f>'II_Inkunabeln+'!D662</f>
        <v>https://portal.dnb.de/opac.htm?method=simpleSearch&amp;cqlMode=true&amp;query=idn%3D1066969485</v>
      </c>
      <c r="E662" s="63" t="str">
        <f>'II_Inkunabeln+'!E662</f>
        <v>II 82,25a</v>
      </c>
      <c r="F662" s="63" t="str">
        <f>'II_Inkunabeln+'!H662</f>
        <v>bis 35 cm</v>
      </c>
      <c r="G662" s="93" t="str">
        <f>'II_Inkunabeln+'!AG662</f>
        <v>Pa</v>
      </c>
      <c r="H662" s="93">
        <f>'II_Inkunabeln+'!AP662</f>
        <v>0</v>
      </c>
      <c r="I662" s="93" t="str">
        <f>'II_Inkunabeln+'!AQ662</f>
        <v>K/I/R</v>
      </c>
      <c r="J662" s="94"/>
      <c r="K662" s="93">
        <f>'II_Inkunabeln+'!AW662</f>
        <v>0</v>
      </c>
      <c r="L662" s="93">
        <f>'II_Inkunabeln+'!AX662</f>
        <v>0</v>
      </c>
      <c r="AA662" s="93">
        <f>'II_Inkunabeln+'!AY662</f>
        <v>0</v>
      </c>
      <c r="AB662" s="94" t="str">
        <f>'II_Inkunabeln+'!BA662</f>
        <v>ja vor</v>
      </c>
      <c r="AC662" s="108"/>
      <c r="AD662" s="81">
        <f>'II_Inkunabeln+'!BJ662</f>
        <v>0</v>
      </c>
    </row>
    <row r="663" spans="1:30" x14ac:dyDescent="0.25">
      <c r="A663" s="63">
        <f>'II_Inkunabeln+'!A663</f>
        <v>638</v>
      </c>
      <c r="B663" s="63" t="str">
        <f>'II_Inkunabeln+'!B663</f>
        <v>L-1495-315496274</v>
      </c>
      <c r="C663" s="63">
        <f>'II_Inkunabeln+'!C663</f>
        <v>1066965978</v>
      </c>
      <c r="D663" s="84" t="str">
        <f>'II_Inkunabeln+'!D663</f>
        <v>https://portal.dnb.de/opac.htm?method=simpleSearch&amp;cqlMode=true&amp;query=idn%3D1066965978</v>
      </c>
      <c r="E663" s="63" t="str">
        <f>'II_Inkunabeln+'!E663</f>
        <v>II 82,26a</v>
      </c>
      <c r="F663" s="63" t="str">
        <f>'II_Inkunabeln+'!H663</f>
        <v>bis 25 cm</v>
      </c>
      <c r="G663" s="93" t="str">
        <f>'II_Inkunabeln+'!AG663</f>
        <v>Pa</v>
      </c>
      <c r="H663" s="93">
        <f>'II_Inkunabeln+'!AP663</f>
        <v>0</v>
      </c>
      <c r="I663" s="93" t="str">
        <f>'II_Inkunabeln+'!AQ663</f>
        <v>I/R</v>
      </c>
      <c r="J663" s="94"/>
      <c r="K663" s="93">
        <f>'II_Inkunabeln+'!AW663</f>
        <v>0</v>
      </c>
      <c r="L663" s="93">
        <f>'II_Inkunabeln+'!AX663</f>
        <v>0</v>
      </c>
      <c r="AA663" s="93">
        <f>'II_Inkunabeln+'!AY663</f>
        <v>0</v>
      </c>
      <c r="AB663" s="94" t="str">
        <f>'II_Inkunabeln+'!BA663</f>
        <v>n</v>
      </c>
      <c r="AC663" s="108"/>
      <c r="AD663" s="81">
        <f>'II_Inkunabeln+'!BJ663</f>
        <v>0</v>
      </c>
    </row>
    <row r="664" spans="1:30" x14ac:dyDescent="0.25">
      <c r="A664" s="63">
        <f>'II_Inkunabeln+'!A664</f>
        <v>639</v>
      </c>
      <c r="B664" s="63" t="str">
        <f>'II_Inkunabeln+'!B664</f>
        <v>L-1489-315495960</v>
      </c>
      <c r="C664" s="63">
        <f>'II_Inkunabeln+'!C664</f>
        <v>1066965730</v>
      </c>
      <c r="D664" s="84" t="str">
        <f>'II_Inkunabeln+'!D664</f>
        <v>https://portal.dnb.de/opac.htm?method=simpleSearch&amp;cqlMode=true&amp;query=idn%3D1066965730</v>
      </c>
      <c r="E664" s="63" t="str">
        <f>'II_Inkunabeln+'!E664</f>
        <v>II 82,27a</v>
      </c>
      <c r="F664" s="63" t="str">
        <f>'II_Inkunabeln+'!H664</f>
        <v>bis 35 cm</v>
      </c>
      <c r="G664" s="93" t="str">
        <f>'II_Inkunabeln+'!AG664</f>
        <v>Pa</v>
      </c>
      <c r="H664" s="93">
        <f>'II_Inkunabeln+'!AP664</f>
        <v>0</v>
      </c>
      <c r="I664" s="93">
        <f>'II_Inkunabeln+'!AQ664</f>
        <v>0</v>
      </c>
      <c r="J664" s="94"/>
      <c r="K664" s="93">
        <f>'II_Inkunabeln+'!AW664</f>
        <v>0</v>
      </c>
      <c r="L664" s="93">
        <f>'II_Inkunabeln+'!AX664</f>
        <v>0</v>
      </c>
      <c r="AA664" s="93">
        <f>'II_Inkunabeln+'!AY664</f>
        <v>0</v>
      </c>
      <c r="AB664" s="94" t="str">
        <f>'II_Inkunabeln+'!BA664</f>
        <v>n</v>
      </c>
      <c r="AC664" s="108"/>
      <c r="AD664" s="81">
        <f>'II_Inkunabeln+'!BJ664</f>
        <v>0</v>
      </c>
    </row>
    <row r="665" spans="1:30" x14ac:dyDescent="0.25">
      <c r="A665" s="63">
        <f>'II_Inkunabeln+'!A665</f>
        <v>640</v>
      </c>
      <c r="B665" s="63" t="str">
        <f>'II_Inkunabeln+'!B665</f>
        <v>L-1489-315496878</v>
      </c>
      <c r="C665" s="63">
        <f>'II_Inkunabeln+'!C665</f>
        <v>1066966575</v>
      </c>
      <c r="D665" s="84" t="str">
        <f>'II_Inkunabeln+'!D665</f>
        <v>https://portal.dnb.de/opac.htm?method=simpleSearch&amp;cqlMode=true&amp;query=idn%3D1066966575</v>
      </c>
      <c r="E665" s="63" t="str">
        <f>'II_Inkunabeln+'!E665</f>
        <v>II 82,27b</v>
      </c>
      <c r="F665" s="63">
        <f>'II_Inkunabeln+'!H665</f>
        <v>0</v>
      </c>
      <c r="G665" s="93">
        <f>'II_Inkunabeln+'!AG665</f>
        <v>0</v>
      </c>
      <c r="H665" s="93">
        <f>'II_Inkunabeln+'!AP665</f>
        <v>0</v>
      </c>
      <c r="I665" s="93">
        <f>'II_Inkunabeln+'!AQ665</f>
        <v>0</v>
      </c>
      <c r="J665" s="94"/>
      <c r="K665" s="93">
        <f>'II_Inkunabeln+'!AW665</f>
        <v>0</v>
      </c>
      <c r="L665" s="93">
        <f>'II_Inkunabeln+'!AX665</f>
        <v>0</v>
      </c>
      <c r="AA665" s="93">
        <f>'II_Inkunabeln+'!AY665</f>
        <v>0</v>
      </c>
      <c r="AB665" s="94">
        <f>'II_Inkunabeln+'!BA665</f>
        <v>0</v>
      </c>
      <c r="AC665" s="108"/>
      <c r="AD665" s="81">
        <f>'II_Inkunabeln+'!BJ665</f>
        <v>0</v>
      </c>
    </row>
    <row r="666" spans="1:30" x14ac:dyDescent="0.25">
      <c r="A666" s="63">
        <f>'II_Inkunabeln+'!A666</f>
        <v>641</v>
      </c>
      <c r="B666" s="63" t="str">
        <f>'II_Inkunabeln+'!B666</f>
        <v>L-1493-315503351</v>
      </c>
      <c r="C666" s="63">
        <f>'II_Inkunabeln+'!C666</f>
        <v>1066972974</v>
      </c>
      <c r="D666" s="84" t="str">
        <f>'II_Inkunabeln+'!D666</f>
        <v>https://portal.dnb.de/opac.htm?method=simpleSearch&amp;cqlMode=true&amp;query=idn%3D1066972974</v>
      </c>
      <c r="E666" s="63" t="str">
        <f>'II_Inkunabeln+'!E666</f>
        <v>II 82,27c</v>
      </c>
      <c r="F666" s="63" t="str">
        <f>'II_Inkunabeln+'!H666</f>
        <v>bis 35 cm</v>
      </c>
      <c r="G666" s="93" t="str">
        <f>'II_Inkunabeln+'!AG666</f>
        <v>Pa</v>
      </c>
      <c r="H666" s="93">
        <f>'II_Inkunabeln+'!AP666</f>
        <v>0</v>
      </c>
      <c r="I666" s="93">
        <f>'II_Inkunabeln+'!AQ666</f>
        <v>0</v>
      </c>
      <c r="J666" s="94"/>
      <c r="K666" s="93">
        <f>'II_Inkunabeln+'!AW666</f>
        <v>0</v>
      </c>
      <c r="L666" s="93">
        <f>'II_Inkunabeln+'!AX666</f>
        <v>0</v>
      </c>
      <c r="AA666" s="93">
        <f>'II_Inkunabeln+'!AY666</f>
        <v>0</v>
      </c>
      <c r="AB666" s="94" t="str">
        <f>'II_Inkunabeln+'!BA666</f>
        <v>ja vor</v>
      </c>
      <c r="AC666" s="108"/>
      <c r="AD666" s="81">
        <f>'II_Inkunabeln+'!BJ666</f>
        <v>0</v>
      </c>
    </row>
    <row r="667" spans="1:30" x14ac:dyDescent="0.25">
      <c r="A667" s="63">
        <f>'II_Inkunabeln+'!A667</f>
        <v>642</v>
      </c>
      <c r="B667" s="63" t="str">
        <f>'II_Inkunabeln+'!B667</f>
        <v>L-1490-315501073</v>
      </c>
      <c r="C667" s="63">
        <f>'II_Inkunabeln+'!C667</f>
        <v>1066970726</v>
      </c>
      <c r="D667" s="84" t="str">
        <f>'II_Inkunabeln+'!D667</f>
        <v>https://portal.dnb.de/opac.htm?method=simpleSearch&amp;cqlMode=true&amp;query=idn%3D1066970726</v>
      </c>
      <c r="E667" s="63" t="str">
        <f>'II_Inkunabeln+'!E667</f>
        <v>II 82,28a</v>
      </c>
      <c r="F667" s="63" t="str">
        <f>'II_Inkunabeln+'!H667</f>
        <v>bis 35 cm</v>
      </c>
      <c r="G667" s="93" t="str">
        <f>'II_Inkunabeln+'!AG667</f>
        <v>Pa</v>
      </c>
      <c r="H667" s="93">
        <f>'II_Inkunabeln+'!AP667</f>
        <v>0</v>
      </c>
      <c r="I667" s="93">
        <f>'II_Inkunabeln+'!AQ667</f>
        <v>0</v>
      </c>
      <c r="J667" s="94"/>
      <c r="K667" s="93">
        <f>'II_Inkunabeln+'!AW667</f>
        <v>0</v>
      </c>
      <c r="L667" s="93">
        <f>'II_Inkunabeln+'!AX667</f>
        <v>0</v>
      </c>
      <c r="AA667" s="93">
        <f>'II_Inkunabeln+'!AY667</f>
        <v>0</v>
      </c>
      <c r="AB667" s="94" t="str">
        <f>'II_Inkunabeln+'!BA667</f>
        <v>n</v>
      </c>
      <c r="AC667" s="108"/>
      <c r="AD667" s="81">
        <f>'II_Inkunabeln+'!BJ667</f>
        <v>0</v>
      </c>
    </row>
    <row r="668" spans="1:30" x14ac:dyDescent="0.25">
      <c r="A668" s="63">
        <f>'II_Inkunabeln+'!A668</f>
        <v>643</v>
      </c>
      <c r="B668" s="63" t="str">
        <f>'II_Inkunabeln+'!B668</f>
        <v>L-1477-315497920</v>
      </c>
      <c r="C668" s="63">
        <f>'II_Inkunabeln+'!C668</f>
        <v>1066967660</v>
      </c>
      <c r="D668" s="84" t="str">
        <f>'II_Inkunabeln+'!D668</f>
        <v>https://portal.dnb.de/opac.htm?method=simpleSearch&amp;cqlMode=true&amp;query=idn%3D1066967660</v>
      </c>
      <c r="E668" s="63" t="str">
        <f>'II_Inkunabeln+'!E668</f>
        <v>II 82,28b</v>
      </c>
      <c r="F668" s="63">
        <f>'II_Inkunabeln+'!H668</f>
        <v>0</v>
      </c>
      <c r="G668" s="93">
        <f>'II_Inkunabeln+'!AG668</f>
        <v>0</v>
      </c>
      <c r="H668" s="93">
        <f>'II_Inkunabeln+'!AP668</f>
        <v>0</v>
      </c>
      <c r="I668" s="93">
        <f>'II_Inkunabeln+'!AQ668</f>
        <v>0</v>
      </c>
      <c r="J668" s="94"/>
      <c r="K668" s="93">
        <f>'II_Inkunabeln+'!AW668</f>
        <v>0</v>
      </c>
      <c r="L668" s="93">
        <f>'II_Inkunabeln+'!AX668</f>
        <v>0</v>
      </c>
      <c r="AA668" s="93">
        <f>'II_Inkunabeln+'!AY668</f>
        <v>0</v>
      </c>
      <c r="AB668" s="94">
        <f>'II_Inkunabeln+'!BA668</f>
        <v>0</v>
      </c>
      <c r="AC668" s="108"/>
      <c r="AD668" s="81">
        <f>'II_Inkunabeln+'!BJ668</f>
        <v>0</v>
      </c>
    </row>
    <row r="669" spans="1:30" x14ac:dyDescent="0.25">
      <c r="A669" s="63">
        <f>'II_Inkunabeln+'!A669</f>
        <v>644</v>
      </c>
      <c r="B669" s="63" t="str">
        <f>'II_Inkunabeln+'!B669</f>
        <v>L-1487-31549770X</v>
      </c>
      <c r="C669" s="63" t="str">
        <f>'II_Inkunabeln+'!C669</f>
        <v>106696744X</v>
      </c>
      <c r="D669" s="84" t="str">
        <f>'II_Inkunabeln+'!D669</f>
        <v>https://portal.dnb.de/opac.htm?method=simpleSearch&amp;cqlMode=true&amp;query=idn%3D106696744X</v>
      </c>
      <c r="E669" s="63" t="str">
        <f>'II_Inkunabeln+'!E669</f>
        <v>II 82,29a</v>
      </c>
      <c r="F669" s="63" t="str">
        <f>'II_Inkunabeln+'!H669</f>
        <v>bis 35 cm</v>
      </c>
      <c r="G669" s="93" t="str">
        <f>'II_Inkunabeln+'!AG669</f>
        <v>Pa</v>
      </c>
      <c r="H669" s="93">
        <f>'II_Inkunabeln+'!AP669</f>
        <v>0</v>
      </c>
      <c r="I669" s="93">
        <f>'II_Inkunabeln+'!AQ669</f>
        <v>0</v>
      </c>
      <c r="J669" s="94"/>
      <c r="K669" s="93">
        <f>'II_Inkunabeln+'!AW669</f>
        <v>0</v>
      </c>
      <c r="L669" s="93">
        <f>'II_Inkunabeln+'!AX669</f>
        <v>0</v>
      </c>
      <c r="AA669" s="93">
        <f>'II_Inkunabeln+'!AY669</f>
        <v>0</v>
      </c>
      <c r="AB669" s="94" t="str">
        <f>'II_Inkunabeln+'!BA669</f>
        <v>n</v>
      </c>
      <c r="AC669" s="108"/>
      <c r="AD669" s="81">
        <f>'II_Inkunabeln+'!BJ669</f>
        <v>0</v>
      </c>
    </row>
    <row r="670" spans="1:30" x14ac:dyDescent="0.25">
      <c r="A670" s="63">
        <f>'II_Inkunabeln+'!A670</f>
        <v>645</v>
      </c>
      <c r="B670" s="63" t="str">
        <f>'II_Inkunabeln+'!B670</f>
        <v>L-1487-315497726</v>
      </c>
      <c r="C670" s="63">
        <f>'II_Inkunabeln+'!C670</f>
        <v>1066967466</v>
      </c>
      <c r="D670" s="84" t="str">
        <f>'II_Inkunabeln+'!D670</f>
        <v>https://portal.dnb.de/opac.htm?method=simpleSearch&amp;cqlMode=true&amp;query=idn%3D1066967466</v>
      </c>
      <c r="E670" s="63" t="str">
        <f>'II_Inkunabeln+'!E670</f>
        <v>II 82,29b</v>
      </c>
      <c r="F670" s="63" t="str">
        <f>'II_Inkunabeln+'!H670</f>
        <v>bis 35 cm</v>
      </c>
      <c r="G670" s="93" t="str">
        <f>'II_Inkunabeln+'!AG670</f>
        <v>Pa</v>
      </c>
      <c r="H670" s="93">
        <f>'II_Inkunabeln+'!AP670</f>
        <v>0</v>
      </c>
      <c r="I670" s="93">
        <f>'II_Inkunabeln+'!AQ670</f>
        <v>0</v>
      </c>
      <c r="J670" s="94"/>
      <c r="K670" s="93">
        <f>'II_Inkunabeln+'!AW670</f>
        <v>0</v>
      </c>
      <c r="L670" s="93">
        <f>'II_Inkunabeln+'!AX670</f>
        <v>0</v>
      </c>
      <c r="AA670" s="93">
        <f>'II_Inkunabeln+'!AY670</f>
        <v>0</v>
      </c>
      <c r="AB670" s="94" t="str">
        <f>'II_Inkunabeln+'!BA670</f>
        <v>ja vor</v>
      </c>
      <c r="AC670" s="108"/>
      <c r="AD670" s="81">
        <f>'II_Inkunabeln+'!BJ670</f>
        <v>0</v>
      </c>
    </row>
    <row r="671" spans="1:30" x14ac:dyDescent="0.25">
      <c r="A671" s="63">
        <f>'II_Inkunabeln+'!A671</f>
        <v>646</v>
      </c>
      <c r="B671" s="63" t="str">
        <f>'II_Inkunabeln+'!B671</f>
        <v>L-1489-315499508</v>
      </c>
      <c r="C671" s="63">
        <f>'II_Inkunabeln+'!C671</f>
        <v>1066969191</v>
      </c>
      <c r="D671" s="84" t="str">
        <f>'II_Inkunabeln+'!D671</f>
        <v>https://portal.dnb.de/opac.htm?method=simpleSearch&amp;cqlMode=true&amp;query=idn%3D1066969191</v>
      </c>
      <c r="E671" s="63" t="str">
        <f>'II_Inkunabeln+'!E671</f>
        <v>II 82,30a</v>
      </c>
      <c r="F671" s="63" t="str">
        <f>'II_Inkunabeln+'!H671</f>
        <v>bis 25 cm</v>
      </c>
      <c r="G671" s="93" t="str">
        <f>'II_Inkunabeln+'!AG671</f>
        <v>Pa</v>
      </c>
      <c r="H671" s="93">
        <f>'II_Inkunabeln+'!AP671</f>
        <v>0</v>
      </c>
      <c r="I671" s="93">
        <f>'II_Inkunabeln+'!AQ671</f>
        <v>0</v>
      </c>
      <c r="J671" s="94"/>
      <c r="K671" s="93">
        <f>'II_Inkunabeln+'!AW671</f>
        <v>0</v>
      </c>
      <c r="L671" s="93">
        <f>'II_Inkunabeln+'!AX671</f>
        <v>0</v>
      </c>
      <c r="AA671" s="93">
        <f>'II_Inkunabeln+'!AY671</f>
        <v>0</v>
      </c>
      <c r="AB671" s="94" t="str">
        <f>'II_Inkunabeln+'!BA671</f>
        <v>n</v>
      </c>
      <c r="AC671" s="108"/>
      <c r="AD671" s="81">
        <f>'II_Inkunabeln+'!BJ671</f>
        <v>0</v>
      </c>
    </row>
    <row r="672" spans="1:30" x14ac:dyDescent="0.25">
      <c r="A672" s="63">
        <f>'II_Inkunabeln+'!A672</f>
        <v>647</v>
      </c>
      <c r="B672" s="63" t="str">
        <f>'II_Inkunabeln+'!B672</f>
        <v>L-1489-315496037</v>
      </c>
      <c r="C672" s="63">
        <f>'II_Inkunabeln+'!C672</f>
        <v>1066965781</v>
      </c>
      <c r="D672" s="84" t="str">
        <f>'II_Inkunabeln+'!D672</f>
        <v>https://portal.dnb.de/opac.htm?method=simpleSearch&amp;cqlMode=true&amp;query=idn%3D1066965781</v>
      </c>
      <c r="E672" s="63" t="str">
        <f>'II_Inkunabeln+'!E672</f>
        <v>II 82,30a (1. angeb. Werk)</v>
      </c>
      <c r="F672" s="63">
        <f>'II_Inkunabeln+'!H672</f>
        <v>0</v>
      </c>
      <c r="G672" s="93">
        <f>'II_Inkunabeln+'!AG672</f>
        <v>0</v>
      </c>
      <c r="H672" s="93">
        <f>'II_Inkunabeln+'!AP672</f>
        <v>0</v>
      </c>
      <c r="I672" s="93">
        <f>'II_Inkunabeln+'!AQ672</f>
        <v>0</v>
      </c>
      <c r="J672" s="94"/>
      <c r="K672" s="93">
        <f>'II_Inkunabeln+'!AW672</f>
        <v>0</v>
      </c>
      <c r="L672" s="93">
        <f>'II_Inkunabeln+'!AX672</f>
        <v>0</v>
      </c>
      <c r="AA672" s="93">
        <f>'II_Inkunabeln+'!AY672</f>
        <v>0</v>
      </c>
      <c r="AB672" s="94">
        <f>'II_Inkunabeln+'!BA672</f>
        <v>0</v>
      </c>
      <c r="AC672" s="108"/>
      <c r="AD672" s="81">
        <f>'II_Inkunabeln+'!BJ672</f>
        <v>0</v>
      </c>
    </row>
    <row r="673" spans="1:30" x14ac:dyDescent="0.25">
      <c r="A673" s="63">
        <f>'II_Inkunabeln+'!A673</f>
        <v>648</v>
      </c>
      <c r="B673" s="63" t="str">
        <f>'II_Inkunabeln+'!B673</f>
        <v>L-1489-315497165</v>
      </c>
      <c r="C673" s="63">
        <f>'II_Inkunabeln+'!C673</f>
        <v>1066966869</v>
      </c>
      <c r="D673" s="84" t="str">
        <f>'II_Inkunabeln+'!D673</f>
        <v>https://portal.dnb.de/opac.htm?method=simpleSearch&amp;cqlMode=true&amp;query=idn%3D1066966869</v>
      </c>
      <c r="E673" s="63" t="str">
        <f>'II_Inkunabeln+'!E673</f>
        <v>II 82,30a (2. angeb. Werk)</v>
      </c>
      <c r="F673" s="63">
        <f>'II_Inkunabeln+'!H673</f>
        <v>0</v>
      </c>
      <c r="G673" s="93">
        <f>'II_Inkunabeln+'!AG673</f>
        <v>0</v>
      </c>
      <c r="H673" s="93">
        <f>'II_Inkunabeln+'!AP673</f>
        <v>0</v>
      </c>
      <c r="I673" s="93">
        <f>'II_Inkunabeln+'!AQ673</f>
        <v>0</v>
      </c>
      <c r="J673" s="94"/>
      <c r="K673" s="93">
        <f>'II_Inkunabeln+'!AW673</f>
        <v>0</v>
      </c>
      <c r="L673" s="93">
        <f>'II_Inkunabeln+'!AX673</f>
        <v>0</v>
      </c>
      <c r="AA673" s="93">
        <f>'II_Inkunabeln+'!AY673</f>
        <v>0</v>
      </c>
      <c r="AB673" s="94">
        <f>'II_Inkunabeln+'!BA673</f>
        <v>0</v>
      </c>
      <c r="AC673" s="108"/>
      <c r="AD673" s="81">
        <f>'II_Inkunabeln+'!BJ673</f>
        <v>0</v>
      </c>
    </row>
    <row r="674" spans="1:30" x14ac:dyDescent="0.25">
      <c r="A674" s="63">
        <f>'II_Inkunabeln+'!A674</f>
        <v>649</v>
      </c>
      <c r="B674" s="63" t="str">
        <f>'II_Inkunabeln+'!B674</f>
        <v>L-1496-315502312</v>
      </c>
      <c r="C674" s="63">
        <f>'II_Inkunabeln+'!C674</f>
        <v>1066971919</v>
      </c>
      <c r="D674" s="84" t="str">
        <f>'II_Inkunabeln+'!D674</f>
        <v>https://portal.dnb.de/opac.htm?method=simpleSearch&amp;cqlMode=true&amp;query=idn%3D1066971919</v>
      </c>
      <c r="E674" s="63" t="str">
        <f>'II_Inkunabeln+'!E674</f>
        <v>II 82,31a</v>
      </c>
      <c r="F674" s="63">
        <f>'II_Inkunabeln+'!H674</f>
        <v>0</v>
      </c>
      <c r="G674" s="93">
        <f>'II_Inkunabeln+'!AG674</f>
        <v>0</v>
      </c>
      <c r="H674" s="93">
        <f>'II_Inkunabeln+'!AP674</f>
        <v>0</v>
      </c>
      <c r="I674" s="93">
        <f>'II_Inkunabeln+'!AQ674</f>
        <v>0</v>
      </c>
      <c r="J674" s="94"/>
      <c r="K674" s="93">
        <f>'II_Inkunabeln+'!AW674</f>
        <v>0</v>
      </c>
      <c r="L674" s="93">
        <f>'II_Inkunabeln+'!AX674</f>
        <v>0</v>
      </c>
      <c r="AA674" s="93">
        <f>'II_Inkunabeln+'!AY674</f>
        <v>0</v>
      </c>
      <c r="AB674" s="94">
        <f>'II_Inkunabeln+'!BA674</f>
        <v>0</v>
      </c>
      <c r="AC674" s="108"/>
      <c r="AD674" s="81">
        <f>'II_Inkunabeln+'!BJ674</f>
        <v>0</v>
      </c>
    </row>
    <row r="675" spans="1:30" x14ac:dyDescent="0.25">
      <c r="A675" s="63">
        <f>'II_Inkunabeln+'!A675</f>
        <v>650</v>
      </c>
      <c r="B675" s="63" t="str">
        <f>'II_Inkunabeln+'!B675</f>
        <v>L-1496-343709120</v>
      </c>
      <c r="C675" s="63">
        <f>'II_Inkunabeln+'!C675</f>
        <v>1066971919</v>
      </c>
      <c r="D675" s="84" t="str">
        <f>'II_Inkunabeln+'!D675</f>
        <v>https://portal.dnb.de/opac.htm?method=simpleSearch&amp;cqlMode=true&amp;query=idn%3D1066971919</v>
      </c>
      <c r="E675" s="63" t="str">
        <f>'II_Inkunabeln+'!E675</f>
        <v>II 82,31a - Fragm.</v>
      </c>
      <c r="F675" s="63">
        <f>'II_Inkunabeln+'!H675</f>
        <v>0</v>
      </c>
      <c r="G675" s="93">
        <f>'II_Inkunabeln+'!AG675</f>
        <v>0</v>
      </c>
      <c r="H675" s="93">
        <f>'II_Inkunabeln+'!AP675</f>
        <v>0</v>
      </c>
      <c r="I675" s="93">
        <f>'II_Inkunabeln+'!AQ675</f>
        <v>0</v>
      </c>
      <c r="J675" s="94"/>
      <c r="K675" s="93">
        <f>'II_Inkunabeln+'!AW675</f>
        <v>0</v>
      </c>
      <c r="L675" s="93">
        <f>'II_Inkunabeln+'!AX675</f>
        <v>0</v>
      </c>
      <c r="AA675" s="93">
        <f>'II_Inkunabeln+'!AY675</f>
        <v>0</v>
      </c>
      <c r="AB675" s="94">
        <f>'II_Inkunabeln+'!BA675</f>
        <v>0</v>
      </c>
      <c r="AC675" s="108"/>
      <c r="AD675" s="81">
        <f>'II_Inkunabeln+'!BJ675</f>
        <v>0</v>
      </c>
    </row>
    <row r="676" spans="1:30" x14ac:dyDescent="0.25">
      <c r="A676" s="63">
        <f>'II_Inkunabeln+'!A676</f>
        <v>651</v>
      </c>
      <c r="B676" s="63" t="str">
        <f>'II_Inkunabeln+'!B676</f>
        <v>L-1491-315502010</v>
      </c>
      <c r="C676" s="63">
        <f>'II_Inkunabeln+'!C676</f>
        <v>1066971633</v>
      </c>
      <c r="D676" s="84" t="str">
        <f>'II_Inkunabeln+'!D676</f>
        <v>https://portal.dnb.de/opac.htm?method=simpleSearch&amp;cqlMode=true&amp;query=idn%3D1066971633</v>
      </c>
      <c r="E676" s="63" t="str">
        <f>'II_Inkunabeln+'!E676</f>
        <v>II 82,32a</v>
      </c>
      <c r="F676" s="63" t="str">
        <f>'II_Inkunabeln+'!H676</f>
        <v>bis 35 cm</v>
      </c>
      <c r="G676" s="93" t="str">
        <f>'II_Inkunabeln+'!AG676</f>
        <v>Pa</v>
      </c>
      <c r="H676" s="93">
        <f>'II_Inkunabeln+'!AP676</f>
        <v>0</v>
      </c>
      <c r="I676" s="93">
        <f>'II_Inkunabeln+'!AQ676</f>
        <v>0</v>
      </c>
      <c r="J676" s="94"/>
      <c r="K676" s="93">
        <f>'II_Inkunabeln+'!AW676</f>
        <v>0</v>
      </c>
      <c r="L676" s="93">
        <f>'II_Inkunabeln+'!AX676</f>
        <v>0</v>
      </c>
      <c r="AA676" s="93">
        <f>'II_Inkunabeln+'!AY676</f>
        <v>0</v>
      </c>
      <c r="AB676" s="94" t="str">
        <f>'II_Inkunabeln+'!BA676</f>
        <v>n</v>
      </c>
      <c r="AC676" s="108"/>
      <c r="AD676" s="81">
        <f>'II_Inkunabeln+'!BJ676</f>
        <v>0</v>
      </c>
    </row>
    <row r="677" spans="1:30" x14ac:dyDescent="0.25">
      <c r="A677" s="63">
        <f>'II_Inkunabeln+'!A677</f>
        <v>652</v>
      </c>
      <c r="B677" s="63" t="str">
        <f>'II_Inkunabeln+'!B677</f>
        <v>L-1490-315500824</v>
      </c>
      <c r="C677" s="63">
        <f>'II_Inkunabeln+'!C677</f>
        <v>1066970467</v>
      </c>
      <c r="D677" s="84" t="str">
        <f>'II_Inkunabeln+'!D677</f>
        <v>https://portal.dnb.de/opac.htm?method=simpleSearch&amp;cqlMode=true&amp;query=idn%3D1066970467</v>
      </c>
      <c r="E677" s="63" t="str">
        <f>'II_Inkunabeln+'!E677</f>
        <v>II 82,33b</v>
      </c>
      <c r="F677" s="63" t="str">
        <f>'II_Inkunabeln+'!H677</f>
        <v>bis 35 cm</v>
      </c>
      <c r="G677" s="93" t="str">
        <f>'II_Inkunabeln+'!AG677</f>
        <v>Pa</v>
      </c>
      <c r="H677" s="93">
        <f>'II_Inkunabeln+'!AP677</f>
        <v>0</v>
      </c>
      <c r="I677" s="93">
        <f>'II_Inkunabeln+'!AQ677</f>
        <v>0</v>
      </c>
      <c r="J677" s="94"/>
      <c r="K677" s="93">
        <f>'II_Inkunabeln+'!AW677</f>
        <v>0</v>
      </c>
      <c r="L677" s="93">
        <f>'II_Inkunabeln+'!AX677</f>
        <v>0</v>
      </c>
      <c r="AA677" s="93">
        <f>'II_Inkunabeln+'!AY677</f>
        <v>0</v>
      </c>
      <c r="AB677" s="94" t="str">
        <f>'II_Inkunabeln+'!BA677</f>
        <v>n</v>
      </c>
      <c r="AC677" s="108"/>
      <c r="AD677" s="81">
        <f>'II_Inkunabeln+'!BJ677</f>
        <v>0</v>
      </c>
    </row>
    <row r="678" spans="1:30" x14ac:dyDescent="0.25">
      <c r="A678" s="63">
        <f>'II_Inkunabeln+'!A678</f>
        <v>653</v>
      </c>
      <c r="B678" s="63" t="str">
        <f>'II_Inkunabeln+'!B678</f>
        <v>L-1495-343709317</v>
      </c>
      <c r="C678" s="63">
        <f>'II_Inkunabeln+'!C678</f>
        <v>1072379643</v>
      </c>
      <c r="D678" s="84" t="str">
        <f>'II_Inkunabeln+'!D678</f>
        <v>https://portal.dnb.de/opac.htm?method=simpleSearch&amp;cqlMode=true&amp;query=idn%3D1072379643</v>
      </c>
      <c r="E678" s="63" t="str">
        <f>'II_Inkunabeln+'!E678</f>
        <v>II 82,33b (angebunden)</v>
      </c>
      <c r="F678" s="63">
        <f>'II_Inkunabeln+'!H678</f>
        <v>0</v>
      </c>
      <c r="G678" s="93">
        <f>'II_Inkunabeln+'!AG678</f>
        <v>0</v>
      </c>
      <c r="H678" s="93">
        <f>'II_Inkunabeln+'!AP678</f>
        <v>0</v>
      </c>
      <c r="I678" s="93">
        <f>'II_Inkunabeln+'!AQ678</f>
        <v>0</v>
      </c>
      <c r="J678" s="94"/>
      <c r="K678" s="93">
        <f>'II_Inkunabeln+'!AW678</f>
        <v>0</v>
      </c>
      <c r="L678" s="93">
        <f>'II_Inkunabeln+'!AX678</f>
        <v>0</v>
      </c>
      <c r="AA678" s="93">
        <f>'II_Inkunabeln+'!AY678</f>
        <v>0</v>
      </c>
      <c r="AB678" s="94">
        <f>'II_Inkunabeln+'!BA678</f>
        <v>0</v>
      </c>
      <c r="AC678" s="108"/>
      <c r="AD678" s="81">
        <f>'II_Inkunabeln+'!BJ678</f>
        <v>0</v>
      </c>
    </row>
    <row r="679" spans="1:30" x14ac:dyDescent="0.25">
      <c r="A679" s="63">
        <f>'II_Inkunabeln+'!A679</f>
        <v>654</v>
      </c>
      <c r="B679" s="63" t="str">
        <f>'II_Inkunabeln+'!B679</f>
        <v>L-1496-327017562</v>
      </c>
      <c r="C679" s="63">
        <f>'II_Inkunabeln+'!C679</f>
        <v>1072184923</v>
      </c>
      <c r="D679" s="84" t="str">
        <f>'II_Inkunabeln+'!D679</f>
        <v>https://portal.dnb.de/opac.htm?method=simpleSearch&amp;cqlMode=true&amp;query=idn%3D1072184923</v>
      </c>
      <c r="E679" s="63" t="str">
        <f>'II_Inkunabeln+'!E679</f>
        <v>II 82,34a</v>
      </c>
      <c r="F679" s="63" t="str">
        <f>'II_Inkunabeln+'!H679</f>
        <v>bis 35 cm</v>
      </c>
      <c r="G679" s="93" t="str">
        <f>'II_Inkunabeln+'!AG679</f>
        <v>Pa</v>
      </c>
      <c r="H679" s="93">
        <f>'II_Inkunabeln+'!AP679</f>
        <v>0</v>
      </c>
      <c r="I679" s="93" t="str">
        <f>'II_Inkunabeln+'!AQ679</f>
        <v>I/R</v>
      </c>
      <c r="J679" s="94"/>
      <c r="K679" s="93">
        <f>'II_Inkunabeln+'!AW679</f>
        <v>0</v>
      </c>
      <c r="L679" s="93">
        <f>'II_Inkunabeln+'!AX679</f>
        <v>0</v>
      </c>
      <c r="AA679" s="93">
        <f>'II_Inkunabeln+'!AY679</f>
        <v>0</v>
      </c>
      <c r="AB679" s="94" t="str">
        <f>'II_Inkunabeln+'!BA679</f>
        <v>n</v>
      </c>
      <c r="AC679" s="108"/>
      <c r="AD679" s="81">
        <f>'II_Inkunabeln+'!BJ679</f>
        <v>0</v>
      </c>
    </row>
    <row r="680" spans="1:30" x14ac:dyDescent="0.25">
      <c r="A680" s="63">
        <f>'II_Inkunabeln+'!A680</f>
        <v>655</v>
      </c>
      <c r="B680" s="63" t="str">
        <f>'II_Inkunabeln+'!B680</f>
        <v>L-1497-315498048</v>
      </c>
      <c r="C680" s="63">
        <f>'II_Inkunabeln+'!C680</f>
        <v>1066967776</v>
      </c>
      <c r="D680" s="84" t="str">
        <f>'II_Inkunabeln+'!D680</f>
        <v>https://portal.dnb.de/opac.htm?method=simpleSearch&amp;cqlMode=true&amp;query=idn%3D1066967776</v>
      </c>
      <c r="E680" s="63" t="str">
        <f>'II_Inkunabeln+'!E680</f>
        <v>II 82,34c</v>
      </c>
      <c r="F680" s="63" t="str">
        <f>'II_Inkunabeln+'!H680</f>
        <v>bis 35 cm</v>
      </c>
      <c r="G680" s="93" t="str">
        <f>'II_Inkunabeln+'!AG680</f>
        <v>Pa</v>
      </c>
      <c r="H680" s="93">
        <f>'II_Inkunabeln+'!AP680</f>
        <v>0</v>
      </c>
      <c r="I680" s="93">
        <f>'II_Inkunabeln+'!AQ680</f>
        <v>0</v>
      </c>
      <c r="J680" s="94"/>
      <c r="K680" s="93">
        <f>'II_Inkunabeln+'!AW680</f>
        <v>0</v>
      </c>
      <c r="L680" s="93">
        <f>'II_Inkunabeln+'!AX680</f>
        <v>0</v>
      </c>
      <c r="AA680" s="93">
        <f>'II_Inkunabeln+'!AY680</f>
        <v>0</v>
      </c>
      <c r="AB680" s="94" t="str">
        <f>'II_Inkunabeln+'!BA680</f>
        <v>ja vor</v>
      </c>
      <c r="AC680" s="108"/>
      <c r="AD680" s="81">
        <f>'II_Inkunabeln+'!BJ680</f>
        <v>0</v>
      </c>
    </row>
    <row r="681" spans="1:30" x14ac:dyDescent="0.25">
      <c r="A681" s="63">
        <f>'II_Inkunabeln+'!A681</f>
        <v>656</v>
      </c>
      <c r="B681" s="63" t="str">
        <f>'II_Inkunabeln+'!B681</f>
        <v>L-1491-315501189</v>
      </c>
      <c r="C681" s="63">
        <f>'II_Inkunabeln+'!C681</f>
        <v>1066970823</v>
      </c>
      <c r="D681" s="84" t="str">
        <f>'II_Inkunabeln+'!D681</f>
        <v>https://portal.dnb.de/opac.htm?method=simpleSearch&amp;cqlMode=true&amp;query=idn%3D1066970823</v>
      </c>
      <c r="E681" s="63" t="str">
        <f>'II_Inkunabeln+'!E681</f>
        <v>II 82,34d</v>
      </c>
      <c r="F681" s="63" t="str">
        <f>'II_Inkunabeln+'!H681</f>
        <v>bis 35 cm</v>
      </c>
      <c r="G681" s="93" t="str">
        <f>'II_Inkunabeln+'!AG681</f>
        <v>Pa</v>
      </c>
      <c r="H681" s="93">
        <f>'II_Inkunabeln+'!AP681</f>
        <v>0</v>
      </c>
      <c r="I681" s="93">
        <f>'II_Inkunabeln+'!AQ681</f>
        <v>0</v>
      </c>
      <c r="J681" s="94"/>
      <c r="K681" s="93">
        <f>'II_Inkunabeln+'!AW681</f>
        <v>0</v>
      </c>
      <c r="L681" s="93">
        <f>'II_Inkunabeln+'!AX681</f>
        <v>0</v>
      </c>
      <c r="AA681" s="93" t="str">
        <f>'II_Inkunabeln+'!AY681</f>
        <v>x</v>
      </c>
      <c r="AB681" s="94" t="str">
        <f>'II_Inkunabeln+'!BA681</f>
        <v>n</v>
      </c>
      <c r="AC681" s="108"/>
      <c r="AD681" s="81">
        <f>'II_Inkunabeln+'!BJ681</f>
        <v>0</v>
      </c>
    </row>
    <row r="682" spans="1:30" x14ac:dyDescent="0.25">
      <c r="A682" s="63">
        <f>'II_Inkunabeln+'!A682</f>
        <v>657</v>
      </c>
      <c r="B682" s="63" t="str">
        <f>'II_Inkunabeln+'!B682</f>
        <v>L-1499-315500336</v>
      </c>
      <c r="C682" s="63" t="str">
        <f>'II_Inkunabeln+'!C682</f>
        <v>106696999X</v>
      </c>
      <c r="D682" s="84" t="str">
        <f>'II_Inkunabeln+'!D682</f>
        <v>https://portal.dnb.de/opac.htm?method=simpleSearch&amp;cqlMode=true&amp;query=idn%3D106696999X</v>
      </c>
      <c r="E682" s="63" t="str">
        <f>'II_Inkunabeln+'!E682</f>
        <v>II 82,35a</v>
      </c>
      <c r="F682" s="63">
        <f>'II_Inkunabeln+'!H682</f>
        <v>0</v>
      </c>
      <c r="G682" s="93">
        <f>'II_Inkunabeln+'!AG682</f>
        <v>0</v>
      </c>
      <c r="H682" s="93">
        <f>'II_Inkunabeln+'!AP682</f>
        <v>0</v>
      </c>
      <c r="I682" s="93">
        <f>'II_Inkunabeln+'!AQ682</f>
        <v>0</v>
      </c>
      <c r="J682" s="94"/>
      <c r="K682" s="93">
        <f>'II_Inkunabeln+'!AW682</f>
        <v>0</v>
      </c>
      <c r="L682" s="93">
        <f>'II_Inkunabeln+'!AX682</f>
        <v>0</v>
      </c>
      <c r="AA682" s="93">
        <f>'II_Inkunabeln+'!AY682</f>
        <v>0</v>
      </c>
      <c r="AB682" s="94">
        <f>'II_Inkunabeln+'!BA682</f>
        <v>0</v>
      </c>
      <c r="AC682" s="108"/>
      <c r="AD682" s="81">
        <f>'II_Inkunabeln+'!BJ682</f>
        <v>0</v>
      </c>
    </row>
    <row r="683" spans="1:30" x14ac:dyDescent="0.25">
      <c r="A683" s="63">
        <f>'II_Inkunabeln+'!A683</f>
        <v>658</v>
      </c>
      <c r="B683" s="63" t="str">
        <f>'II_Inkunabeln+'!B683</f>
        <v>L-1495-327679948</v>
      </c>
      <c r="C683" s="63">
        <f>'II_Inkunabeln+'!C683</f>
        <v>1072379988</v>
      </c>
      <c r="D683" s="84" t="str">
        <f>'II_Inkunabeln+'!D683</f>
        <v>https://portal.dnb.de/opac.htm?method=simpleSearch&amp;cqlMode=true&amp;query=idn%3D1072379988</v>
      </c>
      <c r="E683" s="63" t="str">
        <f>[1]Tabelle1!A6</f>
        <v>II 82,36a</v>
      </c>
      <c r="F683" s="63" t="str">
        <f>'II_Inkunabeln+'!H683</f>
        <v>bis 35 cm</v>
      </c>
      <c r="G683" s="93" t="str">
        <f>'II_Inkunabeln+'!AG683</f>
        <v>Pa</v>
      </c>
      <c r="H683" s="93">
        <f>'II_Inkunabeln+'!AP683</f>
        <v>0</v>
      </c>
      <c r="I683" s="93">
        <f>'II_Inkunabeln+'!AQ683</f>
        <v>0</v>
      </c>
      <c r="J683" s="94"/>
      <c r="K683" s="93">
        <f>'II_Inkunabeln+'!AW683</f>
        <v>0</v>
      </c>
      <c r="L683" s="93">
        <f>'II_Inkunabeln+'!AX683</f>
        <v>0</v>
      </c>
      <c r="AA683" s="93">
        <f>'II_Inkunabeln+'!AY683</f>
        <v>0</v>
      </c>
      <c r="AB683" s="94" t="str">
        <f>'II_Inkunabeln+'!BA683</f>
        <v>n</v>
      </c>
      <c r="AC683" s="108"/>
      <c r="AD683" s="81" t="str">
        <f>'II_Inkunabeln+'!BJ683</f>
        <v>Erfurter Einband, leider überarbeitet</v>
      </c>
    </row>
    <row r="684" spans="1:30" x14ac:dyDescent="0.25">
      <c r="A684" s="63">
        <f>'II_Inkunabeln+'!A684</f>
        <v>659</v>
      </c>
      <c r="B684" s="63" t="str">
        <f>'II_Inkunabeln+'!B684</f>
        <v>L-1496-315501375</v>
      </c>
      <c r="C684" s="63">
        <f>'II_Inkunabeln+'!C684</f>
        <v>1066971013</v>
      </c>
      <c r="D684" s="84" t="str">
        <f>'II_Inkunabeln+'!D684</f>
        <v>https://portal.dnb.de/opac.htm?method=simpleSearch&amp;cqlMode=true&amp;query=idn%3D1066971013</v>
      </c>
      <c r="E684" s="63" t="str">
        <f>'II_Inkunabeln+'!E684</f>
        <v>II 82,36a [angebunden]</v>
      </c>
      <c r="F684" s="63">
        <f>'II_Inkunabeln+'!H684</f>
        <v>0</v>
      </c>
      <c r="G684" s="93">
        <f>'II_Inkunabeln+'!AG684</f>
        <v>0</v>
      </c>
      <c r="H684" s="93">
        <f>'II_Inkunabeln+'!AP684</f>
        <v>0</v>
      </c>
      <c r="I684" s="93">
        <f>'II_Inkunabeln+'!AQ684</f>
        <v>0</v>
      </c>
      <c r="J684" s="94"/>
      <c r="K684" s="93">
        <f>'II_Inkunabeln+'!AW684</f>
        <v>0</v>
      </c>
      <c r="L684" s="93">
        <f>'II_Inkunabeln+'!AX684</f>
        <v>0</v>
      </c>
      <c r="AA684" s="93">
        <f>'II_Inkunabeln+'!AY684</f>
        <v>0</v>
      </c>
      <c r="AB684" s="94">
        <f>'II_Inkunabeln+'!BA684</f>
        <v>0</v>
      </c>
      <c r="AC684" s="108"/>
      <c r="AD684" s="81">
        <f>'II_Inkunabeln+'!BJ684</f>
        <v>0</v>
      </c>
    </row>
    <row r="685" spans="1:30" ht="34.5" x14ac:dyDescent="0.25">
      <c r="A685" s="63">
        <f>'II_Inkunabeln+'!A685</f>
        <v>660</v>
      </c>
      <c r="B685" s="63" t="str">
        <f>'II_Inkunabeln+'!B685</f>
        <v>L-1496-315497521</v>
      </c>
      <c r="C685" s="63">
        <f>'II_Inkunabeln+'!C685</f>
        <v>1066967261</v>
      </c>
      <c r="D685" s="84" t="str">
        <f>'II_Inkunabeln+'!D685</f>
        <v>https://portal.dnb.de/opac.htm?method=simpleSearch&amp;cqlMode=true&amp;query=idn%3D1066967261</v>
      </c>
      <c r="E685" s="63" t="str">
        <f>'II_Inkunabeln+'!E685</f>
        <v>II 82,36b</v>
      </c>
      <c r="F685" s="63" t="str">
        <f>'II_Inkunabeln+'!H685</f>
        <v>bis 25 cm</v>
      </c>
      <c r="G685" s="93" t="str">
        <f>'II_Inkunabeln+'!AG685</f>
        <v>Pa</v>
      </c>
      <c r="H685" s="93">
        <f>'II_Inkunabeln+'!AP685</f>
        <v>0</v>
      </c>
      <c r="I685" s="93">
        <f>'II_Inkunabeln+'!AQ685</f>
        <v>0</v>
      </c>
      <c r="J685" s="94"/>
      <c r="K685" s="93">
        <f>'II_Inkunabeln+'!AW685</f>
        <v>0</v>
      </c>
      <c r="L685" s="93">
        <f>'II_Inkunabeln+'!AX685</f>
        <v>0</v>
      </c>
      <c r="AA685" s="93">
        <f>'II_Inkunabeln+'!AY685</f>
        <v>0</v>
      </c>
      <c r="AB685" s="94" t="str">
        <f>'II_Inkunabeln+'!BA685</f>
        <v>n</v>
      </c>
      <c r="AC685" s="108"/>
      <c r="AD685" s="81" t="str">
        <f>'II_Inkunabeln+'!BJ685</f>
        <v>beiliegende Makulatur/Einbandreste besser versorgen, Gefahr des Verlorengehens</v>
      </c>
    </row>
    <row r="686" spans="1:30" x14ac:dyDescent="0.25">
      <c r="A686" s="63">
        <f>'II_Inkunabeln+'!A686</f>
        <v>661</v>
      </c>
      <c r="B686" s="63" t="str">
        <f>'II_Inkunabeln+'!B686</f>
        <v>L-1499-327680911</v>
      </c>
      <c r="C686" s="63">
        <f>'II_Inkunabeln+'!C686</f>
        <v>1072381877</v>
      </c>
      <c r="D686" s="84" t="str">
        <f>'II_Inkunabeln+'!D686</f>
        <v>https://portal.dnb.de/opac.htm?method=simpleSearch&amp;cqlMode=true&amp;query=idn%3D1072381877</v>
      </c>
      <c r="E686" s="63" t="str">
        <f>'II_Inkunabeln+'!E686</f>
        <v>II 82,36c</v>
      </c>
      <c r="F686" s="63" t="str">
        <f>'II_Inkunabeln+'!H686</f>
        <v>bis 35 cm</v>
      </c>
      <c r="G686" s="93" t="str">
        <f>'II_Inkunabeln+'!AG686</f>
        <v>Pa</v>
      </c>
      <c r="H686" s="93">
        <f>'II_Inkunabeln+'!AP686</f>
        <v>0</v>
      </c>
      <c r="I686" s="93">
        <f>'II_Inkunabeln+'!AQ686</f>
        <v>0</v>
      </c>
      <c r="J686" s="94"/>
      <c r="K686" s="93">
        <f>'II_Inkunabeln+'!AW686</f>
        <v>0</v>
      </c>
      <c r="L686" s="93">
        <f>'II_Inkunabeln+'!AX686</f>
        <v>0</v>
      </c>
      <c r="AA686" s="93">
        <f>'II_Inkunabeln+'!AY686</f>
        <v>0</v>
      </c>
      <c r="AB686" s="94" t="str">
        <f>'II_Inkunabeln+'!BA686</f>
        <v>n</v>
      </c>
      <c r="AC686" s="108"/>
      <c r="AD686" s="81">
        <f>'II_Inkunabeln+'!BJ686</f>
        <v>0</v>
      </c>
    </row>
    <row r="687" spans="1:30" x14ac:dyDescent="0.25">
      <c r="A687" s="63">
        <f>'II_Inkunabeln+'!A687</f>
        <v>662</v>
      </c>
      <c r="B687" s="63" t="str">
        <f>'II_Inkunabeln+'!B687</f>
        <v>L-1497-31549798X</v>
      </c>
      <c r="C687" s="63">
        <f>'II_Inkunabeln+'!C687</f>
        <v>1066967725</v>
      </c>
      <c r="D687" s="84" t="str">
        <f>'II_Inkunabeln+'!D687</f>
        <v>https://portal.dnb.de/opac.htm?method=simpleSearch&amp;cqlMode=true&amp;query=idn%3D1066967725</v>
      </c>
      <c r="E687" s="63" t="str">
        <f>'II_Inkunabeln+'!E687</f>
        <v>II 82,37b</v>
      </c>
      <c r="F687" s="63" t="str">
        <f>'II_Inkunabeln+'!H687</f>
        <v>bis 35 cm</v>
      </c>
      <c r="G687" s="93" t="str">
        <f>'II_Inkunabeln+'!AG687</f>
        <v>Pa</v>
      </c>
      <c r="H687" s="93">
        <f>'II_Inkunabeln+'!AP687</f>
        <v>0</v>
      </c>
      <c r="I687" s="93">
        <f>'II_Inkunabeln+'!AQ687</f>
        <v>0</v>
      </c>
      <c r="J687" s="94"/>
      <c r="K687" s="93">
        <f>'II_Inkunabeln+'!AW687</f>
        <v>0</v>
      </c>
      <c r="L687" s="93">
        <f>'II_Inkunabeln+'!AX687</f>
        <v>0</v>
      </c>
      <c r="AA687" s="93">
        <f>'II_Inkunabeln+'!AY687</f>
        <v>0</v>
      </c>
      <c r="AB687" s="94" t="str">
        <f>'II_Inkunabeln+'!BA687</f>
        <v>n</v>
      </c>
      <c r="AC687" s="108"/>
      <c r="AD687" s="81" t="str">
        <f>'II_Inkunabeln+'!BJ687</f>
        <v>Schaden ist stabil genug</v>
      </c>
    </row>
    <row r="688" spans="1:30" x14ac:dyDescent="0.25">
      <c r="A688" s="63">
        <f>'II_Inkunabeln+'!A688</f>
        <v>663</v>
      </c>
      <c r="B688" s="63" t="str">
        <f>'II_Inkunabeln+'!B688</f>
        <v>L-1498-315502495</v>
      </c>
      <c r="C688" s="63">
        <f>'II_Inkunabeln+'!C688</f>
        <v>1066972079</v>
      </c>
      <c r="D688" s="84" t="str">
        <f>'II_Inkunabeln+'!D688</f>
        <v>https://portal.dnb.de/opac.htm?method=simpleSearch&amp;cqlMode=true&amp;query=idn%3D1066972079</v>
      </c>
      <c r="E688" s="63" t="str">
        <f>'II_Inkunabeln+'!E688</f>
        <v>II 82,38a</v>
      </c>
      <c r="F688" s="63">
        <f>'II_Inkunabeln+'!H688</f>
        <v>0</v>
      </c>
      <c r="G688" s="93">
        <f>'II_Inkunabeln+'!AG688</f>
        <v>0</v>
      </c>
      <c r="H688" s="93">
        <f>'II_Inkunabeln+'!AP688</f>
        <v>0</v>
      </c>
      <c r="I688" s="93">
        <f>'II_Inkunabeln+'!AQ688</f>
        <v>0</v>
      </c>
      <c r="J688" s="94"/>
      <c r="K688" s="93">
        <f>'II_Inkunabeln+'!AW688</f>
        <v>0</v>
      </c>
      <c r="L688" s="93">
        <f>'II_Inkunabeln+'!AX688</f>
        <v>0</v>
      </c>
      <c r="AA688" s="93">
        <f>'II_Inkunabeln+'!AY688</f>
        <v>0</v>
      </c>
      <c r="AB688" s="94">
        <f>'II_Inkunabeln+'!BA688</f>
        <v>0</v>
      </c>
      <c r="AC688" s="108"/>
      <c r="AD688" s="81">
        <f>'II_Inkunabeln+'!BJ688</f>
        <v>0</v>
      </c>
    </row>
    <row r="689" spans="1:30" x14ac:dyDescent="0.25">
      <c r="A689" s="63">
        <f>'II_Inkunabeln+'!A689</f>
        <v>664</v>
      </c>
      <c r="B689" s="63" t="str">
        <f>'II_Inkunabeln+'!B689</f>
        <v>L-1497-315499680</v>
      </c>
      <c r="C689" s="63">
        <f>'II_Inkunabeln+'!C689</f>
        <v>1066969345</v>
      </c>
      <c r="D689" s="84" t="str">
        <f>'II_Inkunabeln+'!D689</f>
        <v>https://portal.dnb.de/opac.htm?method=simpleSearch&amp;cqlMode=true&amp;query=idn%3D1066969345</v>
      </c>
      <c r="E689" s="63" t="str">
        <f>'II_Inkunabeln+'!E689</f>
        <v>II 82,38b</v>
      </c>
      <c r="F689" s="63" t="str">
        <f>'II_Inkunabeln+'!H689</f>
        <v>bis 35 cm</v>
      </c>
      <c r="G689" s="93" t="str">
        <f>'II_Inkunabeln+'!AG689</f>
        <v>Pa</v>
      </c>
      <c r="H689" s="93">
        <f>'II_Inkunabeln+'!AP689</f>
        <v>0</v>
      </c>
      <c r="I689" s="93">
        <f>'II_Inkunabeln+'!AQ689</f>
        <v>0</v>
      </c>
      <c r="J689" s="94"/>
      <c r="K689" s="93">
        <f>'II_Inkunabeln+'!AW689</f>
        <v>0</v>
      </c>
      <c r="L689" s="93">
        <f>'II_Inkunabeln+'!AX689</f>
        <v>0</v>
      </c>
      <c r="AA689" s="93">
        <f>'II_Inkunabeln+'!AY689</f>
        <v>0</v>
      </c>
      <c r="AB689" s="94" t="str">
        <f>'II_Inkunabeln+'!BA689</f>
        <v>n</v>
      </c>
      <c r="AC689" s="108"/>
      <c r="AD689" s="81">
        <f>'II_Inkunabeln+'!BJ689</f>
        <v>0</v>
      </c>
    </row>
    <row r="690" spans="1:30" x14ac:dyDescent="0.25">
      <c r="A690" s="63">
        <f>'II_Inkunabeln+'!A690</f>
        <v>665</v>
      </c>
      <c r="B690" s="63" t="str">
        <f>'II_Inkunabeln+'!B690</f>
        <v>L-1497-315765119</v>
      </c>
      <c r="C690" s="63" t="str">
        <f>'II_Inkunabeln+'!C690</f>
        <v>106707564X</v>
      </c>
      <c r="D690" s="84" t="str">
        <f>'II_Inkunabeln+'!D690</f>
        <v>https://portal.dnb.de/opac.htm?method=simpleSearch&amp;cqlMode=true&amp;query=idn%3D106707564X</v>
      </c>
      <c r="E690" s="63" t="str">
        <f>'II_Inkunabeln+'!E690</f>
        <v>II 82,39a</v>
      </c>
      <c r="F690" s="63" t="str">
        <f>'II_Inkunabeln+'!H690</f>
        <v>bis 35 cm</v>
      </c>
      <c r="G690" s="93" t="str">
        <f>'II_Inkunabeln+'!AG690</f>
        <v>Pa</v>
      </c>
      <c r="H690" s="93">
        <f>'II_Inkunabeln+'!AP690</f>
        <v>0</v>
      </c>
      <c r="I690" s="93">
        <f>'II_Inkunabeln+'!AQ690</f>
        <v>0</v>
      </c>
      <c r="J690" s="94"/>
      <c r="K690" s="93">
        <f>'II_Inkunabeln+'!AW690</f>
        <v>0</v>
      </c>
      <c r="L690" s="93">
        <f>'II_Inkunabeln+'!AX690</f>
        <v>0</v>
      </c>
      <c r="AA690" s="93">
        <f>'II_Inkunabeln+'!AY690</f>
        <v>0</v>
      </c>
      <c r="AB690" s="94" t="str">
        <f>'II_Inkunabeln+'!BA690</f>
        <v>n</v>
      </c>
      <c r="AC690" s="108"/>
      <c r="AD690" s="81">
        <f>'II_Inkunabeln+'!BJ690</f>
        <v>0</v>
      </c>
    </row>
    <row r="691" spans="1:30" x14ac:dyDescent="0.25">
      <c r="A691" s="63">
        <f>'II_Inkunabeln+'!A691</f>
        <v>666</v>
      </c>
      <c r="B691" s="63" t="str">
        <f>'II_Inkunabeln+'!B691</f>
        <v>L-1500-327681209</v>
      </c>
      <c r="C691" s="63">
        <f>'II_Inkunabeln+'!C691</f>
        <v>1072382318</v>
      </c>
      <c r="D691" s="84" t="str">
        <f>'II_Inkunabeln+'!D691</f>
        <v>https://portal.dnb.de/opac.htm?method=simpleSearch&amp;cqlMode=true&amp;query=idn%3D1072382318</v>
      </c>
      <c r="E691" s="63" t="str">
        <f>'II_Inkunabeln+'!E691</f>
        <v>II 82,39b</v>
      </c>
      <c r="F691" s="63">
        <f>'II_Inkunabeln+'!H691</f>
        <v>0</v>
      </c>
      <c r="G691" s="93">
        <f>'II_Inkunabeln+'!AG691</f>
        <v>0</v>
      </c>
      <c r="H691" s="93">
        <f>'II_Inkunabeln+'!AP691</f>
        <v>0</v>
      </c>
      <c r="I691" s="93">
        <f>'II_Inkunabeln+'!AQ691</f>
        <v>0</v>
      </c>
      <c r="J691" s="94"/>
      <c r="K691" s="93">
        <f>'II_Inkunabeln+'!AW691</f>
        <v>0</v>
      </c>
      <c r="L691" s="93">
        <f>'II_Inkunabeln+'!AX691</f>
        <v>0</v>
      </c>
      <c r="AA691" s="93">
        <f>'II_Inkunabeln+'!AY691</f>
        <v>0</v>
      </c>
      <c r="AB691" s="94">
        <f>'II_Inkunabeln+'!BA691</f>
        <v>0</v>
      </c>
      <c r="AC691" s="108"/>
      <c r="AD691" s="81">
        <f>'II_Inkunabeln+'!BJ691</f>
        <v>0</v>
      </c>
    </row>
    <row r="692" spans="1:30" x14ac:dyDescent="0.25">
      <c r="A692" s="63">
        <f>'II_Inkunabeln+'!A692</f>
        <v>667</v>
      </c>
      <c r="B692" s="63" t="str">
        <f>'II_Inkunabeln+'!B692</f>
        <v>L-1499-315496290</v>
      </c>
      <c r="C692" s="63">
        <f>'II_Inkunabeln+'!C692</f>
        <v>1066965994</v>
      </c>
      <c r="D692" s="84" t="str">
        <f>'II_Inkunabeln+'!D692</f>
        <v>https://portal.dnb.de/opac.htm?method=simpleSearch&amp;cqlMode=true&amp;query=idn%3D1066965994</v>
      </c>
      <c r="E692" s="63" t="str">
        <f>'II_Inkunabeln+'!E692</f>
        <v>II 82,40a</v>
      </c>
      <c r="F692" s="63" t="str">
        <f>'II_Inkunabeln+'!H692</f>
        <v>bis 25 cm</v>
      </c>
      <c r="G692" s="93" t="str">
        <f>'II_Inkunabeln+'!AG692</f>
        <v>Pa</v>
      </c>
      <c r="H692" s="93">
        <f>'II_Inkunabeln+'!AP692</f>
        <v>0</v>
      </c>
      <c r="I692" s="93" t="str">
        <f>'II_Inkunabeln+'!AQ692</f>
        <v>I/R</v>
      </c>
      <c r="J692" s="94"/>
      <c r="K692" s="93">
        <f>'II_Inkunabeln+'!AW692</f>
        <v>0</v>
      </c>
      <c r="L692" s="93">
        <f>'II_Inkunabeln+'!AX692</f>
        <v>0</v>
      </c>
      <c r="AA692" s="93">
        <f>'II_Inkunabeln+'!AY692</f>
        <v>0</v>
      </c>
      <c r="AB692" s="94" t="str">
        <f>'II_Inkunabeln+'!BA692</f>
        <v>n</v>
      </c>
      <c r="AC692" s="108"/>
      <c r="AD692" s="81">
        <f>'II_Inkunabeln+'!BJ692</f>
        <v>0</v>
      </c>
    </row>
    <row r="693" spans="1:30" x14ac:dyDescent="0.25">
      <c r="A693" s="63">
        <f>'II_Inkunabeln+'!A693</f>
        <v>668</v>
      </c>
      <c r="B693" s="63" t="str">
        <f>'II_Inkunabeln+'!B693</f>
        <v>L-1500-315498412</v>
      </c>
      <c r="C693" s="63">
        <f>'II_Inkunabeln+'!C693</f>
        <v>1066968144</v>
      </c>
      <c r="D693" s="84" t="str">
        <f>'II_Inkunabeln+'!D693</f>
        <v>https://portal.dnb.de/opac.htm?method=simpleSearch&amp;cqlMode=true&amp;query=idn%3D1066968144</v>
      </c>
      <c r="E693" s="63" t="str">
        <f>'II_Inkunabeln+'!E693</f>
        <v>II 82,41a</v>
      </c>
      <c r="F693" s="63" t="str">
        <f>'II_Inkunabeln+'!H693</f>
        <v>bis 25 cm</v>
      </c>
      <c r="G693" s="93" t="str">
        <f>'II_Inkunabeln+'!AG693</f>
        <v>Pa</v>
      </c>
      <c r="H693" s="93">
        <f>'II_Inkunabeln+'!AP693</f>
        <v>0</v>
      </c>
      <c r="I693" s="93" t="str">
        <f>'II_Inkunabeln+'!AQ693</f>
        <v>I</v>
      </c>
      <c r="J693" s="94"/>
      <c r="K693" s="93">
        <f>'II_Inkunabeln+'!AW693</f>
        <v>0</v>
      </c>
      <c r="L693" s="93">
        <f>'II_Inkunabeln+'!AX693</f>
        <v>0</v>
      </c>
      <c r="AA693" s="93">
        <f>'II_Inkunabeln+'!AY693</f>
        <v>0</v>
      </c>
      <c r="AB693" s="94" t="str">
        <f>'II_Inkunabeln+'!BA693</f>
        <v>n</v>
      </c>
      <c r="AC693" s="108"/>
      <c r="AD693" s="81">
        <f>'II_Inkunabeln+'!BJ693</f>
        <v>0</v>
      </c>
    </row>
    <row r="694" spans="1:30" ht="23" x14ac:dyDescent="0.25">
      <c r="A694" s="63">
        <f>'II_Inkunabeln+'!A694</f>
        <v>669</v>
      </c>
      <c r="B694" s="63" t="str">
        <f>'II_Inkunabeln+'!B694</f>
        <v>L-1491-327019425</v>
      </c>
      <c r="C694" s="63">
        <f>'II_Inkunabeln+'!C694</f>
        <v>1072187108</v>
      </c>
      <c r="D694" s="84" t="str">
        <f>'II_Inkunabeln+'!D694</f>
        <v>https://portal.dnb.de/opac.htm?method=simpleSearch&amp;cqlMode=true&amp;query=idn%3D1072187108</v>
      </c>
      <c r="E694" s="63" t="str">
        <f>'II_Inkunabeln+'!E694</f>
        <v>II 82,42a</v>
      </c>
      <c r="F694" s="63" t="str">
        <f>'II_Inkunabeln+'!H694</f>
        <v>bis 35 cm</v>
      </c>
      <c r="G694" s="93" t="str">
        <f>'II_Inkunabeln+'!AG694</f>
        <v>Pa</v>
      </c>
      <c r="H694" s="93">
        <f>'II_Inkunabeln+'!AP694</f>
        <v>0</v>
      </c>
      <c r="I694" s="93">
        <f>'II_Inkunabeln+'!AQ694</f>
        <v>0</v>
      </c>
      <c r="J694" s="94"/>
      <c r="K694" s="93">
        <f>'II_Inkunabeln+'!AW694</f>
        <v>0</v>
      </c>
      <c r="L694" s="93">
        <f>'II_Inkunabeln+'!AX694</f>
        <v>0</v>
      </c>
      <c r="AA694" s="93">
        <f>'II_Inkunabeln+'!AY694</f>
        <v>0</v>
      </c>
      <c r="AB694" s="94" t="str">
        <f>'II_Inkunabeln+'!BA694</f>
        <v>n</v>
      </c>
      <c r="AC694" s="108"/>
      <c r="AD694" s="81" t="str">
        <f>'II_Inkunabeln+'!BJ694</f>
        <v>Einbandfragment in Wellpappbox daneben</v>
      </c>
    </row>
    <row r="695" spans="1:30" x14ac:dyDescent="0.25">
      <c r="A695" s="63">
        <f>'II_Inkunabeln+'!A695</f>
        <v>670</v>
      </c>
      <c r="B695" s="63" t="str">
        <f>'II_Inkunabeln+'!B695</f>
        <v>L-1493-32702013X</v>
      </c>
      <c r="C695" s="63">
        <f>'II_Inkunabeln+'!C695</f>
        <v>1072187906</v>
      </c>
      <c r="D695" s="84" t="str">
        <f>'II_Inkunabeln+'!D695</f>
        <v>https://portal.dnb.de/opac.htm?method=simpleSearch&amp;cqlMode=true&amp;query=idn%3D1072187906</v>
      </c>
      <c r="E695" s="63" t="str">
        <f>'II_Inkunabeln+'!E695</f>
        <v>II 82,42a [angebunden]</v>
      </c>
      <c r="F695" s="63">
        <f>'II_Inkunabeln+'!H695</f>
        <v>0</v>
      </c>
      <c r="G695" s="93">
        <f>'II_Inkunabeln+'!AG695</f>
        <v>0</v>
      </c>
      <c r="H695" s="93">
        <f>'II_Inkunabeln+'!AP695</f>
        <v>0</v>
      </c>
      <c r="I695" s="93">
        <f>'II_Inkunabeln+'!AQ695</f>
        <v>0</v>
      </c>
      <c r="J695" s="94"/>
      <c r="K695" s="93">
        <f>'II_Inkunabeln+'!AW695</f>
        <v>0</v>
      </c>
      <c r="L695" s="93">
        <f>'II_Inkunabeln+'!AX695</f>
        <v>0</v>
      </c>
      <c r="AA695" s="93">
        <f>'II_Inkunabeln+'!AY695</f>
        <v>0</v>
      </c>
      <c r="AB695" s="94">
        <f>'II_Inkunabeln+'!BA695</f>
        <v>0</v>
      </c>
      <c r="AC695" s="108"/>
      <c r="AD695" s="81">
        <f>'II_Inkunabeln+'!BJ695</f>
        <v>0</v>
      </c>
    </row>
    <row r="696" spans="1:30" x14ac:dyDescent="0.25">
      <c r="A696" s="63">
        <f>'II_Inkunabeln+'!A696</f>
        <v>671</v>
      </c>
      <c r="B696" s="63" t="str">
        <f>'II_Inkunabeln+'!B696</f>
        <v>L-1485-31550093X</v>
      </c>
      <c r="C696" s="63">
        <f>'II_Inkunabeln+'!C696</f>
        <v>1066970572</v>
      </c>
      <c r="D696" s="84" t="str">
        <f>'II_Inkunabeln+'!D696</f>
        <v>https://portal.dnb.de/opac.htm?method=simpleSearch&amp;cqlMode=true&amp;query=idn%3D1066970572</v>
      </c>
      <c r="E696" s="63" t="str">
        <f>'II_Inkunabeln+'!E696</f>
        <v>II 82,43a</v>
      </c>
      <c r="F696" s="63" t="str">
        <f>'II_Inkunabeln+'!H696</f>
        <v>bis 35 cm</v>
      </c>
      <c r="G696" s="93" t="str">
        <f>'II_Inkunabeln+'!AG696</f>
        <v>Pa</v>
      </c>
      <c r="H696" s="93">
        <f>'II_Inkunabeln+'!AP696</f>
        <v>0</v>
      </c>
      <c r="I696" s="93">
        <f>'II_Inkunabeln+'!AQ696</f>
        <v>0</v>
      </c>
      <c r="J696" s="94"/>
      <c r="K696" s="93">
        <f>'II_Inkunabeln+'!AW696</f>
        <v>0</v>
      </c>
      <c r="L696" s="93">
        <f>'II_Inkunabeln+'!AX696</f>
        <v>0</v>
      </c>
      <c r="AA696" s="93">
        <f>'II_Inkunabeln+'!AY696</f>
        <v>0</v>
      </c>
      <c r="AB696" s="94" t="str">
        <f>'II_Inkunabeln+'!BA696</f>
        <v>ja vor</v>
      </c>
      <c r="AC696" s="108"/>
      <c r="AD696" s="81">
        <f>'II_Inkunabeln+'!BJ696</f>
        <v>0</v>
      </c>
    </row>
    <row r="697" spans="1:30" x14ac:dyDescent="0.25">
      <c r="A697" s="63">
        <f>'II_Inkunabeln+'!A697</f>
        <v>672</v>
      </c>
      <c r="B697" s="63" t="str">
        <f>'II_Inkunabeln+'!B697</f>
        <v>L-1480-315501421</v>
      </c>
      <c r="C697" s="63">
        <f>'II_Inkunabeln+'!C697</f>
        <v>1066971064</v>
      </c>
      <c r="D697" s="84" t="str">
        <f>'II_Inkunabeln+'!D697</f>
        <v>https://portal.dnb.de/opac.htm?method=simpleSearch&amp;cqlMode=true&amp;query=idn%3D1066971064</v>
      </c>
      <c r="E697" s="63" t="str">
        <f>'II_Inkunabeln+'!E697</f>
        <v>II 82,44</v>
      </c>
      <c r="F697" s="63">
        <f>'II_Inkunabeln+'!H697</f>
        <v>0</v>
      </c>
      <c r="G697" s="93">
        <f>'II_Inkunabeln+'!AG697</f>
        <v>0</v>
      </c>
      <c r="H697" s="93">
        <f>'II_Inkunabeln+'!AP697</f>
        <v>0</v>
      </c>
      <c r="I697" s="93">
        <f>'II_Inkunabeln+'!AQ697</f>
        <v>0</v>
      </c>
      <c r="J697" s="94"/>
      <c r="K697" s="93">
        <f>'II_Inkunabeln+'!AW697</f>
        <v>0</v>
      </c>
      <c r="L697" s="93">
        <f>'II_Inkunabeln+'!AX697</f>
        <v>0</v>
      </c>
      <c r="AA697" s="93">
        <f>'II_Inkunabeln+'!AY697</f>
        <v>0</v>
      </c>
      <c r="AB697" s="94">
        <f>'II_Inkunabeln+'!BA697</f>
        <v>0</v>
      </c>
      <c r="AC697" s="108"/>
      <c r="AD697" s="81">
        <f>'II_Inkunabeln+'!BJ697</f>
        <v>0</v>
      </c>
    </row>
    <row r="698" spans="1:30" x14ac:dyDescent="0.25">
      <c r="A698" s="63">
        <f>'II_Inkunabeln+'!A698</f>
        <v>673</v>
      </c>
      <c r="B698" s="63" t="str">
        <f>'II_Inkunabeln+'!B698</f>
        <v>L-1480-315500697</v>
      </c>
      <c r="C698" s="63">
        <f>'II_Inkunabeln+'!C698</f>
        <v>1066970343</v>
      </c>
      <c r="D698" s="84" t="str">
        <f>'II_Inkunabeln+'!D698</f>
        <v>https://portal.dnb.de/opac.htm?method=simpleSearch&amp;cqlMode=true&amp;query=idn%3D1066970343</v>
      </c>
      <c r="E698" s="63" t="str">
        <f>'II_Inkunabeln+'!E698</f>
        <v>II 83,1a</v>
      </c>
      <c r="F698" s="63" t="str">
        <f>'II_Inkunabeln+'!H698</f>
        <v>bis 35 cm</v>
      </c>
      <c r="G698" s="93" t="str">
        <f>'II_Inkunabeln+'!AG698</f>
        <v>Pa</v>
      </c>
      <c r="H698" s="93">
        <f>'II_Inkunabeln+'!AP698</f>
        <v>0</v>
      </c>
      <c r="I698" s="93">
        <f>'II_Inkunabeln+'!AQ698</f>
        <v>0</v>
      </c>
      <c r="J698" s="94"/>
      <c r="K698" s="93">
        <f>'II_Inkunabeln+'!AW698</f>
        <v>0</v>
      </c>
      <c r="L698" s="93">
        <f>'II_Inkunabeln+'!AX698</f>
        <v>0</v>
      </c>
      <c r="AA698" s="93">
        <f>'II_Inkunabeln+'!AY698</f>
        <v>0</v>
      </c>
      <c r="AB698" s="94" t="str">
        <f>'II_Inkunabeln+'!BA698</f>
        <v>n</v>
      </c>
      <c r="AC698" s="108"/>
      <c r="AD698" s="81">
        <f>'II_Inkunabeln+'!BJ698</f>
        <v>0</v>
      </c>
    </row>
    <row r="699" spans="1:30" x14ac:dyDescent="0.25">
      <c r="A699" s="63">
        <f>'II_Inkunabeln+'!A699</f>
        <v>674</v>
      </c>
      <c r="B699" s="63" t="str">
        <f>'II_Inkunabeln+'!B699</f>
        <v>L-1480-315500689</v>
      </c>
      <c r="C699" s="63">
        <f>'II_Inkunabeln+'!C699</f>
        <v>1066970343</v>
      </c>
      <c r="D699" s="84" t="str">
        <f>'II_Inkunabeln+'!D699</f>
        <v>https://portal.dnb.de/opac.htm?method=simpleSearch&amp;cqlMode=true&amp;query=idn%3D1066970343</v>
      </c>
      <c r="E699" s="63" t="str">
        <f>'II_Inkunabeln+'!E699</f>
        <v>II 83,1b</v>
      </c>
      <c r="F699" s="63" t="str">
        <f>'II_Inkunabeln+'!H699</f>
        <v>bis 35 cm</v>
      </c>
      <c r="G699" s="93" t="str">
        <f>'II_Inkunabeln+'!AG699</f>
        <v>Pa</v>
      </c>
      <c r="H699" s="93">
        <f>'II_Inkunabeln+'!AP699</f>
        <v>0</v>
      </c>
      <c r="I699" s="93">
        <f>'II_Inkunabeln+'!AQ699</f>
        <v>0</v>
      </c>
      <c r="J699" s="94"/>
      <c r="K699" s="93">
        <f>'II_Inkunabeln+'!AW699</f>
        <v>0</v>
      </c>
      <c r="L699" s="93">
        <f>'II_Inkunabeln+'!AX699</f>
        <v>0</v>
      </c>
      <c r="AA699" s="93" t="str">
        <f>'II_Inkunabeln+'!AY699</f>
        <v>x</v>
      </c>
      <c r="AB699" s="94" t="str">
        <f>'II_Inkunabeln+'!BA699</f>
        <v>n</v>
      </c>
      <c r="AC699" s="108"/>
      <c r="AD699" s="81">
        <f>'II_Inkunabeln+'!BJ699</f>
        <v>0</v>
      </c>
    </row>
    <row r="700" spans="1:30" x14ac:dyDescent="0.25">
      <c r="A700" s="63">
        <f>'II_Inkunabeln+'!A700</f>
        <v>675</v>
      </c>
      <c r="B700" s="63" t="str">
        <f>'II_Inkunabeln+'!B700</f>
        <v>L-1481-315497092</v>
      </c>
      <c r="C700" s="63">
        <f>'II_Inkunabeln+'!C700</f>
        <v>1066966796</v>
      </c>
      <c r="D700" s="84" t="str">
        <f>'II_Inkunabeln+'!D700</f>
        <v>https://portal.dnb.de/opac.htm?method=simpleSearch&amp;cqlMode=true&amp;query=idn%3D1066966796</v>
      </c>
      <c r="E700" s="63" t="s">
        <v>1981</v>
      </c>
      <c r="F700" s="63" t="str">
        <f>'II_Inkunabeln+'!H700</f>
        <v>bis 35 cm</v>
      </c>
      <c r="G700" s="93" t="str">
        <f>'II_Inkunabeln+'!AG700</f>
        <v>Pa</v>
      </c>
      <c r="H700" s="93">
        <f>'II_Inkunabeln+'!AP700</f>
        <v>0</v>
      </c>
      <c r="I700" s="93">
        <f>'II_Inkunabeln+'!AQ700</f>
        <v>0</v>
      </c>
      <c r="J700" s="94"/>
      <c r="K700" s="93">
        <f>'II_Inkunabeln+'!AW700</f>
        <v>0</v>
      </c>
      <c r="L700" s="93">
        <f>'II_Inkunabeln+'!AX700</f>
        <v>0</v>
      </c>
      <c r="AA700" s="93">
        <f>'II_Inkunabeln+'!AY700</f>
        <v>0</v>
      </c>
      <c r="AB700" s="94" t="str">
        <f>'II_Inkunabeln+'!BA700</f>
        <v>n</v>
      </c>
      <c r="AC700" s="108"/>
      <c r="AD700" s="81" t="str">
        <f>'II_Inkunabeln+'!BJ700</f>
        <v>Schuber defekt</v>
      </c>
    </row>
    <row r="701" spans="1:30" x14ac:dyDescent="0.25">
      <c r="A701" s="63">
        <f>'II_Inkunabeln+'!A701</f>
        <v>0</v>
      </c>
      <c r="B701" s="63">
        <f>'II_Inkunabeln+'!B701</f>
        <v>0</v>
      </c>
      <c r="C701" s="63">
        <f>'II_Inkunabeln+'!C701</f>
        <v>0</v>
      </c>
      <c r="D701" s="84">
        <f>'II_Inkunabeln+'!D701</f>
        <v>0</v>
      </c>
      <c r="E701" s="63" t="s">
        <v>1982</v>
      </c>
      <c r="F701" s="63" t="str">
        <f>'II_Inkunabeln+'!H701</f>
        <v>bis 35 cm</v>
      </c>
      <c r="G701" s="93" t="str">
        <f>'II_Inkunabeln+'!AG701</f>
        <v>Pa</v>
      </c>
      <c r="H701" s="93">
        <f>'II_Inkunabeln+'!AP701</f>
        <v>0</v>
      </c>
      <c r="I701" s="93">
        <f>'II_Inkunabeln+'!AQ701</f>
        <v>0</v>
      </c>
      <c r="J701" s="94"/>
      <c r="K701" s="93">
        <f>'II_Inkunabeln+'!AW701</f>
        <v>0</v>
      </c>
      <c r="L701" s="93">
        <f>'II_Inkunabeln+'!AX701</f>
        <v>0</v>
      </c>
      <c r="AA701" s="93">
        <f>'II_Inkunabeln+'!AY701</f>
        <v>0</v>
      </c>
      <c r="AB701" s="94" t="str">
        <f>'II_Inkunabeln+'!BA701</f>
        <v>n</v>
      </c>
      <c r="AC701" s="108"/>
      <c r="AD701" s="81">
        <f>'II_Inkunabeln+'!BJ701</f>
        <v>0</v>
      </c>
    </row>
    <row r="702" spans="1:30" x14ac:dyDescent="0.25">
      <c r="A702" s="63">
        <f>'II_Inkunabeln+'!A702</f>
        <v>676</v>
      </c>
      <c r="B702" s="63" t="str">
        <f>'II_Inkunabeln+'!B702</f>
        <v>L-1477-315495677</v>
      </c>
      <c r="C702" s="63">
        <f>'II_Inkunabeln+'!C702</f>
        <v>1066965439</v>
      </c>
      <c r="D702" s="84" t="str">
        <f>'II_Inkunabeln+'!D702</f>
        <v>https://portal.dnb.de/opac.htm?method=simpleSearch&amp;cqlMode=true&amp;query=idn%3D1066965439</v>
      </c>
      <c r="E702" s="63" t="str">
        <f>'II_Inkunabeln+'!E702</f>
        <v>II 84,1a</v>
      </c>
      <c r="F702" s="63" t="str">
        <f>'II_Inkunabeln+'!H702</f>
        <v>bis 35 cm</v>
      </c>
      <c r="G702" s="93" t="str">
        <f>'II_Inkunabeln+'!AG702</f>
        <v>Pa</v>
      </c>
      <c r="H702" s="93">
        <f>'II_Inkunabeln+'!AP702</f>
        <v>0</v>
      </c>
      <c r="I702" s="93" t="str">
        <f>'II_Inkunabeln+'!AQ702</f>
        <v>I</v>
      </c>
      <c r="J702" s="94"/>
      <c r="K702" s="93">
        <f>'II_Inkunabeln+'!AW702</f>
        <v>0</v>
      </c>
      <c r="L702" s="93">
        <f>'II_Inkunabeln+'!AX702</f>
        <v>0</v>
      </c>
      <c r="AA702" s="93">
        <f>'II_Inkunabeln+'!AY702</f>
        <v>0</v>
      </c>
      <c r="AB702" s="94" t="str">
        <f>'II_Inkunabeln+'!BA702</f>
        <v>n</v>
      </c>
      <c r="AC702" s="108"/>
      <c r="AD702" s="81">
        <f>'II_Inkunabeln+'!BJ702</f>
        <v>0</v>
      </c>
    </row>
    <row r="703" spans="1:30" x14ac:dyDescent="0.25">
      <c r="A703" s="63">
        <f>'II_Inkunabeln+'!A703</f>
        <v>677</v>
      </c>
      <c r="B703" s="63" t="str">
        <f>'II_Inkunabeln+'!B703</f>
        <v>L-1479-327681535</v>
      </c>
      <c r="C703" s="63">
        <f>'II_Inkunabeln+'!C703</f>
        <v>1072382814</v>
      </c>
      <c r="D703" s="84" t="str">
        <f>'II_Inkunabeln+'!D703</f>
        <v>https://portal.dnb.de/opac.htm?method=simpleSearch&amp;cqlMode=true&amp;query=idn%3D1072382814</v>
      </c>
      <c r="E703" s="63" t="str">
        <f>'II_Inkunabeln+'!E703</f>
        <v>II 84,1b</v>
      </c>
      <c r="F703" s="63" t="str">
        <f>'II_Inkunabeln+'!H703</f>
        <v>bis 35 cm</v>
      </c>
      <c r="G703" s="93" t="str">
        <f>'II_Inkunabeln+'!AG703</f>
        <v>Pa</v>
      </c>
      <c r="H703" s="93">
        <f>'II_Inkunabeln+'!AP703</f>
        <v>0</v>
      </c>
      <c r="I703" s="93">
        <f>'II_Inkunabeln+'!AQ703</f>
        <v>0</v>
      </c>
      <c r="J703" s="94"/>
      <c r="K703" s="93">
        <f>'II_Inkunabeln+'!AW703</f>
        <v>0</v>
      </c>
      <c r="L703" s="93">
        <f>'II_Inkunabeln+'!AX703</f>
        <v>0</v>
      </c>
      <c r="AA703" s="93">
        <f>'II_Inkunabeln+'!AY703</f>
        <v>0</v>
      </c>
      <c r="AB703" s="94" t="str">
        <f>'II_Inkunabeln+'!BA703</f>
        <v>n</v>
      </c>
      <c r="AC703" s="108"/>
      <c r="AD703" s="81">
        <f>'II_Inkunabeln+'!BJ703</f>
        <v>0</v>
      </c>
    </row>
    <row r="704" spans="1:30" x14ac:dyDescent="0.25">
      <c r="A704" s="63">
        <f>'II_Inkunabeln+'!A704</f>
        <v>678</v>
      </c>
      <c r="B704" s="63" t="str">
        <f>'II_Inkunabeln+'!B704</f>
        <v>L-1476-327020814</v>
      </c>
      <c r="C704" s="63" t="str">
        <f>'II_Inkunabeln+'!C704</f>
        <v>107218866X</v>
      </c>
      <c r="D704" s="84" t="str">
        <f>'II_Inkunabeln+'!D704</f>
        <v>https://portal.dnb.de/opac.htm?method=simpleSearch&amp;cqlMode=true&amp;query=idn%3D107218866X</v>
      </c>
      <c r="E704" s="63" t="str">
        <f>'II_Inkunabeln+'!E704</f>
        <v>II 84,2a</v>
      </c>
      <c r="F704" s="63" t="str">
        <f>'II_Inkunabeln+'!H704</f>
        <v>bis 25 cm</v>
      </c>
      <c r="G704" s="93" t="str">
        <f>'II_Inkunabeln+'!AG704</f>
        <v>Pa</v>
      </c>
      <c r="H704" s="93">
        <f>'II_Inkunabeln+'!AP704</f>
        <v>0</v>
      </c>
      <c r="I704" s="93">
        <f>'II_Inkunabeln+'!AQ704</f>
        <v>0</v>
      </c>
      <c r="J704" s="94"/>
      <c r="K704" s="93">
        <f>'II_Inkunabeln+'!AW704</f>
        <v>0</v>
      </c>
      <c r="L704" s="93">
        <f>'II_Inkunabeln+'!AX704</f>
        <v>0</v>
      </c>
      <c r="AA704" s="93">
        <f>'II_Inkunabeln+'!AY704</f>
        <v>0</v>
      </c>
      <c r="AB704" s="94" t="str">
        <f>'II_Inkunabeln+'!BA704</f>
        <v>n</v>
      </c>
      <c r="AC704" s="108"/>
      <c r="AD704" s="81">
        <f>'II_Inkunabeln+'!BJ704</f>
        <v>0</v>
      </c>
    </row>
    <row r="705" spans="1:30" x14ac:dyDescent="0.25">
      <c r="A705" s="63">
        <f>'II_Inkunabeln+'!A705</f>
        <v>679</v>
      </c>
      <c r="B705" s="63" t="str">
        <f>'II_Inkunabeln+'!B705</f>
        <v>L-1476-327155663</v>
      </c>
      <c r="C705" s="63">
        <f>'II_Inkunabeln+'!C705</f>
        <v>1072254964</v>
      </c>
      <c r="D705" s="84" t="str">
        <f>'II_Inkunabeln+'!D705</f>
        <v>https://portal.dnb.de/opac.htm?method=simpleSearch&amp;cqlMode=true&amp;query=idn%3D1072254964</v>
      </c>
      <c r="E705" s="63" t="str">
        <f>'II_Inkunabeln+'!E705</f>
        <v>II 84,2b</v>
      </c>
      <c r="F705" s="63" t="str">
        <f>'II_Inkunabeln+'!H705</f>
        <v>bis 35 cm</v>
      </c>
      <c r="G705" s="93" t="str">
        <f>'II_Inkunabeln+'!AG705</f>
        <v>Pa</v>
      </c>
      <c r="H705" s="93">
        <f>'II_Inkunabeln+'!AP705</f>
        <v>0</v>
      </c>
      <c r="I705" s="93">
        <f>'II_Inkunabeln+'!AQ705</f>
        <v>0</v>
      </c>
      <c r="J705" s="94"/>
      <c r="K705" s="93">
        <f>'II_Inkunabeln+'!AW705</f>
        <v>0</v>
      </c>
      <c r="L705" s="93">
        <f>'II_Inkunabeln+'!AX705</f>
        <v>0</v>
      </c>
      <c r="AA705" s="93">
        <f>'II_Inkunabeln+'!AY705</f>
        <v>0</v>
      </c>
      <c r="AB705" s="94" t="str">
        <f>'II_Inkunabeln+'!BA705</f>
        <v>ja vor</v>
      </c>
      <c r="AC705" s="108"/>
      <c r="AD705" s="81">
        <f>'II_Inkunabeln+'!BJ705</f>
        <v>0</v>
      </c>
    </row>
    <row r="706" spans="1:30" x14ac:dyDescent="0.25">
      <c r="A706" s="63">
        <f>'II_Inkunabeln+'!A706</f>
        <v>680</v>
      </c>
      <c r="B706" s="63" t="str">
        <f>'II_Inkunabeln+'!B706</f>
        <v>L-1475-327156120</v>
      </c>
      <c r="C706" s="63">
        <f>'II_Inkunabeln+'!C706</f>
        <v>1072255812</v>
      </c>
      <c r="D706" s="84" t="str">
        <f>'II_Inkunabeln+'!D706</f>
        <v>https://portal.dnb.de/opac.htm?method=simpleSearch&amp;cqlMode=true&amp;query=idn%3D1072255812</v>
      </c>
      <c r="E706" s="63" t="str">
        <f>'II_Inkunabeln+'!E706</f>
        <v>II 84,2c</v>
      </c>
      <c r="F706" s="63" t="str">
        <f>'II_Inkunabeln+'!H706</f>
        <v>bis 25 cm</v>
      </c>
      <c r="G706" s="93" t="str">
        <f>'II_Inkunabeln+'!AG706</f>
        <v>Pa</v>
      </c>
      <c r="H706" s="93">
        <f>'II_Inkunabeln+'!AP706</f>
        <v>0</v>
      </c>
      <c r="I706" s="93" t="str">
        <f>'II_Inkunabeln+'!AQ706</f>
        <v>I/R</v>
      </c>
      <c r="J706" s="94"/>
      <c r="K706" s="93">
        <f>'II_Inkunabeln+'!AW706</f>
        <v>0</v>
      </c>
      <c r="L706" s="93">
        <f>'II_Inkunabeln+'!AX706</f>
        <v>0</v>
      </c>
      <c r="AA706" s="93">
        <f>'II_Inkunabeln+'!AY706</f>
        <v>0</v>
      </c>
      <c r="AB706" s="94" t="str">
        <f>'II_Inkunabeln+'!BA706</f>
        <v>n</v>
      </c>
      <c r="AC706" s="108"/>
      <c r="AD706" s="81">
        <f>'II_Inkunabeln+'!BJ706</f>
        <v>0</v>
      </c>
    </row>
    <row r="707" spans="1:30" x14ac:dyDescent="0.25">
      <c r="A707" s="63">
        <f>'II_Inkunabeln+'!A707</f>
        <v>681</v>
      </c>
      <c r="B707" s="63" t="str">
        <f>'II_Inkunabeln+'!B707</f>
        <v>L-1479-327021136</v>
      </c>
      <c r="C707" s="63">
        <f>'II_Inkunabeln+'!C707</f>
        <v>1072189011</v>
      </c>
      <c r="D707" s="84" t="str">
        <f>'II_Inkunabeln+'!D707</f>
        <v>https://portal.dnb.de/opac.htm?method=simpleSearch&amp;cqlMode=true&amp;query=idn%3D1072189011</v>
      </c>
      <c r="E707" s="63" t="str">
        <f>'II_Inkunabeln+'!E707</f>
        <v>II 84,3a</v>
      </c>
      <c r="F707" s="63" t="str">
        <f>'II_Inkunabeln+'!H707</f>
        <v>bis 35 cm</v>
      </c>
      <c r="G707" s="93" t="str">
        <f>'II_Inkunabeln+'!AG707</f>
        <v>Pa</v>
      </c>
      <c r="H707" s="93">
        <f>'II_Inkunabeln+'!AP707</f>
        <v>0</v>
      </c>
      <c r="I707" s="93">
        <f>'II_Inkunabeln+'!AQ707</f>
        <v>0</v>
      </c>
      <c r="J707" s="94"/>
      <c r="K707" s="93">
        <f>'II_Inkunabeln+'!AW707</f>
        <v>0</v>
      </c>
      <c r="L707" s="93">
        <f>'II_Inkunabeln+'!AX707</f>
        <v>0</v>
      </c>
      <c r="AA707" s="93">
        <f>'II_Inkunabeln+'!AY707</f>
        <v>0</v>
      </c>
      <c r="AB707" s="94" t="str">
        <f>'II_Inkunabeln+'!BA707</f>
        <v>n</v>
      </c>
      <c r="AC707" s="108"/>
      <c r="AD707" s="81" t="str">
        <f>'II_Inkunabeln+'!BJ707</f>
        <v>Fragmente des Klemmeinbandes werden extra in Wellpappbox daneben aufbewahrt</v>
      </c>
    </row>
    <row r="708" spans="1:30" x14ac:dyDescent="0.25">
      <c r="A708" s="63">
        <f>'II_Inkunabeln+'!A708</f>
        <v>682</v>
      </c>
      <c r="B708" s="63" t="str">
        <f>'II_Inkunabeln+'!B708</f>
        <v>L-1488-315495707</v>
      </c>
      <c r="C708" s="63">
        <f>'II_Inkunabeln+'!C708</f>
        <v>1066965463</v>
      </c>
      <c r="D708" s="84" t="str">
        <f>'II_Inkunabeln+'!D708</f>
        <v>https://portal.dnb.de/opac.htm?method=simpleSearch&amp;cqlMode=true&amp;query=idn%3D1066965463</v>
      </c>
      <c r="E708" s="63" t="str">
        <f>'II_Inkunabeln+'!E708</f>
        <v>II 84,4a</v>
      </c>
      <c r="F708" s="63" t="str">
        <f>'II_Inkunabeln+'!H708</f>
        <v>bis 35 cm</v>
      </c>
      <c r="G708" s="93" t="str">
        <f>'II_Inkunabeln+'!AG708</f>
        <v>Pa</v>
      </c>
      <c r="H708" s="93">
        <f>'II_Inkunabeln+'!AP708</f>
        <v>0</v>
      </c>
      <c r="I708" s="93">
        <f>'II_Inkunabeln+'!AQ708</f>
        <v>0</v>
      </c>
      <c r="J708" s="94"/>
      <c r="K708" s="93">
        <f>'II_Inkunabeln+'!AW708</f>
        <v>0</v>
      </c>
      <c r="L708" s="93">
        <f>'II_Inkunabeln+'!AX708</f>
        <v>0</v>
      </c>
      <c r="AA708" s="93">
        <f>'II_Inkunabeln+'!AY708</f>
        <v>0</v>
      </c>
      <c r="AB708" s="94" t="str">
        <f>'II_Inkunabeln+'!BA708</f>
        <v>n</v>
      </c>
      <c r="AC708" s="108"/>
      <c r="AD708" s="81">
        <f>'II_Inkunabeln+'!BJ708</f>
        <v>0</v>
      </c>
    </row>
    <row r="709" spans="1:30" x14ac:dyDescent="0.25">
      <c r="A709" s="63">
        <f>'II_Inkunabeln+'!A709</f>
        <v>683</v>
      </c>
      <c r="B709" s="63" t="str">
        <f>'II_Inkunabeln+'!B709</f>
        <v>L-1478-327021756</v>
      </c>
      <c r="C709" s="63" t="str">
        <f>'II_Inkunabeln+'!C709</f>
        <v>107218981X</v>
      </c>
      <c r="D709" s="84" t="str">
        <f>'II_Inkunabeln+'!D709</f>
        <v>https://portal.dnb.de/opac.htm?method=simpleSearch&amp;cqlMode=true&amp;query=idn%3D107218981X</v>
      </c>
      <c r="E709" s="63" t="str">
        <f>'II_Inkunabeln+'!E709</f>
        <v>II 85,1a - Fragm.</v>
      </c>
      <c r="F709" s="63" t="str">
        <f>'II_Inkunabeln+'!H709</f>
        <v>bis 25 cm</v>
      </c>
      <c r="G709" s="93" t="str">
        <f>'II_Inkunabeln+'!AG709</f>
        <v>Pa</v>
      </c>
      <c r="H709" s="93">
        <f>'II_Inkunabeln+'!AP709</f>
        <v>0</v>
      </c>
      <c r="I709" s="93">
        <f>'II_Inkunabeln+'!AQ709</f>
        <v>0</v>
      </c>
      <c r="J709" s="94"/>
      <c r="K709" s="93">
        <f>'II_Inkunabeln+'!AW709</f>
        <v>0</v>
      </c>
      <c r="L709" s="93">
        <f>'II_Inkunabeln+'!AX709</f>
        <v>0</v>
      </c>
      <c r="AA709" s="93">
        <f>'II_Inkunabeln+'!AY709</f>
        <v>0</v>
      </c>
      <c r="AB709" s="94" t="str">
        <f>'II_Inkunabeln+'!BA709</f>
        <v>n</v>
      </c>
      <c r="AC709" s="108"/>
      <c r="AD709" s="81">
        <f>'II_Inkunabeln+'!BJ709</f>
        <v>0</v>
      </c>
    </row>
    <row r="710" spans="1:30" x14ac:dyDescent="0.25">
      <c r="A710" s="63">
        <f>'II_Inkunabeln+'!A710</f>
        <v>684</v>
      </c>
      <c r="B710" s="63" t="str">
        <f>'II_Inkunabeln+'!B710</f>
        <v>L-1478-327679166</v>
      </c>
      <c r="C710" s="63">
        <f>'II_Inkunabeln+'!C710</f>
        <v>1072378264</v>
      </c>
      <c r="D710" s="84" t="str">
        <f>'II_Inkunabeln+'!D710</f>
        <v>https://portal.dnb.de/opac.htm?method=simpleSearch&amp;cqlMode=true&amp;query=idn%3D1072378264</v>
      </c>
      <c r="E710" s="63" t="str">
        <f>'II_Inkunabeln+'!E710</f>
        <v>II 85,1b [angebunden an II 63,1a]</v>
      </c>
      <c r="F710" s="63">
        <f>'II_Inkunabeln+'!H710</f>
        <v>0</v>
      </c>
      <c r="G710" s="93">
        <f>'II_Inkunabeln+'!AG710</f>
        <v>0</v>
      </c>
      <c r="H710" s="93">
        <f>'II_Inkunabeln+'!AP710</f>
        <v>0</v>
      </c>
      <c r="I710" s="93">
        <f>'II_Inkunabeln+'!AQ710</f>
        <v>0</v>
      </c>
      <c r="J710" s="94"/>
      <c r="K710" s="93">
        <f>'II_Inkunabeln+'!AW710</f>
        <v>0</v>
      </c>
      <c r="L710" s="93">
        <f>'II_Inkunabeln+'!AX710</f>
        <v>0</v>
      </c>
      <c r="AA710" s="93">
        <f>'II_Inkunabeln+'!AY710</f>
        <v>0</v>
      </c>
      <c r="AB710" s="94">
        <f>'II_Inkunabeln+'!BA710</f>
        <v>0</v>
      </c>
      <c r="AC710" s="108"/>
      <c r="AD710" s="81">
        <f>'II_Inkunabeln+'!BJ710</f>
        <v>0</v>
      </c>
    </row>
    <row r="711" spans="1:30" x14ac:dyDescent="0.25">
      <c r="A711" s="63">
        <f>'II_Inkunabeln+'!A711</f>
        <v>685</v>
      </c>
      <c r="B711" s="63" t="str">
        <f>'II_Inkunabeln+'!B711</f>
        <v>L-1481-315500433</v>
      </c>
      <c r="C711" s="63">
        <f>'II_Inkunabeln+'!C711</f>
        <v>1066970084</v>
      </c>
      <c r="D711" s="84" t="str">
        <f>'II_Inkunabeln+'!D711</f>
        <v>https://portal.dnb.de/opac.htm?method=simpleSearch&amp;cqlMode=true&amp;query=idn%3D1066970084</v>
      </c>
      <c r="E711" s="63" t="str">
        <f>'II_Inkunabeln+'!E711</f>
        <v>II 86,1a</v>
      </c>
      <c r="F711" s="63" t="str">
        <f>'II_Inkunabeln+'!H711</f>
        <v>bis 35 cm</v>
      </c>
      <c r="G711" s="93" t="str">
        <f>'II_Inkunabeln+'!AG711</f>
        <v>Pa</v>
      </c>
      <c r="H711" s="93">
        <f>'II_Inkunabeln+'!AP711</f>
        <v>0</v>
      </c>
      <c r="I711" s="93">
        <f>'II_Inkunabeln+'!AQ711</f>
        <v>0</v>
      </c>
      <c r="J711" s="94"/>
      <c r="K711" s="93">
        <f>'II_Inkunabeln+'!AW711</f>
        <v>0</v>
      </c>
      <c r="L711" s="93">
        <f>'II_Inkunabeln+'!AX711</f>
        <v>0</v>
      </c>
      <c r="AA711" s="93">
        <f>'II_Inkunabeln+'!AY711</f>
        <v>0</v>
      </c>
      <c r="AB711" s="94" t="str">
        <f>'II_Inkunabeln+'!BA711</f>
        <v>n</v>
      </c>
      <c r="AC711" s="108"/>
      <c r="AD711" s="81">
        <f>'II_Inkunabeln+'!BJ711</f>
        <v>0</v>
      </c>
    </row>
    <row r="712" spans="1:30" x14ac:dyDescent="0.25">
      <c r="A712" s="63">
        <f>'II_Inkunabeln+'!A712</f>
        <v>686</v>
      </c>
      <c r="B712" s="63" t="str">
        <f>'II_Inkunabeln+'!B712</f>
        <v>L-1481-315501685</v>
      </c>
      <c r="C712" s="63">
        <f>'II_Inkunabeln+'!C712</f>
        <v>1066971315</v>
      </c>
      <c r="D712" s="84" t="str">
        <f>'II_Inkunabeln+'!D712</f>
        <v>https://portal.dnb.de/opac.htm?method=simpleSearch&amp;cqlMode=true&amp;query=idn%3D1066971315</v>
      </c>
      <c r="E712" s="63" t="str">
        <f>'II_Inkunabeln+'!E712</f>
        <v>II 86,1b</v>
      </c>
      <c r="F712" s="63" t="str">
        <f>'II_Inkunabeln+'!H712</f>
        <v>bis 35 cm</v>
      </c>
      <c r="G712" s="93" t="str">
        <f>'II_Inkunabeln+'!AG712</f>
        <v>Pa</v>
      </c>
      <c r="H712" s="93">
        <f>'II_Inkunabeln+'!AP712</f>
        <v>0</v>
      </c>
      <c r="I712" s="93" t="str">
        <f>'II_Inkunabeln+'!AQ712</f>
        <v>I/R</v>
      </c>
      <c r="J712" s="94"/>
      <c r="K712" s="93">
        <f>'II_Inkunabeln+'!AW712</f>
        <v>0</v>
      </c>
      <c r="L712" s="93">
        <f>'II_Inkunabeln+'!AX712</f>
        <v>0</v>
      </c>
      <c r="AA712" s="93">
        <f>'II_Inkunabeln+'!AY712</f>
        <v>0</v>
      </c>
      <c r="AB712" s="94" t="str">
        <f>'II_Inkunabeln+'!BA712</f>
        <v>n</v>
      </c>
      <c r="AC712" s="108"/>
      <c r="AD712" s="81" t="str">
        <f>'II_Inkunabeln+'!BJ712</f>
        <v>Schaden in den Gelenken ist stabil genug</v>
      </c>
    </row>
    <row r="713" spans="1:30" x14ac:dyDescent="0.25">
      <c r="A713" s="63">
        <f>'II_Inkunabeln+'!A713</f>
        <v>687</v>
      </c>
      <c r="B713" s="63" t="str">
        <f>'II_Inkunabeln+'!B713</f>
        <v>L-1479-315502630</v>
      </c>
      <c r="C713" s="63">
        <f>'II_Inkunabeln+'!C713</f>
        <v>1066972214</v>
      </c>
      <c r="D713" s="84" t="str">
        <f>'II_Inkunabeln+'!D713</f>
        <v>https://portal.dnb.de/opac.htm?method=simpleSearch&amp;cqlMode=true&amp;query=idn%3D1066972214</v>
      </c>
      <c r="E713" s="63" t="str">
        <f>'II_Inkunabeln+'!E713</f>
        <v>II 87,1a</v>
      </c>
      <c r="F713" s="63" t="str">
        <f>'II_Inkunabeln+'!H713</f>
        <v>bis 35 cm</v>
      </c>
      <c r="G713" s="93" t="str">
        <f>'II_Inkunabeln+'!AG713</f>
        <v>Pa</v>
      </c>
      <c r="H713" s="93">
        <f>'II_Inkunabeln+'!AP713</f>
        <v>0</v>
      </c>
      <c r="I713" s="93" t="str">
        <f>'II_Inkunabeln+'!AQ713</f>
        <v>I/R</v>
      </c>
      <c r="J713" s="94"/>
      <c r="K713" s="93">
        <f>'II_Inkunabeln+'!AW713</f>
        <v>0</v>
      </c>
      <c r="L713" s="93">
        <f>'II_Inkunabeln+'!AX713</f>
        <v>0</v>
      </c>
      <c r="AA713" s="93">
        <f>'II_Inkunabeln+'!AY713</f>
        <v>0</v>
      </c>
      <c r="AB713" s="94" t="str">
        <f>'II_Inkunabeln+'!BA713</f>
        <v>ja vor</v>
      </c>
      <c r="AC713" s="108"/>
      <c r="AD713" s="81">
        <f>'II_Inkunabeln+'!BJ713</f>
        <v>0</v>
      </c>
    </row>
    <row r="714" spans="1:30" x14ac:dyDescent="0.25">
      <c r="A714" s="63">
        <f>'II_Inkunabeln+'!A714</f>
        <v>688</v>
      </c>
      <c r="B714" s="63" t="str">
        <f>'II_Inkunabeln+'!B714</f>
        <v>L-1486-327682124</v>
      </c>
      <c r="C714" s="63">
        <f>'II_Inkunabeln+'!C714</f>
        <v>1072383721</v>
      </c>
      <c r="D714" s="84" t="str">
        <f>'II_Inkunabeln+'!D714</f>
        <v>https://portal.dnb.de/opac.htm?method=simpleSearch&amp;cqlMode=true&amp;query=idn%3D1072383721</v>
      </c>
      <c r="E714" s="63" t="str">
        <f>'II_Inkunabeln+'!E714</f>
        <v>II 87,1c</v>
      </c>
      <c r="F714" s="63" t="str">
        <f>'II_Inkunabeln+'!H714</f>
        <v>bis 25 cm</v>
      </c>
      <c r="G714" s="93" t="str">
        <f>'II_Inkunabeln+'!AG714</f>
        <v>Pa</v>
      </c>
      <c r="H714" s="93">
        <f>'II_Inkunabeln+'!AP714</f>
        <v>0</v>
      </c>
      <c r="I714" s="93" t="str">
        <f>'II_Inkunabeln+'!AQ714</f>
        <v>I/R</v>
      </c>
      <c r="J714" s="94"/>
      <c r="K714" s="93">
        <f>'II_Inkunabeln+'!AW714</f>
        <v>0</v>
      </c>
      <c r="L714" s="93">
        <f>'II_Inkunabeln+'!AX714</f>
        <v>0</v>
      </c>
      <c r="AA714" s="93">
        <f>'II_Inkunabeln+'!AY714</f>
        <v>0</v>
      </c>
      <c r="AB714" s="94" t="str">
        <f>'II_Inkunabeln+'!BA714</f>
        <v>n</v>
      </c>
      <c r="AC714" s="108"/>
      <c r="AD714" s="81">
        <f>'II_Inkunabeln+'!BJ714</f>
        <v>0</v>
      </c>
    </row>
    <row r="715" spans="1:30" x14ac:dyDescent="0.25">
      <c r="A715" s="63">
        <f>'II_Inkunabeln+'!A715</f>
        <v>689</v>
      </c>
      <c r="B715" s="63" t="str">
        <f>'II_Inkunabeln+'!B715</f>
        <v>L-1474-375087958</v>
      </c>
      <c r="C715" s="63">
        <f>'II_Inkunabeln+'!C715</f>
        <v>1109774656</v>
      </c>
      <c r="D715" s="84" t="str">
        <f>'II_Inkunabeln+'!D715</f>
        <v>https://portal.dnb.de/opac.htm?method=simpleSearch&amp;cqlMode=true&amp;query=idn%3D1109774656</v>
      </c>
      <c r="E715" s="63" t="str">
        <f>'II_Inkunabeln+'!E715</f>
        <v>II 90,1a - [1] Fragm.</v>
      </c>
      <c r="F715" s="63" t="str">
        <f>'II_Inkunabeln+'!H715</f>
        <v>&gt; 42 cm</v>
      </c>
      <c r="G715" s="93" t="str">
        <f>'II_Inkunabeln+'!AG715</f>
        <v>Pa</v>
      </c>
      <c r="H715" s="93">
        <f>'II_Inkunabeln+'!AP715</f>
        <v>0</v>
      </c>
      <c r="I715" s="93">
        <f>'II_Inkunabeln+'!AQ715</f>
        <v>0</v>
      </c>
      <c r="J715" s="94"/>
      <c r="K715" s="93">
        <f>'II_Inkunabeln+'!AW715</f>
        <v>0</v>
      </c>
      <c r="L715" s="93">
        <f>'II_Inkunabeln+'!AX715</f>
        <v>0</v>
      </c>
      <c r="AA715" s="93">
        <f>'II_Inkunabeln+'!AY715</f>
        <v>0</v>
      </c>
      <c r="AB715" s="94">
        <f>'II_Inkunabeln+'!BA715</f>
        <v>0</v>
      </c>
      <c r="AC715" s="108"/>
      <c r="AD715" s="81">
        <f>'II_Inkunabeln+'!BJ715</f>
        <v>0</v>
      </c>
    </row>
    <row r="716" spans="1:30" x14ac:dyDescent="0.25">
      <c r="A716" s="63">
        <f>'II_Inkunabeln+'!A716</f>
        <v>690</v>
      </c>
      <c r="B716" s="63" t="str">
        <f>'II_Inkunabeln+'!B716</f>
        <v>L-1477-375088350</v>
      </c>
      <c r="C716" s="63" t="str">
        <f>'II_Inkunabeln+'!C716</f>
        <v>110977575X</v>
      </c>
      <c r="D716" s="84" t="str">
        <f>'II_Inkunabeln+'!D716</f>
        <v>https://portal.dnb.de/opac.htm?method=simpleSearch&amp;cqlMode=true&amp;query=idn%3D110977575X</v>
      </c>
      <c r="E716" s="63" t="str">
        <f>'II_Inkunabeln+'!E716</f>
        <v>II 90,1a - [2] Fragm.</v>
      </c>
      <c r="F716" s="63" t="str">
        <f>'II_Inkunabeln+'!H716</f>
        <v>&gt; 42 cm</v>
      </c>
      <c r="G716" s="93" t="str">
        <f>'II_Inkunabeln+'!AG716</f>
        <v>Pa</v>
      </c>
      <c r="H716" s="93">
        <f>'II_Inkunabeln+'!AP716</f>
        <v>0</v>
      </c>
      <c r="I716" s="93">
        <f>'II_Inkunabeln+'!AQ716</f>
        <v>0</v>
      </c>
      <c r="J716" s="94"/>
      <c r="K716" s="93">
        <f>'II_Inkunabeln+'!AW716</f>
        <v>0</v>
      </c>
      <c r="L716" s="93">
        <f>'II_Inkunabeln+'!AX716</f>
        <v>0</v>
      </c>
      <c r="AA716" s="93">
        <f>'II_Inkunabeln+'!AY716</f>
        <v>0</v>
      </c>
      <c r="AB716" s="94">
        <f>'II_Inkunabeln+'!BA716</f>
        <v>0</v>
      </c>
      <c r="AC716" s="108"/>
      <c r="AD716" s="81">
        <f>'II_Inkunabeln+'!BJ716</f>
        <v>0</v>
      </c>
    </row>
    <row r="717" spans="1:30" x14ac:dyDescent="0.25">
      <c r="A717" s="63">
        <f>'II_Inkunabeln+'!A717</f>
        <v>691</v>
      </c>
      <c r="B717" s="63" t="str">
        <f>'II_Inkunabeln+'!B717</f>
        <v>L-1477-375088466</v>
      </c>
      <c r="C717" s="63" t="str">
        <f>'II_Inkunabeln+'!C717</f>
        <v>110977575X</v>
      </c>
      <c r="D717" s="84" t="str">
        <f>'II_Inkunabeln+'!D717</f>
        <v>https://portal.dnb.de/opac.htm?method=simpleSearch&amp;cqlMode=true&amp;query=idn%3D110977575X</v>
      </c>
      <c r="E717" s="63" t="str">
        <f>'II_Inkunabeln+'!E717</f>
        <v>II 90,1a - [3] Fragm.</v>
      </c>
      <c r="F717" s="63" t="str">
        <f>'II_Inkunabeln+'!H717</f>
        <v>&gt; 42 cm</v>
      </c>
      <c r="G717" s="93" t="str">
        <f>'II_Inkunabeln+'!AG717</f>
        <v>Pa</v>
      </c>
      <c r="H717" s="93">
        <f>'II_Inkunabeln+'!AP717</f>
        <v>0</v>
      </c>
      <c r="I717" s="93">
        <f>'II_Inkunabeln+'!AQ717</f>
        <v>0</v>
      </c>
      <c r="J717" s="94"/>
      <c r="K717" s="93">
        <f>'II_Inkunabeln+'!AW717</f>
        <v>0</v>
      </c>
      <c r="L717" s="93">
        <f>'II_Inkunabeln+'!AX717</f>
        <v>0</v>
      </c>
      <c r="AA717" s="93">
        <f>'II_Inkunabeln+'!AY717</f>
        <v>0</v>
      </c>
      <c r="AB717" s="94">
        <f>'II_Inkunabeln+'!BA717</f>
        <v>0</v>
      </c>
      <c r="AC717" s="108"/>
      <c r="AD717" s="81">
        <f>'II_Inkunabeln+'!BJ717</f>
        <v>0</v>
      </c>
    </row>
    <row r="718" spans="1:30" x14ac:dyDescent="0.25">
      <c r="A718" s="63">
        <f>'II_Inkunabeln+'!A718</f>
        <v>692</v>
      </c>
      <c r="B718" s="63" t="str">
        <f>'II_Inkunabeln+'!B718</f>
        <v>L-1477-375088474</v>
      </c>
      <c r="C718" s="63" t="str">
        <f>'II_Inkunabeln+'!C718</f>
        <v>110977575X</v>
      </c>
      <c r="D718" s="84" t="str">
        <f>'II_Inkunabeln+'!D718</f>
        <v>https://portal.dnb.de/opac.htm?method=simpleSearch&amp;cqlMode=true&amp;query=idn%3D110977575X</v>
      </c>
      <c r="E718" s="63" t="str">
        <f>'II_Inkunabeln+'!E718</f>
        <v>II 90,1a - [4] Fragm.</v>
      </c>
      <c r="F718" s="63" t="str">
        <f>'II_Inkunabeln+'!H718</f>
        <v>&gt; 42 cm</v>
      </c>
      <c r="G718" s="93" t="str">
        <f>'II_Inkunabeln+'!AG718</f>
        <v>Pa</v>
      </c>
      <c r="H718" s="93">
        <f>'II_Inkunabeln+'!AP718</f>
        <v>0</v>
      </c>
      <c r="I718" s="93">
        <f>'II_Inkunabeln+'!AQ718</f>
        <v>0</v>
      </c>
      <c r="J718" s="94"/>
      <c r="K718" s="93">
        <f>'II_Inkunabeln+'!AW718</f>
        <v>0</v>
      </c>
      <c r="L718" s="93">
        <f>'II_Inkunabeln+'!AX718</f>
        <v>0</v>
      </c>
      <c r="AA718" s="93">
        <f>'II_Inkunabeln+'!AY718</f>
        <v>0</v>
      </c>
      <c r="AB718" s="94">
        <f>'II_Inkunabeln+'!BA718</f>
        <v>0</v>
      </c>
      <c r="AC718" s="108"/>
      <c r="AD718" s="81">
        <f>'II_Inkunabeln+'!BJ718</f>
        <v>0</v>
      </c>
    </row>
    <row r="719" spans="1:30" x14ac:dyDescent="0.25">
      <c r="A719" s="63">
        <f>'II_Inkunabeln+'!A719</f>
        <v>693</v>
      </c>
      <c r="B719" s="63" t="str">
        <f>'II_Inkunabeln+'!B719</f>
        <v>L-1478-375324100</v>
      </c>
      <c r="C719" s="63">
        <f>'II_Inkunabeln+'!C719</f>
        <v>1066968020</v>
      </c>
      <c r="D719" s="84" t="str">
        <f>'II_Inkunabeln+'!D719</f>
        <v>https://portal.dnb.de/opac.htm?method=simpleSearch&amp;cqlMode=true&amp;query=idn%3D1066968020</v>
      </c>
      <c r="E719" s="63" t="str">
        <f>'II_Inkunabeln+'!E719</f>
        <v>II 90,1a - [5] Fragm.</v>
      </c>
      <c r="F719" s="63" t="str">
        <f>'II_Inkunabeln+'!H719</f>
        <v>&gt; 42 cm</v>
      </c>
      <c r="G719" s="93" t="str">
        <f>'II_Inkunabeln+'!AG719</f>
        <v>Pa</v>
      </c>
      <c r="H719" s="93">
        <f>'II_Inkunabeln+'!AP719</f>
        <v>0</v>
      </c>
      <c r="I719" s="93">
        <f>'II_Inkunabeln+'!AQ719</f>
        <v>0</v>
      </c>
      <c r="J719" s="94"/>
      <c r="K719" s="93">
        <f>'II_Inkunabeln+'!AW719</f>
        <v>0</v>
      </c>
      <c r="L719" s="93">
        <f>'II_Inkunabeln+'!AX719</f>
        <v>0</v>
      </c>
      <c r="AA719" s="93">
        <f>'II_Inkunabeln+'!AY719</f>
        <v>0</v>
      </c>
      <c r="AB719" s="94">
        <f>'II_Inkunabeln+'!BA719</f>
        <v>0</v>
      </c>
      <c r="AC719" s="108"/>
      <c r="AD719" s="81">
        <f>'II_Inkunabeln+'!BJ719</f>
        <v>0</v>
      </c>
    </row>
    <row r="720" spans="1:30" x14ac:dyDescent="0.25">
      <c r="A720" s="63">
        <f>'II_Inkunabeln+'!A720</f>
        <v>694</v>
      </c>
      <c r="B720" s="63" t="str">
        <f>'II_Inkunabeln+'!B720</f>
        <v>L-1496-375327509</v>
      </c>
      <c r="C720" s="63">
        <f>'II_Inkunabeln+'!C720</f>
        <v>1109813201</v>
      </c>
      <c r="D720" s="84" t="str">
        <f>'II_Inkunabeln+'!D720</f>
        <v>https://portal.dnb.de/opac.htm?method=simpleSearch&amp;cqlMode=true&amp;query=idn%3D1109813201</v>
      </c>
      <c r="E720" s="63" t="str">
        <f>'II_Inkunabeln+'!E720</f>
        <v>II 90,1a - [6] Fragm.</v>
      </c>
      <c r="F720" s="63" t="str">
        <f>'II_Inkunabeln+'!H720</f>
        <v>&gt; 42 cm</v>
      </c>
      <c r="G720" s="93" t="str">
        <f>'II_Inkunabeln+'!AG720</f>
        <v>Pa</v>
      </c>
      <c r="H720" s="93">
        <f>'II_Inkunabeln+'!AP720</f>
        <v>0</v>
      </c>
      <c r="I720" s="93">
        <f>'II_Inkunabeln+'!AQ720</f>
        <v>0</v>
      </c>
      <c r="J720" s="94"/>
      <c r="K720" s="93">
        <f>'II_Inkunabeln+'!AW720</f>
        <v>0</v>
      </c>
      <c r="L720" s="93">
        <f>'II_Inkunabeln+'!AX720</f>
        <v>0</v>
      </c>
      <c r="AA720" s="93">
        <f>'II_Inkunabeln+'!AY720</f>
        <v>0</v>
      </c>
      <c r="AB720" s="94">
        <f>'II_Inkunabeln+'!BA720</f>
        <v>0</v>
      </c>
      <c r="AC720" s="108"/>
      <c r="AD720" s="81">
        <f>'II_Inkunabeln+'!BJ720</f>
        <v>0</v>
      </c>
    </row>
    <row r="721" spans="1:30" x14ac:dyDescent="0.25">
      <c r="A721" s="63">
        <f>'II_Inkunabeln+'!A721</f>
        <v>695</v>
      </c>
      <c r="B721" s="63" t="str">
        <f>'II_Inkunabeln+'!B721</f>
        <v>L-1474-375328378</v>
      </c>
      <c r="C721" s="63">
        <f>'II_Inkunabeln+'!C721</f>
        <v>1109774656</v>
      </c>
      <c r="D721" s="84" t="str">
        <f>'II_Inkunabeln+'!D721</f>
        <v>https://portal.dnb.de/opac.htm?method=simpleSearch&amp;cqlMode=true&amp;query=idn%3D1109774656</v>
      </c>
      <c r="E721" s="63" t="str">
        <f>'II_Inkunabeln+'!E721</f>
        <v>II 90,1a - [7] Fragm.</v>
      </c>
      <c r="F721" s="63" t="str">
        <f>'II_Inkunabeln+'!H721</f>
        <v>&gt; 42 cm</v>
      </c>
      <c r="G721" s="93" t="str">
        <f>'II_Inkunabeln+'!AG721</f>
        <v>Pa</v>
      </c>
      <c r="H721" s="93">
        <f>'II_Inkunabeln+'!AP721</f>
        <v>0</v>
      </c>
      <c r="I721" s="93">
        <f>'II_Inkunabeln+'!AQ721</f>
        <v>0</v>
      </c>
      <c r="J721" s="94"/>
      <c r="K721" s="93">
        <f>'II_Inkunabeln+'!AW721</f>
        <v>0</v>
      </c>
      <c r="L721" s="93">
        <f>'II_Inkunabeln+'!AX721</f>
        <v>0</v>
      </c>
      <c r="AA721" s="93">
        <f>'II_Inkunabeln+'!AY721</f>
        <v>0</v>
      </c>
      <c r="AB721" s="94">
        <f>'II_Inkunabeln+'!BA721</f>
        <v>0</v>
      </c>
      <c r="AC721" s="108"/>
      <c r="AD721" s="81">
        <f>'II_Inkunabeln+'!BJ721</f>
        <v>0</v>
      </c>
    </row>
    <row r="722" spans="1:30" x14ac:dyDescent="0.25">
      <c r="A722" s="63">
        <f>'II_Inkunabeln+'!A722</f>
        <v>696</v>
      </c>
      <c r="B722" s="63" t="str">
        <f>'II_Inkunabeln+'!B722</f>
        <v>L-1498-375329048</v>
      </c>
      <c r="C722" s="63">
        <f>'II_Inkunabeln+'!C722</f>
        <v>1109815573</v>
      </c>
      <c r="D722" s="84" t="str">
        <f>'II_Inkunabeln+'!D722</f>
        <v>https://portal.dnb.de/opac.htm?method=simpleSearch&amp;cqlMode=true&amp;query=idn%3D1109815573</v>
      </c>
      <c r="E722" s="63" t="str">
        <f>'II_Inkunabeln+'!E722</f>
        <v>II 90,1a - [8] Fragm.</v>
      </c>
      <c r="F722" s="63" t="str">
        <f>'II_Inkunabeln+'!H722</f>
        <v>&gt; 42 cm</v>
      </c>
      <c r="G722" s="93" t="str">
        <f>'II_Inkunabeln+'!AG722</f>
        <v>Pa</v>
      </c>
      <c r="H722" s="93">
        <f>'II_Inkunabeln+'!AP722</f>
        <v>0</v>
      </c>
      <c r="I722" s="93">
        <f>'II_Inkunabeln+'!AQ722</f>
        <v>0</v>
      </c>
      <c r="J722" s="94"/>
      <c r="K722" s="93">
        <f>'II_Inkunabeln+'!AW722</f>
        <v>0</v>
      </c>
      <c r="L722" s="93">
        <f>'II_Inkunabeln+'!AX722</f>
        <v>0</v>
      </c>
      <c r="AA722" s="93">
        <f>'II_Inkunabeln+'!AY722</f>
        <v>0</v>
      </c>
      <c r="AB722" s="94">
        <f>'II_Inkunabeln+'!BA722</f>
        <v>0</v>
      </c>
      <c r="AC722" s="108"/>
      <c r="AD722" s="81">
        <f>'II_Inkunabeln+'!BJ722</f>
        <v>0</v>
      </c>
    </row>
    <row r="723" spans="1:30" x14ac:dyDescent="0.25">
      <c r="A723" s="63">
        <f>'II_Inkunabeln+'!A723</f>
        <v>697</v>
      </c>
      <c r="B723" s="63" t="str">
        <f>'II_Inkunabeln+'!B723</f>
        <v>L-1498-375329684</v>
      </c>
      <c r="C723" s="63">
        <f>'II_Inkunabeln+'!C723</f>
        <v>1109815573</v>
      </c>
      <c r="D723" s="84" t="str">
        <f>'II_Inkunabeln+'!D723</f>
        <v>https://portal.dnb.de/opac.htm?method=simpleSearch&amp;cqlMode=true&amp;query=idn%3D1109815573</v>
      </c>
      <c r="E723" s="63" t="str">
        <f>'II_Inkunabeln+'!E723</f>
        <v>II 90,1a - [9] Fragm.</v>
      </c>
      <c r="F723" s="63" t="str">
        <f>'II_Inkunabeln+'!H723</f>
        <v>&gt; 42 cm</v>
      </c>
      <c r="G723" s="93" t="str">
        <f>'II_Inkunabeln+'!AG723</f>
        <v>Pa</v>
      </c>
      <c r="H723" s="93">
        <f>'II_Inkunabeln+'!AP723</f>
        <v>0</v>
      </c>
      <c r="I723" s="93">
        <f>'II_Inkunabeln+'!AQ723</f>
        <v>0</v>
      </c>
      <c r="J723" s="94"/>
      <c r="K723" s="93">
        <f>'II_Inkunabeln+'!AW723</f>
        <v>0</v>
      </c>
      <c r="L723" s="93">
        <f>'II_Inkunabeln+'!AX723</f>
        <v>0</v>
      </c>
      <c r="AA723" s="93">
        <f>'II_Inkunabeln+'!AY723</f>
        <v>0</v>
      </c>
      <c r="AB723" s="94">
        <f>'II_Inkunabeln+'!BA723</f>
        <v>0</v>
      </c>
      <c r="AC723" s="108"/>
      <c r="AD723" s="81">
        <f>'II_Inkunabeln+'!BJ723</f>
        <v>0</v>
      </c>
    </row>
    <row r="724" spans="1:30" x14ac:dyDescent="0.25">
      <c r="A724" s="63">
        <f>'II_Inkunabeln+'!A724</f>
        <v>698</v>
      </c>
      <c r="B724" s="63" t="str">
        <f>'II_Inkunabeln+'!B724</f>
        <v>L-1498-375330437</v>
      </c>
      <c r="C724" s="63">
        <f>'II_Inkunabeln+'!C724</f>
        <v>1109815573</v>
      </c>
      <c r="D724" s="84" t="str">
        <f>'II_Inkunabeln+'!D724</f>
        <v>https://portal.dnb.de/opac.htm?method=simpleSearch&amp;cqlMode=true&amp;query=idn%3D1109815573</v>
      </c>
      <c r="E724" s="63" t="str">
        <f>'II_Inkunabeln+'!E724</f>
        <v>II 90,1a - [10] Fragm.</v>
      </c>
      <c r="F724" s="63" t="str">
        <f>'II_Inkunabeln+'!H724</f>
        <v>&gt; 42 cm</v>
      </c>
      <c r="G724" s="93" t="str">
        <f>'II_Inkunabeln+'!AG724</f>
        <v>Pa</v>
      </c>
      <c r="H724" s="93">
        <f>'II_Inkunabeln+'!AP724</f>
        <v>0</v>
      </c>
      <c r="I724" s="93">
        <f>'II_Inkunabeln+'!AQ724</f>
        <v>0</v>
      </c>
      <c r="J724" s="94"/>
      <c r="K724" s="93">
        <f>'II_Inkunabeln+'!AW724</f>
        <v>0</v>
      </c>
      <c r="L724" s="93">
        <f>'II_Inkunabeln+'!AX724</f>
        <v>0</v>
      </c>
      <c r="AA724" s="93">
        <f>'II_Inkunabeln+'!AY724</f>
        <v>0</v>
      </c>
      <c r="AB724" s="94">
        <f>'II_Inkunabeln+'!BA724</f>
        <v>0</v>
      </c>
      <c r="AC724" s="108"/>
      <c r="AD724" s="81">
        <f>'II_Inkunabeln+'!BJ724</f>
        <v>0</v>
      </c>
    </row>
    <row r="725" spans="1:30" x14ac:dyDescent="0.25">
      <c r="A725" s="63">
        <f>'II_Inkunabeln+'!A725</f>
        <v>699</v>
      </c>
      <c r="B725" s="63" t="str">
        <f>'II_Inkunabeln+'!B725</f>
        <v>L-1482-375330852</v>
      </c>
      <c r="C725" s="63">
        <f>'II_Inkunabeln+'!C725</f>
        <v>1066964505</v>
      </c>
      <c r="D725" s="84" t="str">
        <f>'II_Inkunabeln+'!D725</f>
        <v>https://portal.dnb.de/opac.htm?method=simpleSearch&amp;cqlMode=true&amp;query=idn%3D1066964505</v>
      </c>
      <c r="E725" s="63" t="str">
        <f>'II_Inkunabeln+'!E725</f>
        <v>II 90,1a - [11] Fragm.</v>
      </c>
      <c r="F725" s="63" t="str">
        <f>'II_Inkunabeln+'!H725</f>
        <v>&gt; 42 cm</v>
      </c>
      <c r="G725" s="93" t="str">
        <f>'II_Inkunabeln+'!AG725</f>
        <v>Pa</v>
      </c>
      <c r="H725" s="93">
        <f>'II_Inkunabeln+'!AP725</f>
        <v>0</v>
      </c>
      <c r="I725" s="93">
        <f>'II_Inkunabeln+'!AQ725</f>
        <v>0</v>
      </c>
      <c r="J725" s="94"/>
      <c r="K725" s="93">
        <f>'II_Inkunabeln+'!AW725</f>
        <v>0</v>
      </c>
      <c r="L725" s="93">
        <f>'II_Inkunabeln+'!AX725</f>
        <v>0</v>
      </c>
      <c r="AA725" s="93">
        <f>'II_Inkunabeln+'!AY725</f>
        <v>0</v>
      </c>
      <c r="AB725" s="94">
        <f>'II_Inkunabeln+'!BA725</f>
        <v>0</v>
      </c>
      <c r="AC725" s="108"/>
      <c r="AD725" s="81">
        <f>'II_Inkunabeln+'!BJ725</f>
        <v>0</v>
      </c>
    </row>
    <row r="726" spans="1:30" x14ac:dyDescent="0.25">
      <c r="A726" s="63">
        <f>'II_Inkunabeln+'!A726</f>
        <v>700</v>
      </c>
      <c r="B726" s="63" t="str">
        <f>'II_Inkunabeln+'!B726</f>
        <v>L-1487-375331115</v>
      </c>
      <c r="C726" s="63">
        <f>'II_Inkunabeln+'!C726</f>
        <v>1066965390</v>
      </c>
      <c r="D726" s="84" t="str">
        <f>'II_Inkunabeln+'!D726</f>
        <v>https://portal.dnb.de/opac.htm?method=simpleSearch&amp;cqlMode=true&amp;query=idn%3D1066965390</v>
      </c>
      <c r="E726" s="63" t="str">
        <f>'II_Inkunabeln+'!E726</f>
        <v>II 90,1a - [12] Fragm.</v>
      </c>
      <c r="F726" s="63" t="str">
        <f>'II_Inkunabeln+'!H726</f>
        <v>&gt; 42 cm</v>
      </c>
      <c r="G726" s="93" t="str">
        <f>'II_Inkunabeln+'!AG726</f>
        <v>Pa</v>
      </c>
      <c r="H726" s="93">
        <f>'II_Inkunabeln+'!AP726</f>
        <v>0</v>
      </c>
      <c r="I726" s="93">
        <f>'II_Inkunabeln+'!AQ726</f>
        <v>0</v>
      </c>
      <c r="J726" s="94"/>
      <c r="K726" s="93">
        <f>'II_Inkunabeln+'!AW726</f>
        <v>0</v>
      </c>
      <c r="L726" s="93">
        <f>'II_Inkunabeln+'!AX726</f>
        <v>0</v>
      </c>
      <c r="AA726" s="93">
        <f>'II_Inkunabeln+'!AY726</f>
        <v>0</v>
      </c>
      <c r="AB726" s="94">
        <f>'II_Inkunabeln+'!BA726</f>
        <v>0</v>
      </c>
      <c r="AC726" s="108"/>
      <c r="AD726" s="81">
        <f>'II_Inkunabeln+'!BJ726</f>
        <v>0</v>
      </c>
    </row>
    <row r="727" spans="1:30" x14ac:dyDescent="0.25">
      <c r="A727" s="63">
        <f>'II_Inkunabeln+'!A727</f>
        <v>701</v>
      </c>
      <c r="B727" s="63" t="str">
        <f>'II_Inkunabeln+'!B727</f>
        <v>L-1495-375331980</v>
      </c>
      <c r="C727" s="63" t="str">
        <f>'II_Inkunabeln+'!C727</f>
        <v>110982050X</v>
      </c>
      <c r="D727" s="84" t="str">
        <f>'II_Inkunabeln+'!D727</f>
        <v>https://portal.dnb.de/opac.htm?method=simpleSearch&amp;cqlMode=true&amp;query=idn%3D110982050X</v>
      </c>
      <c r="E727" s="63" t="str">
        <f>'II_Inkunabeln+'!E727</f>
        <v>II 90,1a - [13] Fragm.</v>
      </c>
      <c r="F727" s="63" t="str">
        <f>'II_Inkunabeln+'!H727</f>
        <v>&gt; 42 cm</v>
      </c>
      <c r="G727" s="93" t="str">
        <f>'II_Inkunabeln+'!AG727</f>
        <v>Pa</v>
      </c>
      <c r="H727" s="93">
        <f>'II_Inkunabeln+'!AP727</f>
        <v>0</v>
      </c>
      <c r="I727" s="93">
        <f>'II_Inkunabeln+'!AQ727</f>
        <v>0</v>
      </c>
      <c r="J727" s="94"/>
      <c r="K727" s="93">
        <f>'II_Inkunabeln+'!AW727</f>
        <v>0</v>
      </c>
      <c r="L727" s="93">
        <f>'II_Inkunabeln+'!AX727</f>
        <v>0</v>
      </c>
      <c r="AA727" s="93">
        <f>'II_Inkunabeln+'!AY727</f>
        <v>0</v>
      </c>
      <c r="AB727" s="94">
        <f>'II_Inkunabeln+'!BA727</f>
        <v>0</v>
      </c>
      <c r="AC727" s="108"/>
      <c r="AD727" s="81">
        <f>'II_Inkunabeln+'!BJ727</f>
        <v>0</v>
      </c>
    </row>
    <row r="728" spans="1:30" x14ac:dyDescent="0.25">
      <c r="A728" s="63">
        <f>'II_Inkunabeln+'!A728</f>
        <v>702</v>
      </c>
      <c r="B728" s="63" t="str">
        <f>'II_Inkunabeln+'!B728</f>
        <v>L-1490-375417559</v>
      </c>
      <c r="C728" s="63">
        <f>'II_Inkunabeln+'!C728</f>
        <v>1109921993</v>
      </c>
      <c r="D728" s="84" t="str">
        <f>'II_Inkunabeln+'!D728</f>
        <v>https://portal.dnb.de/opac.htm?method=simpleSearch&amp;cqlMode=true&amp;query=idn%3D1109921993</v>
      </c>
      <c r="E728" s="63" t="str">
        <f>'II_Inkunabeln+'!E728</f>
        <v>II 90,1a - [14] Fragm.</v>
      </c>
      <c r="F728" s="63" t="str">
        <f>'II_Inkunabeln+'!H728</f>
        <v>&gt; 42 cm</v>
      </c>
      <c r="G728" s="93" t="str">
        <f>'II_Inkunabeln+'!AG728</f>
        <v>Pa</v>
      </c>
      <c r="H728" s="93">
        <f>'II_Inkunabeln+'!AP728</f>
        <v>0</v>
      </c>
      <c r="I728" s="93">
        <f>'II_Inkunabeln+'!AQ728</f>
        <v>0</v>
      </c>
      <c r="J728" s="94"/>
      <c r="K728" s="93">
        <f>'II_Inkunabeln+'!AW728</f>
        <v>0</v>
      </c>
      <c r="L728" s="93">
        <f>'II_Inkunabeln+'!AX728</f>
        <v>0</v>
      </c>
      <c r="AA728" s="93">
        <f>'II_Inkunabeln+'!AY728</f>
        <v>0</v>
      </c>
      <c r="AB728" s="94">
        <f>'II_Inkunabeln+'!BA728</f>
        <v>0</v>
      </c>
      <c r="AC728" s="108"/>
      <c r="AD728" s="81">
        <f>'II_Inkunabeln+'!BJ728</f>
        <v>0</v>
      </c>
    </row>
    <row r="729" spans="1:30" x14ac:dyDescent="0.25">
      <c r="A729" s="63">
        <f>'II_Inkunabeln+'!A729</f>
        <v>703</v>
      </c>
      <c r="B729" s="63" t="str">
        <f>'II_Inkunabeln+'!B729</f>
        <v>L-1491-375563911</v>
      </c>
      <c r="C729" s="63">
        <f>'II_Inkunabeln+'!C729</f>
        <v>1110068220</v>
      </c>
      <c r="D729" s="84" t="str">
        <f>'II_Inkunabeln+'!D729</f>
        <v>https://portal.dnb.de/opac.htm?method=simpleSearch&amp;cqlMode=true&amp;query=idn%3D1110068220</v>
      </c>
      <c r="E729" s="63" t="str">
        <f>'II_Inkunabeln+'!E729</f>
        <v>II 90,1a - [15] Fragm.</v>
      </c>
      <c r="F729" s="63" t="str">
        <f>'II_Inkunabeln+'!H729</f>
        <v>&gt; 42 cm</v>
      </c>
      <c r="G729" s="93" t="str">
        <f>'II_Inkunabeln+'!AG729</f>
        <v>Pa</v>
      </c>
      <c r="H729" s="93">
        <f>'II_Inkunabeln+'!AP729</f>
        <v>0</v>
      </c>
      <c r="I729" s="93">
        <f>'II_Inkunabeln+'!AQ729</f>
        <v>0</v>
      </c>
      <c r="J729" s="94"/>
      <c r="K729" s="93">
        <f>'II_Inkunabeln+'!AW729</f>
        <v>0</v>
      </c>
      <c r="L729" s="93">
        <f>'II_Inkunabeln+'!AX729</f>
        <v>0</v>
      </c>
      <c r="AA729" s="93">
        <f>'II_Inkunabeln+'!AY729</f>
        <v>0</v>
      </c>
      <c r="AB729" s="94">
        <f>'II_Inkunabeln+'!BA729</f>
        <v>0</v>
      </c>
      <c r="AC729" s="108"/>
      <c r="AD729" s="81">
        <f>'II_Inkunabeln+'!BJ729</f>
        <v>0</v>
      </c>
    </row>
    <row r="730" spans="1:30" x14ac:dyDescent="0.25">
      <c r="A730" s="63">
        <f>'II_Inkunabeln+'!A730</f>
        <v>704</v>
      </c>
      <c r="B730" s="63" t="str">
        <f>'II_Inkunabeln+'!B730</f>
        <v>L-1493-375566767</v>
      </c>
      <c r="C730" s="63">
        <f>'II_Inkunabeln+'!C730</f>
        <v>1066966613</v>
      </c>
      <c r="D730" s="84" t="str">
        <f>'II_Inkunabeln+'!D730</f>
        <v>https://portal.dnb.de/opac.htm?method=simpleSearch&amp;cqlMode=true&amp;query=idn%3D1066966613</v>
      </c>
      <c r="E730" s="63" t="str">
        <f>'II_Inkunabeln+'!E730</f>
        <v>II 90,1a - [16] Fragm.</v>
      </c>
      <c r="F730" s="63" t="str">
        <f>'II_Inkunabeln+'!H730</f>
        <v>&gt; 42 cm</v>
      </c>
      <c r="G730" s="93" t="str">
        <f>'II_Inkunabeln+'!AG730</f>
        <v>Pa</v>
      </c>
      <c r="H730" s="93">
        <f>'II_Inkunabeln+'!AP730</f>
        <v>0</v>
      </c>
      <c r="I730" s="93">
        <f>'II_Inkunabeln+'!AQ730</f>
        <v>0</v>
      </c>
      <c r="J730" s="94"/>
      <c r="K730" s="93">
        <f>'II_Inkunabeln+'!AW730</f>
        <v>0</v>
      </c>
      <c r="L730" s="93">
        <f>'II_Inkunabeln+'!AX730</f>
        <v>0</v>
      </c>
      <c r="AA730" s="93">
        <f>'II_Inkunabeln+'!AY730</f>
        <v>0</v>
      </c>
      <c r="AB730" s="94">
        <f>'II_Inkunabeln+'!BA730</f>
        <v>0</v>
      </c>
      <c r="AC730" s="108"/>
      <c r="AD730" s="81">
        <f>'II_Inkunabeln+'!BJ730</f>
        <v>0</v>
      </c>
    </row>
    <row r="731" spans="1:30" x14ac:dyDescent="0.25">
      <c r="A731" s="63">
        <f>'II_Inkunabeln+'!A731</f>
        <v>705</v>
      </c>
      <c r="B731" s="63" t="str">
        <f>'II_Inkunabeln+'!B731</f>
        <v>L-1487-375331115</v>
      </c>
      <c r="C731" s="63">
        <f>'II_Inkunabeln+'!C731</f>
        <v>1066965390</v>
      </c>
      <c r="D731" s="84" t="str">
        <f>'II_Inkunabeln+'!D731</f>
        <v>https://portal.dnb.de/opac.htm?method=simpleSearch&amp;cqlMode=true&amp;query=idn%3D1066965390</v>
      </c>
      <c r="E731" s="63" t="str">
        <f>'II_Inkunabeln+'!E731</f>
        <v>II 90,1a - [17] Fragm.</v>
      </c>
      <c r="F731" s="63" t="str">
        <f>'II_Inkunabeln+'!H731</f>
        <v>&gt; 42 cm</v>
      </c>
      <c r="G731" s="93" t="str">
        <f>'II_Inkunabeln+'!AG731</f>
        <v>Pa</v>
      </c>
      <c r="H731" s="93">
        <f>'II_Inkunabeln+'!AP731</f>
        <v>0</v>
      </c>
      <c r="I731" s="93">
        <f>'II_Inkunabeln+'!AQ731</f>
        <v>0</v>
      </c>
      <c r="J731" s="94"/>
      <c r="K731" s="93">
        <f>'II_Inkunabeln+'!AW731</f>
        <v>0</v>
      </c>
      <c r="L731" s="93">
        <f>'II_Inkunabeln+'!AX731</f>
        <v>0</v>
      </c>
      <c r="AA731" s="93">
        <f>'II_Inkunabeln+'!AY731</f>
        <v>0</v>
      </c>
      <c r="AB731" s="94">
        <f>'II_Inkunabeln+'!BA731</f>
        <v>0</v>
      </c>
      <c r="AC731" s="108"/>
      <c r="AD731" s="81">
        <f>'II_Inkunabeln+'!BJ731</f>
        <v>0</v>
      </c>
    </row>
    <row r="732" spans="1:30" x14ac:dyDescent="0.25">
      <c r="A732" s="63">
        <f>'II_Inkunabeln+'!A732</f>
        <v>706</v>
      </c>
      <c r="B732" s="63" t="str">
        <f>'II_Inkunabeln+'!B732</f>
        <v>L-1495-375567593</v>
      </c>
      <c r="C732" s="63" t="str">
        <f>'II_Inkunabeln+'!C732</f>
        <v>110982050X</v>
      </c>
      <c r="D732" s="84" t="str">
        <f>'II_Inkunabeln+'!D732</f>
        <v>https://portal.dnb.de/opac.htm?method=simpleSearch&amp;cqlMode=true&amp;query=idn%3D110982050X</v>
      </c>
      <c r="E732" s="63" t="str">
        <f>'II_Inkunabeln+'!E732</f>
        <v>II 90,1a - [20] Fragm.</v>
      </c>
      <c r="F732" s="63" t="str">
        <f>'II_Inkunabeln+'!H732</f>
        <v>&gt; 42 cm</v>
      </c>
      <c r="G732" s="93" t="str">
        <f>'II_Inkunabeln+'!AG732</f>
        <v>Pa</v>
      </c>
      <c r="H732" s="93">
        <f>'II_Inkunabeln+'!AP732</f>
        <v>0</v>
      </c>
      <c r="I732" s="93">
        <f>'II_Inkunabeln+'!AQ732</f>
        <v>0</v>
      </c>
      <c r="J732" s="94"/>
      <c r="K732" s="93">
        <f>'II_Inkunabeln+'!AW732</f>
        <v>0</v>
      </c>
      <c r="L732" s="93">
        <f>'II_Inkunabeln+'!AX732</f>
        <v>0</v>
      </c>
      <c r="AA732" s="93">
        <f>'II_Inkunabeln+'!AY732</f>
        <v>0</v>
      </c>
      <c r="AB732" s="94">
        <f>'II_Inkunabeln+'!BA732</f>
        <v>0</v>
      </c>
      <c r="AC732" s="108"/>
      <c r="AD732" s="81">
        <f>'II_Inkunabeln+'!BJ732</f>
        <v>0</v>
      </c>
    </row>
    <row r="733" spans="1:30" x14ac:dyDescent="0.25">
      <c r="A733" s="63">
        <f>'II_Inkunabeln+'!A733</f>
        <v>707</v>
      </c>
      <c r="B733" s="63" t="str">
        <f>'II_Inkunabeln+'!B733</f>
        <v>L-1489-375567704</v>
      </c>
      <c r="C733" s="63" t="str">
        <f>'II_Inkunabeln+'!C733</f>
        <v>111007414X</v>
      </c>
      <c r="D733" s="84" t="str">
        <f>'II_Inkunabeln+'!D733</f>
        <v>https://portal.dnb.de/opac.htm?method=simpleSearch&amp;cqlMode=true&amp;query=idn%3D111007414X</v>
      </c>
      <c r="E733" s="63" t="str">
        <f>'II_Inkunabeln+'!E733</f>
        <v>II 90,1a - [21] Fragm.</v>
      </c>
      <c r="F733" s="63" t="str">
        <f>'II_Inkunabeln+'!H733</f>
        <v>&gt; 42 cm</v>
      </c>
      <c r="G733" s="93" t="str">
        <f>'II_Inkunabeln+'!AG733</f>
        <v>Pa</v>
      </c>
      <c r="H733" s="93">
        <f>'II_Inkunabeln+'!AP733</f>
        <v>0</v>
      </c>
      <c r="I733" s="93">
        <f>'II_Inkunabeln+'!AQ733</f>
        <v>0</v>
      </c>
      <c r="J733" s="94"/>
      <c r="K733" s="93">
        <f>'II_Inkunabeln+'!AW733</f>
        <v>0</v>
      </c>
      <c r="L733" s="93">
        <f>'II_Inkunabeln+'!AX733</f>
        <v>0</v>
      </c>
      <c r="AA733" s="93">
        <f>'II_Inkunabeln+'!AY733</f>
        <v>0</v>
      </c>
      <c r="AB733" s="94">
        <f>'II_Inkunabeln+'!BA733</f>
        <v>0</v>
      </c>
      <c r="AC733" s="108"/>
      <c r="AD733" s="81">
        <f>'II_Inkunabeln+'!BJ733</f>
        <v>0</v>
      </c>
    </row>
    <row r="734" spans="1:30" x14ac:dyDescent="0.25">
      <c r="A734" s="63">
        <f>'II_Inkunabeln+'!A734</f>
        <v>708</v>
      </c>
      <c r="B734" s="63" t="str">
        <f>'II_Inkunabeln+'!B734</f>
        <v>L-1489-375567712</v>
      </c>
      <c r="C734" s="63" t="str">
        <f>'II_Inkunabeln+'!C734</f>
        <v>111007414X</v>
      </c>
      <c r="D734" s="84" t="str">
        <f>'II_Inkunabeln+'!D734</f>
        <v>https://portal.dnb.de/opac.htm?method=simpleSearch&amp;cqlMode=true&amp;query=idn%3D111007414X</v>
      </c>
      <c r="E734" s="63" t="str">
        <f>'II_Inkunabeln+'!E734</f>
        <v>II 90,1a - [22] Fragm.</v>
      </c>
      <c r="F734" s="63" t="str">
        <f>'II_Inkunabeln+'!H734</f>
        <v>&gt; 42 cm</v>
      </c>
      <c r="G734" s="93" t="str">
        <f>'II_Inkunabeln+'!AG734</f>
        <v>Pa</v>
      </c>
      <c r="H734" s="93">
        <f>'II_Inkunabeln+'!AP734</f>
        <v>0</v>
      </c>
      <c r="I734" s="93">
        <f>'II_Inkunabeln+'!AQ734</f>
        <v>0</v>
      </c>
      <c r="J734" s="94"/>
      <c r="K734" s="93">
        <f>'II_Inkunabeln+'!AW734</f>
        <v>0</v>
      </c>
      <c r="L734" s="93">
        <f>'II_Inkunabeln+'!AX734</f>
        <v>0</v>
      </c>
      <c r="AA734" s="93">
        <f>'II_Inkunabeln+'!AY734</f>
        <v>0</v>
      </c>
      <c r="AB734" s="94">
        <f>'II_Inkunabeln+'!BA734</f>
        <v>0</v>
      </c>
      <c r="AC734" s="108"/>
      <c r="AD734" s="81">
        <f>'II_Inkunabeln+'!BJ734</f>
        <v>0</v>
      </c>
    </row>
    <row r="735" spans="1:30" x14ac:dyDescent="0.25">
      <c r="A735" s="63">
        <f>'II_Inkunabeln+'!A735</f>
        <v>709</v>
      </c>
      <c r="B735" s="63" t="str">
        <f>'II_Inkunabeln+'!B735</f>
        <v>L-1489-375567720</v>
      </c>
      <c r="C735" s="63" t="str">
        <f>'II_Inkunabeln+'!C735</f>
        <v>111007414X</v>
      </c>
      <c r="D735" s="84" t="str">
        <f>'II_Inkunabeln+'!D735</f>
        <v>https://portal.dnb.de/opac.htm?method=simpleSearch&amp;cqlMode=true&amp;query=idn%3D111007414X</v>
      </c>
      <c r="E735" s="63" t="str">
        <f>'II_Inkunabeln+'!E735</f>
        <v>II 90,1a - [23] Fragm.</v>
      </c>
      <c r="F735" s="63" t="str">
        <f>'II_Inkunabeln+'!H735</f>
        <v>&gt; 42 cm</v>
      </c>
      <c r="G735" s="93" t="str">
        <f>'II_Inkunabeln+'!AG735</f>
        <v>Pa</v>
      </c>
      <c r="H735" s="93">
        <f>'II_Inkunabeln+'!AP735</f>
        <v>0</v>
      </c>
      <c r="I735" s="93">
        <f>'II_Inkunabeln+'!AQ735</f>
        <v>0</v>
      </c>
      <c r="J735" s="94"/>
      <c r="K735" s="93">
        <f>'II_Inkunabeln+'!AW735</f>
        <v>0</v>
      </c>
      <c r="L735" s="93">
        <f>'II_Inkunabeln+'!AX735</f>
        <v>0</v>
      </c>
      <c r="AA735" s="93">
        <f>'II_Inkunabeln+'!AY735</f>
        <v>0</v>
      </c>
      <c r="AB735" s="94">
        <f>'II_Inkunabeln+'!BA735</f>
        <v>0</v>
      </c>
      <c r="AC735" s="108"/>
      <c r="AD735" s="81">
        <f>'II_Inkunabeln+'!BJ735</f>
        <v>0</v>
      </c>
    </row>
    <row r="736" spans="1:30" x14ac:dyDescent="0.25">
      <c r="A736" s="63">
        <f>'II_Inkunabeln+'!A736</f>
        <v>710</v>
      </c>
      <c r="B736" s="63" t="str">
        <f>'II_Inkunabeln+'!B736</f>
        <v>L-1489-375567739</v>
      </c>
      <c r="C736" s="63" t="str">
        <f>'II_Inkunabeln+'!C736</f>
        <v>111007414X</v>
      </c>
      <c r="D736" s="84" t="str">
        <f>'II_Inkunabeln+'!D736</f>
        <v>https://portal.dnb.de/opac.htm?method=simpleSearch&amp;cqlMode=true&amp;query=idn%3D111007414X</v>
      </c>
      <c r="E736" s="63" t="str">
        <f>'II_Inkunabeln+'!E736</f>
        <v>II 90,1a - [24] Fragm.</v>
      </c>
      <c r="F736" s="63" t="str">
        <f>'II_Inkunabeln+'!H736</f>
        <v>&gt; 42 cm</v>
      </c>
      <c r="G736" s="93" t="str">
        <f>'II_Inkunabeln+'!AG736</f>
        <v>Pa</v>
      </c>
      <c r="H736" s="93">
        <f>'II_Inkunabeln+'!AP736</f>
        <v>0</v>
      </c>
      <c r="I736" s="93">
        <f>'II_Inkunabeln+'!AQ736</f>
        <v>0</v>
      </c>
      <c r="J736" s="94"/>
      <c r="K736" s="93">
        <f>'II_Inkunabeln+'!AW736</f>
        <v>0</v>
      </c>
      <c r="L736" s="93">
        <f>'II_Inkunabeln+'!AX736</f>
        <v>0</v>
      </c>
      <c r="AA736" s="93">
        <f>'II_Inkunabeln+'!AY736</f>
        <v>0</v>
      </c>
      <c r="AB736" s="94">
        <f>'II_Inkunabeln+'!BA736</f>
        <v>0</v>
      </c>
      <c r="AC736" s="108"/>
      <c r="AD736" s="81">
        <f>'II_Inkunabeln+'!BJ736</f>
        <v>0</v>
      </c>
    </row>
    <row r="737" spans="1:30" x14ac:dyDescent="0.25">
      <c r="A737" s="63">
        <f>'II_Inkunabeln+'!A737</f>
        <v>0</v>
      </c>
      <c r="B737" s="63">
        <f>'II_Inkunabeln+'!B737</f>
        <v>0</v>
      </c>
      <c r="C737" s="63">
        <f>'II_Inkunabeln+'!C737</f>
        <v>0</v>
      </c>
      <c r="D737" s="84">
        <f>'II_Inkunabeln+'!D737</f>
        <v>0</v>
      </c>
      <c r="E737" s="63" t="str">
        <f>'II_Inkunabeln+'!E737</f>
        <v>II 1,1 a</v>
      </c>
      <c r="F737" s="63">
        <f>'II_Inkunabeln+'!H737</f>
        <v>0</v>
      </c>
      <c r="G737" s="93">
        <f>'II_Inkunabeln+'!AG737</f>
        <v>0</v>
      </c>
      <c r="H737" s="93">
        <f>'II_Inkunabeln+'!AP737</f>
        <v>0</v>
      </c>
      <c r="I737" s="93">
        <f>'II_Inkunabeln+'!AQ737</f>
        <v>0</v>
      </c>
      <c r="K737" s="93">
        <f>'II_Inkunabeln+'!AW737</f>
        <v>0</v>
      </c>
      <c r="L737" s="93">
        <f>'II_Inkunabeln+'!AX737</f>
        <v>0</v>
      </c>
      <c r="AA737" s="93">
        <f>'II_Inkunabeln+'!AY737</f>
        <v>0</v>
      </c>
      <c r="AB737" s="94">
        <f>'II_Inkunabeln+'!BA737</f>
        <v>0</v>
      </c>
      <c r="AC737" s="108"/>
      <c r="AD737" s="81">
        <f>'II_Inkunabeln+'!BJ737</f>
        <v>0</v>
      </c>
    </row>
    <row r="738" spans="1:30" x14ac:dyDescent="0.25">
      <c r="D738" s="109"/>
    </row>
    <row r="739" spans="1:30" x14ac:dyDescent="0.25">
      <c r="D739" s="109"/>
    </row>
    <row r="740" spans="1:30" x14ac:dyDescent="0.25">
      <c r="D740" s="109"/>
    </row>
    <row r="741" spans="1:30" x14ac:dyDescent="0.25">
      <c r="D741" s="109"/>
    </row>
    <row r="742" spans="1:30" x14ac:dyDescent="0.25">
      <c r="D742" s="109"/>
    </row>
    <row r="743" spans="1:30" x14ac:dyDescent="0.25">
      <c r="D743" s="109"/>
    </row>
    <row r="744" spans="1:30" x14ac:dyDescent="0.25">
      <c r="D744" s="109"/>
    </row>
    <row r="745" spans="1:30" x14ac:dyDescent="0.25">
      <c r="D745" s="109"/>
    </row>
  </sheetData>
  <autoFilter ref="A1:AD737"/>
  <conditionalFormatting sqref="A2:AF737">
    <cfRule type="expression" dxfId="0" priority="1">
      <formula>MOD(SUBTOTAL(103,$E$2:$E2),2)=0</formula>
    </cfRule>
  </conditionalFormatting>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'D:\UserData\Thomschkef\Home\myData\Desktop\02_Zustandserfassungslisten_Thomschke\[III_Drucke_1501-1560.xlsm]Legende'!#REF!</xm:f>
          </x14:formula1>
          <xm:sqref>F1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85"/>
  <sheetViews>
    <sheetView topLeftCell="A37" workbookViewId="0">
      <selection activeCell="B43" sqref="B43"/>
    </sheetView>
  </sheetViews>
  <sheetFormatPr baseColWidth="10" defaultColWidth="11" defaultRowHeight="11.5" x14ac:dyDescent="0.25"/>
  <cols>
    <col min="1" max="1" width="16.7265625" style="81" customWidth="1"/>
    <col min="2" max="2" width="23.7265625" style="81" bestFit="1" customWidth="1"/>
    <col min="3" max="16384" width="11" style="81"/>
  </cols>
  <sheetData>
    <row r="1" spans="1:3" ht="33.75" customHeight="1" x14ac:dyDescent="0.25">
      <c r="A1" s="141" t="s">
        <v>1949</v>
      </c>
      <c r="B1" s="142"/>
    </row>
    <row r="2" spans="1:3" ht="23" x14ac:dyDescent="0.25">
      <c r="A2" s="81" t="s">
        <v>1897</v>
      </c>
      <c r="B2" s="127"/>
      <c r="C2" s="81">
        <f>'II_Inkunabeln+'!E751</f>
        <v>736</v>
      </c>
    </row>
    <row r="3" spans="1:3" ht="23" x14ac:dyDescent="0.25">
      <c r="A3" s="81" t="s">
        <v>1898</v>
      </c>
      <c r="B3" s="127"/>
      <c r="C3" s="81">
        <f>'II_Inkunabeln+'!H751</f>
        <v>470</v>
      </c>
    </row>
    <row r="4" spans="1:3" ht="34.5" x14ac:dyDescent="0.25">
      <c r="A4" s="81" t="s">
        <v>1899</v>
      </c>
      <c r="B4" s="127"/>
      <c r="C4" s="81">
        <f>'II_Inkunabeln+'!AU751</f>
        <v>192</v>
      </c>
    </row>
    <row r="5" spans="1:3" ht="23" x14ac:dyDescent="0.25">
      <c r="A5" s="81" t="s">
        <v>1900</v>
      </c>
      <c r="B5" s="127"/>
      <c r="C5" s="81">
        <f>'II_Inkunabeln+'!S751</f>
        <v>6</v>
      </c>
    </row>
    <row r="6" spans="1:3" x14ac:dyDescent="0.25">
      <c r="A6" s="81" t="s">
        <v>39</v>
      </c>
      <c r="B6" s="127" t="s">
        <v>50</v>
      </c>
      <c r="C6" s="81">
        <f>'II_Inkunabeln+'!H739</f>
        <v>154</v>
      </c>
    </row>
    <row r="7" spans="1:3" x14ac:dyDescent="0.25">
      <c r="B7" s="127" t="s">
        <v>51</v>
      </c>
      <c r="C7" s="81">
        <f>'II_Inkunabeln+'!H740</f>
        <v>212</v>
      </c>
    </row>
    <row r="8" spans="1:3" x14ac:dyDescent="0.25">
      <c r="B8" s="127" t="s">
        <v>52</v>
      </c>
      <c r="C8" s="81">
        <f>'II_Inkunabeln+'!H741</f>
        <v>56</v>
      </c>
    </row>
    <row r="9" spans="1:3" x14ac:dyDescent="0.25">
      <c r="B9" s="127" t="s">
        <v>53</v>
      </c>
      <c r="C9" s="81">
        <f>'II_Inkunabeln+'!H742</f>
        <v>48</v>
      </c>
    </row>
    <row r="10" spans="1:3" x14ac:dyDescent="0.25">
      <c r="A10" s="81" t="s">
        <v>1901</v>
      </c>
      <c r="B10" s="127"/>
      <c r="C10" s="81">
        <f>'II_Inkunabeln+'!T751</f>
        <v>0</v>
      </c>
    </row>
    <row r="11" spans="1:3" x14ac:dyDescent="0.25">
      <c r="A11" s="81" t="s">
        <v>1902</v>
      </c>
      <c r="B11" s="127"/>
      <c r="C11" s="81">
        <f>'II_Inkunabeln+'!U751</f>
        <v>0</v>
      </c>
    </row>
    <row r="12" spans="1:3" ht="23" x14ac:dyDescent="0.25">
      <c r="A12" s="81" t="s">
        <v>1903</v>
      </c>
      <c r="B12" s="127"/>
      <c r="C12" s="81">
        <f>'II_Inkunabeln+'!V751</f>
        <v>5</v>
      </c>
    </row>
    <row r="13" spans="1:3" ht="23" x14ac:dyDescent="0.25">
      <c r="A13" s="81" t="s">
        <v>1904</v>
      </c>
      <c r="B13" s="127"/>
      <c r="C13" s="81">
        <f>'II_Inkunabeln+'!W751</f>
        <v>0</v>
      </c>
    </row>
    <row r="14" spans="1:3" x14ac:dyDescent="0.25">
      <c r="A14" s="81" t="s">
        <v>1715</v>
      </c>
      <c r="B14" s="128" t="s">
        <v>17</v>
      </c>
      <c r="C14" s="81">
        <f>'II_Inkunabeln+'!X739</f>
        <v>0</v>
      </c>
    </row>
    <row r="15" spans="1:3" x14ac:dyDescent="0.25">
      <c r="B15" s="128" t="s">
        <v>44</v>
      </c>
      <c r="C15" s="81">
        <f>'II_Inkunabeln+'!X740</f>
        <v>2</v>
      </c>
    </row>
    <row r="16" spans="1:3" x14ac:dyDescent="0.25">
      <c r="B16" s="128" t="s">
        <v>5</v>
      </c>
      <c r="C16" s="81">
        <f>'II_Inkunabeln+'!X741</f>
        <v>9</v>
      </c>
    </row>
    <row r="17" spans="1:3" x14ac:dyDescent="0.25">
      <c r="B17" s="129" t="s">
        <v>16</v>
      </c>
      <c r="C17" s="81">
        <f>'II_Inkunabeln+'!X742</f>
        <v>0</v>
      </c>
    </row>
    <row r="18" spans="1:3" x14ac:dyDescent="0.25">
      <c r="B18" s="130" t="s">
        <v>1812</v>
      </c>
      <c r="C18" s="81">
        <f>'II_Inkunabeln+'!X743</f>
        <v>48</v>
      </c>
    </row>
    <row r="19" spans="1:3" x14ac:dyDescent="0.25">
      <c r="B19" s="128" t="s">
        <v>4</v>
      </c>
      <c r="C19" s="81">
        <f>'II_Inkunabeln+'!X744</f>
        <v>37</v>
      </c>
    </row>
    <row r="20" spans="1:3" x14ac:dyDescent="0.25">
      <c r="B20" s="128" t="s">
        <v>3</v>
      </c>
      <c r="C20" s="81">
        <f>'II_Inkunabeln+'!X745</f>
        <v>56</v>
      </c>
    </row>
    <row r="21" spans="1:3" x14ac:dyDescent="0.25">
      <c r="B21" s="129" t="s">
        <v>45</v>
      </c>
      <c r="C21" s="131">
        <f>'II_Inkunabeln+'!X746</f>
        <v>15</v>
      </c>
    </row>
    <row r="22" spans="1:3" x14ac:dyDescent="0.25">
      <c r="B22" s="129" t="s">
        <v>46</v>
      </c>
      <c r="C22" s="131">
        <f>'II_Inkunabeln+'!X747</f>
        <v>4</v>
      </c>
    </row>
    <row r="23" spans="1:3" x14ac:dyDescent="0.25">
      <c r="B23" s="129" t="s">
        <v>1889</v>
      </c>
      <c r="C23" s="131">
        <f>'II_Inkunabeln+'!X748</f>
        <v>0</v>
      </c>
    </row>
    <row r="24" spans="1:3" x14ac:dyDescent="0.25">
      <c r="B24" s="129" t="s">
        <v>1809</v>
      </c>
      <c r="C24" s="81">
        <f>'II_Inkunabeln+'!X749</f>
        <v>0</v>
      </c>
    </row>
    <row r="25" spans="1:3" x14ac:dyDescent="0.25">
      <c r="B25" s="130" t="s">
        <v>1807</v>
      </c>
      <c r="C25" s="81">
        <f>'II_Inkunabeln+'!X750</f>
        <v>0</v>
      </c>
    </row>
    <row r="26" spans="1:3" x14ac:dyDescent="0.25">
      <c r="B26" s="130" t="s">
        <v>1905</v>
      </c>
    </row>
    <row r="27" spans="1:3" ht="34.5" x14ac:dyDescent="0.25">
      <c r="A27" s="81" t="s">
        <v>1906</v>
      </c>
      <c r="B27" s="127"/>
      <c r="C27" s="81">
        <f>'II_Inkunabeln+'!Y751</f>
        <v>126</v>
      </c>
    </row>
    <row r="28" spans="1:3" ht="23" x14ac:dyDescent="0.25">
      <c r="A28" s="81" t="s">
        <v>1907</v>
      </c>
      <c r="B28" s="127"/>
      <c r="C28" s="81">
        <f>'II_Inkunabeln+'!Z751</f>
        <v>36</v>
      </c>
    </row>
    <row r="29" spans="1:3" ht="34.5" x14ac:dyDescent="0.25">
      <c r="A29" s="132" t="s">
        <v>1908</v>
      </c>
      <c r="B29" s="127"/>
      <c r="C29" s="81">
        <f>'II_Inkunabeln+'!AA751</f>
        <v>79</v>
      </c>
    </row>
    <row r="30" spans="1:3" ht="23" x14ac:dyDescent="0.25">
      <c r="A30" s="132" t="s">
        <v>1909</v>
      </c>
      <c r="B30" s="127"/>
      <c r="C30" s="81">
        <f>'II_Inkunabeln+'!AA752</f>
        <v>92</v>
      </c>
    </row>
    <row r="31" spans="1:3" ht="23" x14ac:dyDescent="0.25">
      <c r="A31" s="81" t="s">
        <v>1910</v>
      </c>
      <c r="B31" s="127"/>
      <c r="C31" s="81">
        <f>'II_Inkunabeln+'!AB751</f>
        <v>1</v>
      </c>
    </row>
    <row r="32" spans="1:3" ht="34.5" x14ac:dyDescent="0.25">
      <c r="A32" s="81" t="s">
        <v>1911</v>
      </c>
      <c r="B32" s="127"/>
      <c r="C32" s="81">
        <f>'II_Inkunabeln+'!AC751</f>
        <v>12</v>
      </c>
    </row>
    <row r="33" spans="1:3" ht="23" x14ac:dyDescent="0.25">
      <c r="A33" s="81" t="s">
        <v>1912</v>
      </c>
      <c r="B33" s="127"/>
      <c r="C33" s="81">
        <f>'II_Inkunabeln+'!AD751</f>
        <v>0</v>
      </c>
    </row>
    <row r="34" spans="1:3" ht="23" x14ac:dyDescent="0.25">
      <c r="A34" s="81" t="s">
        <v>1913</v>
      </c>
      <c r="B34" s="127"/>
      <c r="C34" s="81">
        <f>'II_Inkunabeln+'!AE751</f>
        <v>1</v>
      </c>
    </row>
    <row r="35" spans="1:3" x14ac:dyDescent="0.25">
      <c r="A35" s="81" t="s">
        <v>1914</v>
      </c>
      <c r="B35" s="127"/>
      <c r="C35" s="81">
        <f>'II_Inkunabeln+'!AF751</f>
        <v>0</v>
      </c>
    </row>
    <row r="36" spans="1:3" x14ac:dyDescent="0.25">
      <c r="A36" s="81" t="s">
        <v>1915</v>
      </c>
      <c r="B36" s="127" t="s">
        <v>1916</v>
      </c>
      <c r="C36" s="81">
        <f>'II_Inkunabeln+'!AG739</f>
        <v>191</v>
      </c>
    </row>
    <row r="37" spans="1:3" x14ac:dyDescent="0.25">
      <c r="B37" s="127" t="s">
        <v>1917</v>
      </c>
      <c r="C37" s="131">
        <f>'II_Inkunabeln+'!AG740</f>
        <v>2</v>
      </c>
    </row>
    <row r="38" spans="1:3" ht="23" x14ac:dyDescent="0.25">
      <c r="A38" s="81" t="s">
        <v>1950</v>
      </c>
      <c r="B38" s="127"/>
      <c r="C38" s="81">
        <f>'II_Inkunabeln+'!AH751</f>
        <v>16</v>
      </c>
    </row>
    <row r="39" spans="1:3" x14ac:dyDescent="0.25">
      <c r="A39" s="81" t="s">
        <v>1918</v>
      </c>
      <c r="B39" s="127"/>
      <c r="C39" s="81">
        <f>'II_Inkunabeln+'!AI751</f>
        <v>4</v>
      </c>
    </row>
    <row r="40" spans="1:3" x14ac:dyDescent="0.25">
      <c r="A40" s="81" t="s">
        <v>1717</v>
      </c>
      <c r="B40" s="127"/>
      <c r="C40" s="81">
        <f>'II_Inkunabeln+'!AJ751</f>
        <v>0</v>
      </c>
    </row>
    <row r="41" spans="1:3" ht="23" x14ac:dyDescent="0.25">
      <c r="A41" s="81" t="s">
        <v>1919</v>
      </c>
      <c r="B41" s="127"/>
      <c r="C41" s="81">
        <f>'II_Inkunabeln+'!AK751</f>
        <v>10</v>
      </c>
    </row>
    <row r="42" spans="1:3" ht="23" x14ac:dyDescent="0.25">
      <c r="A42" s="81" t="s">
        <v>1920</v>
      </c>
      <c r="B42" s="127"/>
      <c r="C42" s="81">
        <f>'II_Inkunabeln+'!AL751</f>
        <v>19</v>
      </c>
    </row>
    <row r="43" spans="1:3" ht="23" x14ac:dyDescent="0.25">
      <c r="A43" s="81" t="s">
        <v>1921</v>
      </c>
      <c r="B43" s="127"/>
      <c r="C43" s="81">
        <f>'II_Inkunabeln+'!AM751</f>
        <v>0</v>
      </c>
    </row>
    <row r="44" spans="1:3" ht="23" x14ac:dyDescent="0.25">
      <c r="A44" s="81" t="s">
        <v>1922</v>
      </c>
      <c r="B44" s="127"/>
      <c r="C44" s="81">
        <f>'II_Inkunabeln+'!AN751</f>
        <v>0</v>
      </c>
    </row>
    <row r="45" spans="1:3" ht="23" x14ac:dyDescent="0.25">
      <c r="A45" s="81" t="s">
        <v>1923</v>
      </c>
      <c r="B45" s="127"/>
    </row>
    <row r="46" spans="1:3" x14ac:dyDescent="0.25">
      <c r="A46" s="81" t="s">
        <v>1924</v>
      </c>
      <c r="B46" s="127"/>
      <c r="C46" s="81">
        <f>'II_Inkunabeln+'!AP751</f>
        <v>0</v>
      </c>
    </row>
    <row r="47" spans="1:3" ht="46" x14ac:dyDescent="0.25">
      <c r="A47" s="81" t="s">
        <v>1925</v>
      </c>
      <c r="B47" s="127"/>
      <c r="C47" s="81">
        <f>'II_Inkunabeln+'!AQ751</f>
        <v>99</v>
      </c>
    </row>
    <row r="48" spans="1:3" ht="23" x14ac:dyDescent="0.25">
      <c r="A48" s="81" t="s">
        <v>1926</v>
      </c>
      <c r="B48" s="127"/>
      <c r="C48" s="81">
        <f>'II_Inkunabeln+'!AR751</f>
        <v>102</v>
      </c>
    </row>
    <row r="49" spans="1:3" ht="34.5" x14ac:dyDescent="0.25">
      <c r="A49" s="81" t="s">
        <v>1927</v>
      </c>
      <c r="B49" s="127"/>
      <c r="C49" s="81">
        <f>'II_Inkunabeln+'!AS751</f>
        <v>19</v>
      </c>
    </row>
    <row r="50" spans="1:3" ht="34.5" x14ac:dyDescent="0.25">
      <c r="A50" s="81" t="s">
        <v>1928</v>
      </c>
      <c r="B50" s="127"/>
    </row>
    <row r="51" spans="1:3" ht="23" x14ac:dyDescent="0.25">
      <c r="A51" s="81" t="s">
        <v>1929</v>
      </c>
      <c r="B51" s="127">
        <v>0</v>
      </c>
      <c r="C51" s="81">
        <f>'II_Inkunabeln+'!AU739</f>
        <v>0</v>
      </c>
    </row>
    <row r="52" spans="1:3" x14ac:dyDescent="0.25">
      <c r="B52" s="127">
        <v>45</v>
      </c>
      <c r="C52" s="81">
        <f>'II_Inkunabeln+'!AU740</f>
        <v>8</v>
      </c>
    </row>
    <row r="53" spans="1:3" x14ac:dyDescent="0.25">
      <c r="B53" s="127" t="s">
        <v>1763</v>
      </c>
      <c r="C53" s="81">
        <f>'II_Inkunabeln+'!AU741</f>
        <v>1</v>
      </c>
    </row>
    <row r="54" spans="1:3" x14ac:dyDescent="0.25">
      <c r="B54" s="127">
        <v>60</v>
      </c>
      <c r="C54" s="81">
        <f>'II_Inkunabeln+'!AU742</f>
        <v>33</v>
      </c>
    </row>
    <row r="55" spans="1:3" x14ac:dyDescent="0.25">
      <c r="B55" s="127" t="s">
        <v>1731</v>
      </c>
      <c r="C55" s="81">
        <f>'II_Inkunabeln+'!AU743</f>
        <v>6</v>
      </c>
    </row>
    <row r="56" spans="1:3" x14ac:dyDescent="0.25">
      <c r="B56" s="127">
        <v>80</v>
      </c>
      <c r="C56" s="81">
        <f>'II_Inkunabeln+'!AU744</f>
        <v>4</v>
      </c>
    </row>
    <row r="57" spans="1:3" x14ac:dyDescent="0.25">
      <c r="B57" s="127" t="s">
        <v>1930</v>
      </c>
      <c r="C57" s="81">
        <f>'II_Inkunabeln+'!AU745</f>
        <v>0</v>
      </c>
    </row>
    <row r="58" spans="1:3" x14ac:dyDescent="0.25">
      <c r="B58" s="127">
        <v>110</v>
      </c>
      <c r="C58" s="81">
        <f>'II_Inkunabeln+'!AU746</f>
        <v>94</v>
      </c>
    </row>
    <row r="59" spans="1:3" x14ac:dyDescent="0.25">
      <c r="B59" s="127" t="s">
        <v>1726</v>
      </c>
      <c r="C59" s="81">
        <f>'II_Inkunabeln+'!AU747</f>
        <v>8</v>
      </c>
    </row>
    <row r="60" spans="1:3" x14ac:dyDescent="0.25">
      <c r="B60" s="127" t="s">
        <v>1891</v>
      </c>
      <c r="C60" s="81">
        <f>'II_Inkunabeln+'!AU748</f>
        <v>1</v>
      </c>
    </row>
    <row r="61" spans="1:3" x14ac:dyDescent="0.25">
      <c r="B61" s="127">
        <v>180</v>
      </c>
      <c r="C61" s="81">
        <f>'II_Inkunabeln+'!AU749</f>
        <v>34</v>
      </c>
    </row>
    <row r="62" spans="1:3" x14ac:dyDescent="0.25">
      <c r="B62" s="127" t="s">
        <v>1748</v>
      </c>
      <c r="C62" s="81">
        <f>'II_Inkunabeln+'!AU750</f>
        <v>3</v>
      </c>
    </row>
    <row r="63" spans="1:3" ht="23" x14ac:dyDescent="0.25">
      <c r="A63" s="81" t="s">
        <v>1931</v>
      </c>
      <c r="B63" s="127"/>
      <c r="C63" s="81">
        <f>'II_Inkunabeln+'!AV751</f>
        <v>4</v>
      </c>
    </row>
    <row r="64" spans="1:3" ht="34.5" x14ac:dyDescent="0.25">
      <c r="A64" s="81" t="s">
        <v>1932</v>
      </c>
      <c r="B64" s="127"/>
      <c r="C64" s="81">
        <f>'II_Inkunabeln+'!AW751</f>
        <v>1</v>
      </c>
    </row>
    <row r="65" spans="1:3" x14ac:dyDescent="0.25">
      <c r="A65" s="81" t="s">
        <v>1933</v>
      </c>
      <c r="B65" s="127"/>
      <c r="C65" s="81">
        <f>'II_Inkunabeln+'!AX751</f>
        <v>0</v>
      </c>
    </row>
    <row r="66" spans="1:3" ht="23" x14ac:dyDescent="0.25">
      <c r="A66" s="81" t="s">
        <v>1934</v>
      </c>
      <c r="B66" s="127"/>
      <c r="C66" s="81">
        <f>'II_Inkunabeln+'!AY751</f>
        <v>2</v>
      </c>
    </row>
    <row r="67" spans="1:3" ht="34.5" x14ac:dyDescent="0.25">
      <c r="A67" s="81" t="s">
        <v>1896</v>
      </c>
      <c r="B67" s="127"/>
      <c r="C67" s="81">
        <f>'II_Inkunabeln+'!AZ751</f>
        <v>2</v>
      </c>
    </row>
    <row r="68" spans="1:3" ht="23" x14ac:dyDescent="0.25">
      <c r="A68" s="81" t="s">
        <v>1935</v>
      </c>
      <c r="B68" s="127" t="s">
        <v>1936</v>
      </c>
      <c r="C68" s="81">
        <f>'II_Inkunabeln+'!BA751</f>
        <v>51</v>
      </c>
    </row>
    <row r="69" spans="1:3" x14ac:dyDescent="0.25">
      <c r="B69" s="127" t="s">
        <v>1937</v>
      </c>
      <c r="C69" s="81">
        <f>'II_Inkunabeln+'!BA740</f>
        <v>48</v>
      </c>
    </row>
    <row r="70" spans="1:3" x14ac:dyDescent="0.25">
      <c r="B70" s="127" t="s">
        <v>1938</v>
      </c>
      <c r="C70" s="81">
        <f>'II_Inkunabeln+'!BA741</f>
        <v>3</v>
      </c>
    </row>
    <row r="71" spans="1:3" x14ac:dyDescent="0.25">
      <c r="B71" s="127" t="s">
        <v>1939</v>
      </c>
      <c r="C71" s="81">
        <f>'II_Inkunabeln+'!BA742</f>
        <v>0</v>
      </c>
    </row>
    <row r="72" spans="1:3" x14ac:dyDescent="0.25">
      <c r="B72" s="127" t="s">
        <v>1940</v>
      </c>
    </row>
    <row r="73" spans="1:3" ht="34.5" x14ac:dyDescent="0.25">
      <c r="A73" s="81" t="s">
        <v>1941</v>
      </c>
      <c r="B73" s="127"/>
      <c r="C73" s="133">
        <f>'II_Inkunabeln+'!BB751</f>
        <v>170.5</v>
      </c>
    </row>
    <row r="74" spans="1:3" ht="23" x14ac:dyDescent="0.25">
      <c r="A74" s="81" t="s">
        <v>1942</v>
      </c>
      <c r="B74" s="127"/>
      <c r="C74" s="81">
        <f>'II_Inkunabeln+'!BC751</f>
        <v>0</v>
      </c>
    </row>
    <row r="75" spans="1:3" x14ac:dyDescent="0.25">
      <c r="A75" s="81" t="s">
        <v>35</v>
      </c>
      <c r="B75" s="127"/>
      <c r="C75" s="81">
        <f>'II_Inkunabeln+'!BD751</f>
        <v>87</v>
      </c>
    </row>
    <row r="76" spans="1:3" x14ac:dyDescent="0.25">
      <c r="A76" s="81" t="s">
        <v>29</v>
      </c>
      <c r="B76" s="127"/>
      <c r="C76" s="81">
        <f>'II_Inkunabeln+'!BE751</f>
        <v>1</v>
      </c>
    </row>
    <row r="77" spans="1:3" x14ac:dyDescent="0.25">
      <c r="A77" s="81" t="s">
        <v>34</v>
      </c>
      <c r="B77" s="127"/>
      <c r="C77" s="81">
        <f>'II_Inkunabeln+'!BF751</f>
        <v>5</v>
      </c>
    </row>
    <row r="78" spans="1:3" x14ac:dyDescent="0.25">
      <c r="A78" s="81" t="s">
        <v>1719</v>
      </c>
      <c r="B78" s="127"/>
      <c r="C78" s="81">
        <f>'II_Inkunabeln+'!BG751</f>
        <v>6</v>
      </c>
    </row>
    <row r="79" spans="1:3" x14ac:dyDescent="0.25">
      <c r="A79" s="81" t="s">
        <v>1943</v>
      </c>
      <c r="B79" s="127"/>
      <c r="C79" s="81">
        <f>'II_Inkunabeln+'!BH751</f>
        <v>0</v>
      </c>
    </row>
    <row r="80" spans="1:3" x14ac:dyDescent="0.25">
      <c r="A80" s="81" t="s">
        <v>1720</v>
      </c>
      <c r="B80" s="127"/>
      <c r="C80" s="81">
        <f>'II_Inkunabeln+'!BI751</f>
        <v>1</v>
      </c>
    </row>
    <row r="81" spans="1:3" ht="23" x14ac:dyDescent="0.25">
      <c r="A81" s="81" t="s">
        <v>1857</v>
      </c>
      <c r="B81" s="127"/>
      <c r="C81" s="81">
        <f>'II_Inkunabeln+'!BJ751</f>
        <v>27</v>
      </c>
    </row>
    <row r="82" spans="1:3" ht="23" x14ac:dyDescent="0.25">
      <c r="A82" s="81" t="s">
        <v>1895</v>
      </c>
      <c r="B82" s="127" t="s">
        <v>1936</v>
      </c>
      <c r="C82" s="81">
        <f>'II_Inkunabeln+'!BK753</f>
        <v>14</v>
      </c>
    </row>
    <row r="83" spans="1:3" x14ac:dyDescent="0.25">
      <c r="B83" s="127" t="s">
        <v>1944</v>
      </c>
      <c r="C83" s="81">
        <f>'II_Inkunabeln+'!BK751</f>
        <v>1</v>
      </c>
    </row>
    <row r="84" spans="1:3" x14ac:dyDescent="0.25">
      <c r="B84" s="127" t="s">
        <v>1945</v>
      </c>
      <c r="C84" s="81">
        <f>'II_Inkunabeln+'!BK752</f>
        <v>13</v>
      </c>
    </row>
    <row r="85" spans="1:3" ht="23" x14ac:dyDescent="0.25">
      <c r="A85" s="81" t="s">
        <v>1946</v>
      </c>
      <c r="B85" s="127"/>
    </row>
  </sheetData>
  <mergeCells count="1">
    <mergeCell ref="A1:B1"/>
  </mergeCells>
  <pageMargins left="0.7" right="0.7" top="0.78740157499999996" bottom="0.78740157499999996"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F73"/>
  <sheetViews>
    <sheetView topLeftCell="A13" zoomScaleNormal="100" workbookViewId="0">
      <selection activeCell="D28" sqref="D28"/>
    </sheetView>
  </sheetViews>
  <sheetFormatPr baseColWidth="10" defaultRowHeight="11.5" x14ac:dyDescent="0.25"/>
  <cols>
    <col min="2" max="2" width="62.26953125" customWidth="1"/>
    <col min="3" max="3" width="44.6328125" customWidth="1"/>
    <col min="4" max="4" width="34.36328125" customWidth="1"/>
    <col min="6" max="6" width="36.26953125" customWidth="1"/>
  </cols>
  <sheetData>
    <row r="1" spans="1:1" ht="13.5" x14ac:dyDescent="0.25">
      <c r="A1" s="1" t="s">
        <v>24</v>
      </c>
    </row>
    <row r="6" spans="1:1" x14ac:dyDescent="0.25">
      <c r="A6" t="s">
        <v>26</v>
      </c>
    </row>
    <row r="7" spans="1:1" x14ac:dyDescent="0.25">
      <c r="A7" t="s">
        <v>25</v>
      </c>
    </row>
    <row r="9" spans="1:1" x14ac:dyDescent="0.25">
      <c r="A9" s="2" t="s">
        <v>27</v>
      </c>
    </row>
    <row r="13" spans="1:1" x14ac:dyDescent="0.25">
      <c r="A13" t="s">
        <v>18</v>
      </c>
    </row>
    <row r="14" spans="1:1" x14ac:dyDescent="0.25">
      <c r="A14" t="s">
        <v>14</v>
      </c>
    </row>
    <row r="15" spans="1:1" x14ac:dyDescent="0.25">
      <c r="A15" t="s">
        <v>15</v>
      </c>
    </row>
    <row r="18" spans="1:6" x14ac:dyDescent="0.25">
      <c r="A18" s="6" t="s">
        <v>0</v>
      </c>
      <c r="B18" s="6"/>
    </row>
    <row r="19" spans="1:6" x14ac:dyDescent="0.25">
      <c r="A19" s="46" t="s">
        <v>1</v>
      </c>
      <c r="B19" s="46" t="s">
        <v>2</v>
      </c>
      <c r="C19" s="60" t="s">
        <v>58</v>
      </c>
      <c r="D19" s="46" t="s">
        <v>28</v>
      </c>
      <c r="E19" s="46" t="s">
        <v>39</v>
      </c>
      <c r="F19" s="46" t="s">
        <v>54</v>
      </c>
    </row>
    <row r="20" spans="1:6" x14ac:dyDescent="0.25">
      <c r="A20" s="49"/>
      <c r="B20" s="49" t="s">
        <v>17</v>
      </c>
      <c r="C20" s="5" t="s">
        <v>81</v>
      </c>
      <c r="D20" s="5" t="s">
        <v>29</v>
      </c>
      <c r="E20" s="7" t="s">
        <v>50</v>
      </c>
      <c r="F20" s="7" t="s">
        <v>55</v>
      </c>
    </row>
    <row r="21" spans="1:6" x14ac:dyDescent="0.25">
      <c r="A21" s="49"/>
      <c r="B21" s="49" t="s">
        <v>44</v>
      </c>
      <c r="C21" s="5" t="s">
        <v>94</v>
      </c>
      <c r="D21" s="5" t="s">
        <v>30</v>
      </c>
      <c r="E21" s="7" t="s">
        <v>51</v>
      </c>
      <c r="F21" s="7" t="s">
        <v>90</v>
      </c>
    </row>
    <row r="22" spans="1:6" x14ac:dyDescent="0.25">
      <c r="A22" s="49"/>
      <c r="B22" s="49" t="s">
        <v>3</v>
      </c>
      <c r="C22" s="5" t="s">
        <v>84</v>
      </c>
      <c r="D22" s="5" t="s">
        <v>33</v>
      </c>
      <c r="E22" s="7" t="s">
        <v>52</v>
      </c>
      <c r="F22" s="7" t="s">
        <v>86</v>
      </c>
    </row>
    <row r="23" spans="1:6" x14ac:dyDescent="0.25">
      <c r="A23" s="49"/>
      <c r="B23" s="49" t="s">
        <v>4</v>
      </c>
      <c r="C23" s="66" t="s">
        <v>59</v>
      </c>
      <c r="D23" s="5" t="s">
        <v>31</v>
      </c>
      <c r="E23" s="7" t="s">
        <v>53</v>
      </c>
    </row>
    <row r="24" spans="1:6" x14ac:dyDescent="0.25">
      <c r="A24" s="49"/>
      <c r="B24" s="49" t="s">
        <v>5</v>
      </c>
      <c r="C24" s="7" t="s">
        <v>69</v>
      </c>
      <c r="D24" s="5" t="s">
        <v>32</v>
      </c>
    </row>
    <row r="25" spans="1:6" x14ac:dyDescent="0.25">
      <c r="A25" s="50"/>
      <c r="B25" s="50" t="s">
        <v>16</v>
      </c>
      <c r="C25" s="5" t="s">
        <v>92</v>
      </c>
      <c r="D25" s="5" t="s">
        <v>34</v>
      </c>
    </row>
    <row r="26" spans="1:6" x14ac:dyDescent="0.25">
      <c r="A26" s="50"/>
      <c r="B26" s="50" t="s">
        <v>46</v>
      </c>
      <c r="C26" s="5" t="s">
        <v>96</v>
      </c>
      <c r="D26" s="5" t="s">
        <v>35</v>
      </c>
    </row>
    <row r="27" spans="1:6" x14ac:dyDescent="0.25">
      <c r="A27" s="50"/>
      <c r="B27" s="50" t="s">
        <v>45</v>
      </c>
      <c r="C27" s="67" t="s">
        <v>63</v>
      </c>
      <c r="D27" s="5" t="s">
        <v>106</v>
      </c>
    </row>
    <row r="28" spans="1:6" x14ac:dyDescent="0.25">
      <c r="A28" s="50"/>
      <c r="B28" s="50" t="s">
        <v>40</v>
      </c>
      <c r="C28" s="5" t="s">
        <v>64</v>
      </c>
      <c r="D28" s="61" t="s">
        <v>97</v>
      </c>
    </row>
    <row r="29" spans="1:6" x14ac:dyDescent="0.25">
      <c r="A29" s="59"/>
      <c r="B29" s="59" t="s">
        <v>41</v>
      </c>
      <c r="C29" s="67" t="s">
        <v>61</v>
      </c>
      <c r="D29" s="8"/>
    </row>
    <row r="30" spans="1:6" s="5" customFormat="1" x14ac:dyDescent="0.25">
      <c r="A30" s="50"/>
      <c r="B30" s="50" t="s">
        <v>47</v>
      </c>
      <c r="C30" s="5" t="s">
        <v>62</v>
      </c>
    </row>
    <row r="31" spans="1:6" s="8" customFormat="1" x14ac:dyDescent="0.25">
      <c r="A31" s="50"/>
      <c r="B31" s="50" t="s">
        <v>48</v>
      </c>
      <c r="C31" s="5" t="s">
        <v>83</v>
      </c>
    </row>
    <row r="32" spans="1:6" s="8" customFormat="1" x14ac:dyDescent="0.25">
      <c r="A32" s="50"/>
      <c r="B32" s="50" t="s">
        <v>102</v>
      </c>
      <c r="C32" s="5" t="s">
        <v>60</v>
      </c>
    </row>
    <row r="33" spans="1:4" x14ac:dyDescent="0.25">
      <c r="A33" s="6"/>
      <c r="B33" s="6"/>
      <c r="C33" s="5" t="s">
        <v>105</v>
      </c>
    </row>
    <row r="34" spans="1:4" x14ac:dyDescent="0.25">
      <c r="A34" s="6"/>
      <c r="B34" s="51"/>
      <c r="C34" s="67" t="s">
        <v>82</v>
      </c>
    </row>
    <row r="35" spans="1:4" x14ac:dyDescent="0.25">
      <c r="A35" s="6"/>
      <c r="B35" s="6"/>
      <c r="C35" s="5" t="s">
        <v>95</v>
      </c>
    </row>
    <row r="36" spans="1:4" x14ac:dyDescent="0.25">
      <c r="A36" s="51" t="s">
        <v>6</v>
      </c>
      <c r="B36" s="6"/>
      <c r="C36" s="5" t="s">
        <v>91</v>
      </c>
    </row>
    <row r="37" spans="1:4" x14ac:dyDescent="0.25">
      <c r="A37" s="46" t="s">
        <v>80</v>
      </c>
      <c r="B37" s="46" t="s">
        <v>7</v>
      </c>
      <c r="C37" s="5" t="s">
        <v>85</v>
      </c>
    </row>
    <row r="38" spans="1:4" x14ac:dyDescent="0.25">
      <c r="A38" s="62"/>
      <c r="B38" s="62" t="s">
        <v>70</v>
      </c>
      <c r="C38" s="46" t="s">
        <v>66</v>
      </c>
    </row>
    <row r="39" spans="1:4" x14ac:dyDescent="0.25">
      <c r="A39" s="49"/>
      <c r="B39" s="49" t="s">
        <v>71</v>
      </c>
      <c r="C39" s="5" t="s">
        <v>67</v>
      </c>
    </row>
    <row r="40" spans="1:4" x14ac:dyDescent="0.25">
      <c r="A40" s="49"/>
      <c r="B40" s="49" t="s">
        <v>8</v>
      </c>
      <c r="C40" s="5" t="s">
        <v>68</v>
      </c>
    </row>
    <row r="41" spans="1:4" x14ac:dyDescent="0.25">
      <c r="A41" s="49"/>
      <c r="B41" s="49" t="s">
        <v>72</v>
      </c>
      <c r="C41" s="5"/>
    </row>
    <row r="42" spans="1:4" x14ac:dyDescent="0.25">
      <c r="A42" s="49"/>
      <c r="B42" s="49" t="s">
        <v>73</v>
      </c>
      <c r="C42" s="5"/>
    </row>
    <row r="43" spans="1:4" x14ac:dyDescent="0.25">
      <c r="A43" s="49"/>
      <c r="B43" s="49" t="s">
        <v>74</v>
      </c>
      <c r="C43" s="8"/>
    </row>
    <row r="44" spans="1:4" x14ac:dyDescent="0.25">
      <c r="A44" s="49"/>
      <c r="B44" s="49" t="s">
        <v>75</v>
      </c>
    </row>
    <row r="45" spans="1:4" x14ac:dyDescent="0.25">
      <c r="A45" s="49"/>
      <c r="B45" s="49" t="s">
        <v>76</v>
      </c>
    </row>
    <row r="46" spans="1:4" x14ac:dyDescent="0.25">
      <c r="A46" s="50"/>
      <c r="B46" s="50" t="s">
        <v>43</v>
      </c>
      <c r="D46" s="5" t="s">
        <v>36</v>
      </c>
    </row>
    <row r="47" spans="1:4" x14ac:dyDescent="0.25">
      <c r="A47" s="50"/>
      <c r="B47" s="50"/>
      <c r="D47" s="5" t="s">
        <v>101</v>
      </c>
    </row>
    <row r="48" spans="1:4" x14ac:dyDescent="0.25">
      <c r="A48" s="50"/>
      <c r="B48" s="50" t="s">
        <v>77</v>
      </c>
      <c r="D48" s="5" t="s">
        <v>37</v>
      </c>
    </row>
    <row r="49" spans="1:6" x14ac:dyDescent="0.25">
      <c r="A49" s="50"/>
      <c r="B49" s="50" t="s">
        <v>78</v>
      </c>
      <c r="D49" t="s">
        <v>93</v>
      </c>
    </row>
    <row r="50" spans="1:6" x14ac:dyDescent="0.25">
      <c r="A50" s="50"/>
      <c r="B50" s="50" t="s">
        <v>79</v>
      </c>
      <c r="D50" t="s">
        <v>89</v>
      </c>
    </row>
    <row r="51" spans="1:6" x14ac:dyDescent="0.25">
      <c r="A51" s="6"/>
      <c r="B51" s="6"/>
    </row>
    <row r="52" spans="1:6" x14ac:dyDescent="0.25">
      <c r="A52" s="51" t="s">
        <v>19</v>
      </c>
      <c r="B52" s="6"/>
    </row>
    <row r="53" spans="1:6" x14ac:dyDescent="0.25">
      <c r="A53" s="46" t="s">
        <v>20</v>
      </c>
      <c r="B53" s="46" t="s">
        <v>21</v>
      </c>
    </row>
    <row r="54" spans="1:6" ht="13.5" x14ac:dyDescent="0.25">
      <c r="A54" s="52">
        <v>0</v>
      </c>
      <c r="B54" s="53" t="s">
        <v>22</v>
      </c>
      <c r="D54" s="47"/>
      <c r="E54" s="47"/>
      <c r="F54" s="47"/>
    </row>
    <row r="55" spans="1:6" ht="12.75" customHeight="1" x14ac:dyDescent="0.25">
      <c r="A55" s="52">
        <v>1</v>
      </c>
      <c r="B55" s="53" t="s">
        <v>23</v>
      </c>
      <c r="D55" s="47"/>
      <c r="E55" s="47"/>
      <c r="F55" s="47"/>
    </row>
    <row r="56" spans="1:6" ht="27.75" customHeight="1" x14ac:dyDescent="0.25">
      <c r="A56" s="52">
        <v>2</v>
      </c>
      <c r="B56" s="53" t="s">
        <v>56</v>
      </c>
      <c r="D56" s="47"/>
      <c r="E56" s="47"/>
      <c r="F56" s="47"/>
    </row>
    <row r="57" spans="1:6" ht="24.75" customHeight="1" x14ac:dyDescent="0.25">
      <c r="A57" s="54">
        <v>3</v>
      </c>
      <c r="B57" s="53" t="s">
        <v>57</v>
      </c>
      <c r="D57" s="47"/>
      <c r="E57" s="47"/>
      <c r="F57" s="47"/>
    </row>
    <row r="60" spans="1:6" x14ac:dyDescent="0.25">
      <c r="A60" s="55"/>
      <c r="B60" s="56"/>
    </row>
    <row r="61" spans="1:6" x14ac:dyDescent="0.25">
      <c r="A61" s="5"/>
      <c r="B61" s="57"/>
    </row>
    <row r="62" spans="1:6" x14ac:dyDescent="0.25">
      <c r="A62" s="5"/>
      <c r="B62" s="57"/>
    </row>
    <row r="63" spans="1:6" ht="13.5" x14ac:dyDescent="0.25">
      <c r="A63" s="5"/>
      <c r="B63" s="5"/>
      <c r="C63" s="48"/>
    </row>
    <row r="64" spans="1:6" ht="13.5" x14ac:dyDescent="0.25">
      <c r="A64" s="7"/>
      <c r="B64" s="57"/>
      <c r="C64" s="48"/>
    </row>
    <row r="65" spans="3:3" ht="13.5" x14ac:dyDescent="0.25">
      <c r="C65" s="48"/>
    </row>
    <row r="66" spans="3:3" ht="13.5" x14ac:dyDescent="0.25">
      <c r="C66" s="48"/>
    </row>
    <row r="69" spans="3:3" x14ac:dyDescent="0.25">
      <c r="C69" s="46"/>
    </row>
    <row r="70" spans="3:3" x14ac:dyDescent="0.25">
      <c r="C70" s="58"/>
    </row>
    <row r="71" spans="3:3" x14ac:dyDescent="0.25">
      <c r="C71" s="58"/>
    </row>
    <row r="72" spans="3:3" x14ac:dyDescent="0.25">
      <c r="C72" s="58"/>
    </row>
    <row r="73" spans="3:3" x14ac:dyDescent="0.25">
      <c r="C73" s="58"/>
    </row>
  </sheetData>
  <customSheetViews>
    <customSheetView guid="{A07C3692-EABB-4B74-AB1D-882B5273FA86}" topLeftCell="A19">
      <selection activeCell="A46" sqref="A46:B50"/>
      <pageMargins left="0.70866141732283472" right="0.70866141732283472" top="0.78740157480314965" bottom="0.78740157480314965" header="0.31496062992125984" footer="0.31496062992125984"/>
      <pageSetup paperSize="9" orientation="portrait" r:id="rId1"/>
    </customSheetView>
    <customSheetView guid="{68C13D92-B8D6-49ED-87BD-F1D56A18DAE6}" topLeftCell="A16">
      <selection activeCell="D46" sqref="D46:D49"/>
      <pageMargins left="0.70866141732283472" right="0.70866141732283472" top="0.78740157480314965" bottom="0.78740157480314965" header="0.31496062992125984" footer="0.31496062992125984"/>
      <pageSetup paperSize="9" orientation="portrait" r:id="rId2"/>
    </customSheetView>
    <customSheetView guid="{47C58E4F-4B0A-4F6D-9AC2-D5A8CE817A2D}" topLeftCell="A19">
      <selection activeCell="A46" sqref="A46:B50"/>
      <pageMargins left="0.70866141732283472" right="0.70866141732283472" top="0.78740157480314965" bottom="0.78740157480314965" header="0.31496062992125984" footer="0.31496062992125984"/>
      <pageSetup paperSize="9" orientation="portrait" r:id="rId3"/>
    </customSheetView>
    <customSheetView guid="{20DC5495-FE75-4D22-AD3C-8B82E591B4A2}" topLeftCell="A16">
      <selection activeCell="D46" sqref="D46:D49"/>
      <pageMargins left="0.70866141732283472" right="0.70866141732283472" top="0.78740157480314965" bottom="0.78740157480314965" header="0.31496062992125984" footer="0.31496062992125984"/>
      <pageSetup paperSize="9" orientation="portrait" r:id="rId4"/>
    </customSheetView>
    <customSheetView guid="{1FBC8F12-DC43-44D9-90D9-A91B72085471}" topLeftCell="A19">
      <selection activeCell="A46" sqref="A46:B50"/>
      <pageMargins left="0.70866141732283472" right="0.70866141732283472" top="0.78740157480314965" bottom="0.78740157480314965" header="0.31496062992125984" footer="0.31496062992125984"/>
      <pageSetup paperSize="9" orientation="portrait" r:id="rId5"/>
    </customSheetView>
    <customSheetView guid="{38B2E3C7-1DFA-4658-A758-B49C3FF0D76D}" topLeftCell="A19">
      <selection activeCell="A46" sqref="A46:B50"/>
      <pageMargins left="0.70866141732283472" right="0.70866141732283472" top="0.78740157480314965" bottom="0.78740157480314965" header="0.31496062992125984" footer="0.31496062992125984"/>
      <pageSetup paperSize="9" orientation="portrait" r:id="rId6"/>
    </customSheetView>
  </customSheetViews>
  <pageMargins left="0.70866141732283472" right="0.70866141732283472" top="0.78740157480314965" bottom="0.78740157480314965" header="0.31496062992125984" footer="0.31496062992125984"/>
  <pageSetup paperSize="9" orientation="portrait" r:id="rId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A1:F41"/>
  <sheetViews>
    <sheetView workbookViewId="0">
      <selection activeCell="E8" sqref="E8"/>
    </sheetView>
  </sheetViews>
  <sheetFormatPr baseColWidth="10" defaultRowHeight="11.5" x14ac:dyDescent="0.25"/>
  <cols>
    <col min="1" max="1" width="16" customWidth="1"/>
    <col min="2" max="3" width="11" style="16"/>
    <col min="4" max="4" width="12.26953125" style="16" customWidth="1"/>
    <col min="5" max="5" width="11" style="16"/>
    <col min="6" max="6" width="28.08984375" style="21" customWidth="1"/>
    <col min="7" max="7" width="4.7265625" customWidth="1"/>
    <col min="13" max="13" width="2.453125" customWidth="1"/>
  </cols>
  <sheetData>
    <row r="1" spans="1:6" ht="13.5" x14ac:dyDescent="0.25">
      <c r="A1" s="1" t="s">
        <v>24</v>
      </c>
    </row>
    <row r="3" spans="1:6" x14ac:dyDescent="0.25">
      <c r="A3" s="36"/>
      <c r="B3" s="37"/>
      <c r="C3" s="37"/>
      <c r="D3" s="38"/>
      <c r="E3"/>
      <c r="F3"/>
    </row>
    <row r="4" spans="1:6" x14ac:dyDescent="0.25">
      <c r="A4" s="5"/>
      <c r="B4" s="15"/>
      <c r="C4" s="14"/>
      <c r="D4" s="13"/>
      <c r="E4"/>
      <c r="F4"/>
    </row>
    <row r="5" spans="1:6" x14ac:dyDescent="0.25">
      <c r="A5" s="8"/>
      <c r="B5" s="20"/>
      <c r="C5" s="18"/>
      <c r="D5" s="21"/>
      <c r="E5"/>
      <c r="F5"/>
    </row>
    <row r="6" spans="1:6" x14ac:dyDescent="0.25">
      <c r="A6" s="39"/>
      <c r="B6" s="37"/>
      <c r="C6" s="40"/>
      <c r="D6" s="41"/>
      <c r="E6"/>
      <c r="F6"/>
    </row>
    <row r="7" spans="1:6" x14ac:dyDescent="0.25">
      <c r="A7" s="3"/>
      <c r="B7" s="23"/>
      <c r="C7" s="33"/>
      <c r="D7" s="30"/>
      <c r="E7"/>
      <c r="F7"/>
    </row>
    <row r="8" spans="1:6" x14ac:dyDescent="0.25">
      <c r="A8" s="3"/>
      <c r="B8" s="23"/>
      <c r="C8" s="33"/>
      <c r="D8" s="31"/>
      <c r="E8"/>
      <c r="F8"/>
    </row>
    <row r="9" spans="1:6" x14ac:dyDescent="0.25">
      <c r="A9" s="3"/>
      <c r="B9" s="23"/>
      <c r="C9" s="33"/>
      <c r="D9" s="31"/>
      <c r="E9"/>
      <c r="F9"/>
    </row>
    <row r="10" spans="1:6" x14ac:dyDescent="0.25">
      <c r="A10" s="4"/>
      <c r="B10" s="24"/>
      <c r="C10" s="34"/>
      <c r="D10" s="32"/>
      <c r="E10"/>
      <c r="F10"/>
    </row>
    <row r="11" spans="1:6" x14ac:dyDescent="0.25">
      <c r="B11" s="25"/>
      <c r="C11" s="35"/>
      <c r="D11" s="21"/>
      <c r="E11"/>
      <c r="F11"/>
    </row>
    <row r="12" spans="1:6" x14ac:dyDescent="0.25">
      <c r="A12" s="36"/>
      <c r="B12" s="42"/>
      <c r="C12" s="43"/>
      <c r="D12" s="41"/>
      <c r="E12"/>
      <c r="F12"/>
    </row>
    <row r="13" spans="1:6" x14ac:dyDescent="0.25">
      <c r="A13" s="3"/>
      <c r="B13" s="26"/>
      <c r="C13" s="33"/>
      <c r="D13" s="30"/>
      <c r="E13"/>
      <c r="F13"/>
    </row>
    <row r="14" spans="1:6" x14ac:dyDescent="0.25">
      <c r="A14" s="3"/>
      <c r="B14" s="23"/>
      <c r="C14" s="33"/>
      <c r="D14" s="31"/>
      <c r="E14"/>
      <c r="F14"/>
    </row>
    <row r="15" spans="1:6" x14ac:dyDescent="0.25">
      <c r="A15" s="4"/>
      <c r="B15" s="24"/>
      <c r="C15" s="34"/>
      <c r="D15" s="32"/>
      <c r="E15"/>
      <c r="F15"/>
    </row>
    <row r="16" spans="1:6" x14ac:dyDescent="0.25">
      <c r="B16" s="25"/>
      <c r="C16" s="25"/>
      <c r="D16" s="21"/>
      <c r="E16"/>
      <c r="F16"/>
    </row>
    <row r="17" spans="1:6" x14ac:dyDescent="0.25">
      <c r="A17" s="36"/>
      <c r="B17" s="42"/>
      <c r="C17" s="44"/>
      <c r="D17" s="41"/>
      <c r="E17"/>
      <c r="F17"/>
    </row>
    <row r="18" spans="1:6" ht="13.5" x14ac:dyDescent="0.3">
      <c r="A18" s="9"/>
      <c r="B18" s="27"/>
      <c r="C18" s="26"/>
      <c r="D18" s="30"/>
      <c r="E18"/>
      <c r="F18"/>
    </row>
    <row r="19" spans="1:6" ht="13.5" x14ac:dyDescent="0.3">
      <c r="A19" s="10"/>
      <c r="B19" s="28"/>
      <c r="C19" s="23"/>
      <c r="D19" s="31"/>
      <c r="E19"/>
      <c r="F19"/>
    </row>
    <row r="20" spans="1:6" ht="13.5" x14ac:dyDescent="0.3">
      <c r="A20" s="10"/>
      <c r="B20" s="28"/>
      <c r="C20" s="23"/>
      <c r="D20" s="31"/>
      <c r="E20"/>
      <c r="F20"/>
    </row>
    <row r="21" spans="1:6" ht="13.5" x14ac:dyDescent="0.3">
      <c r="A21" s="10"/>
      <c r="B21" s="28"/>
      <c r="C21" s="23"/>
      <c r="D21" s="31"/>
      <c r="E21"/>
      <c r="F21"/>
    </row>
    <row r="22" spans="1:6" ht="13.5" x14ac:dyDescent="0.3">
      <c r="A22" s="10"/>
      <c r="B22" s="28"/>
      <c r="C22" s="23"/>
      <c r="D22" s="31"/>
      <c r="E22"/>
      <c r="F22"/>
    </row>
    <row r="23" spans="1:6" ht="13.5" x14ac:dyDescent="0.3">
      <c r="A23" s="10"/>
      <c r="B23" s="28"/>
      <c r="C23" s="23"/>
      <c r="D23" s="31"/>
      <c r="E23"/>
      <c r="F23"/>
    </row>
    <row r="24" spans="1:6" ht="13.5" x14ac:dyDescent="0.3">
      <c r="A24" s="11"/>
      <c r="B24" s="28"/>
      <c r="C24" s="23"/>
      <c r="D24" s="31"/>
      <c r="E24"/>
      <c r="F24"/>
    </row>
    <row r="25" spans="1:6" ht="13.5" x14ac:dyDescent="0.3">
      <c r="A25" s="11"/>
      <c r="B25" s="28"/>
      <c r="C25" s="23"/>
      <c r="D25" s="31"/>
      <c r="E25"/>
      <c r="F25"/>
    </row>
    <row r="26" spans="1:6" ht="13.5" x14ac:dyDescent="0.3">
      <c r="A26" s="12"/>
      <c r="B26" s="29"/>
      <c r="C26" s="24"/>
      <c r="D26" s="32"/>
      <c r="E26"/>
      <c r="F26"/>
    </row>
    <row r="27" spans="1:6" x14ac:dyDescent="0.25">
      <c r="B27" s="25"/>
      <c r="C27" s="25"/>
      <c r="D27" s="21"/>
      <c r="E27"/>
      <c r="F27"/>
    </row>
    <row r="28" spans="1:6" x14ac:dyDescent="0.25">
      <c r="A28" s="45"/>
      <c r="B28" s="42"/>
      <c r="C28" s="44"/>
      <c r="D28" s="41"/>
      <c r="E28"/>
      <c r="F28"/>
    </row>
    <row r="29" spans="1:6" ht="13.5" x14ac:dyDescent="0.3">
      <c r="A29" s="9"/>
      <c r="B29" s="27"/>
      <c r="C29" s="26"/>
      <c r="D29" s="30"/>
      <c r="E29"/>
      <c r="F29"/>
    </row>
    <row r="30" spans="1:6" ht="13.5" x14ac:dyDescent="0.3">
      <c r="A30" s="10"/>
      <c r="B30" s="28"/>
      <c r="C30" s="23"/>
      <c r="D30" s="31"/>
      <c r="E30"/>
      <c r="F30"/>
    </row>
    <row r="31" spans="1:6" ht="13.5" x14ac:dyDescent="0.3">
      <c r="A31" s="10"/>
      <c r="B31" s="28"/>
      <c r="C31" s="23"/>
      <c r="D31" s="31"/>
      <c r="E31"/>
      <c r="F31"/>
    </row>
    <row r="32" spans="1:6" ht="13.5" x14ac:dyDescent="0.3">
      <c r="A32" s="10"/>
      <c r="B32" s="28"/>
      <c r="C32" s="23"/>
      <c r="D32" s="31"/>
      <c r="E32"/>
      <c r="F32"/>
    </row>
    <row r="33" spans="1:6" ht="13.5" x14ac:dyDescent="0.3">
      <c r="A33" s="10"/>
      <c r="B33" s="28"/>
      <c r="C33" s="23"/>
      <c r="D33" s="31"/>
      <c r="E33"/>
      <c r="F33"/>
    </row>
    <row r="34" spans="1:6" ht="13.5" x14ac:dyDescent="0.3">
      <c r="A34" s="10"/>
      <c r="B34" s="28"/>
      <c r="C34" s="23"/>
      <c r="D34" s="31"/>
      <c r="E34"/>
      <c r="F34"/>
    </row>
    <row r="35" spans="1:6" ht="13.5" x14ac:dyDescent="0.3">
      <c r="A35" s="11"/>
      <c r="B35" s="28"/>
      <c r="C35" s="23"/>
      <c r="D35" s="31"/>
      <c r="E35"/>
      <c r="F35"/>
    </row>
    <row r="36" spans="1:6" ht="13.5" x14ac:dyDescent="0.3">
      <c r="A36" s="11"/>
      <c r="B36" s="28"/>
      <c r="C36" s="23"/>
      <c r="D36" s="31"/>
      <c r="E36"/>
      <c r="F36"/>
    </row>
    <row r="37" spans="1:6" ht="13.5" x14ac:dyDescent="0.3">
      <c r="A37" s="12"/>
      <c r="B37" s="19"/>
      <c r="C37" s="17"/>
      <c r="D37" s="32"/>
      <c r="E37"/>
      <c r="F37"/>
    </row>
    <row r="40" spans="1:6" x14ac:dyDescent="0.25">
      <c r="B40" s="22"/>
    </row>
    <row r="41" spans="1:6" x14ac:dyDescent="0.25">
      <c r="B41" s="22"/>
    </row>
  </sheetData>
  <customSheetViews>
    <customSheetView guid="{A07C3692-EABB-4B74-AB1D-882B5273FA86}" fitToPage="1">
      <selection activeCell="E8" sqref="E8"/>
      <pageMargins left="0.70866141732283472" right="0.70866141732283472" top="0.78740157480314965" bottom="0.78740157480314965" header="0.31496062992125984" footer="0.31496062992125984"/>
      <pageSetup paperSize="9" scale="67" orientation="portrait" r:id="rId1"/>
    </customSheetView>
    <customSheetView guid="{68C13D92-B8D6-49ED-87BD-F1D56A18DAE6}" fitToPage="1">
      <selection activeCell="E8" sqref="E8"/>
      <pageMargins left="0.70866141732283472" right="0.70866141732283472" top="0.78740157480314965" bottom="0.78740157480314965" header="0.31496062992125984" footer="0.31496062992125984"/>
      <pageSetup paperSize="9" scale="67" orientation="portrait" r:id="rId2"/>
    </customSheetView>
    <customSheetView guid="{47C58E4F-4B0A-4F6D-9AC2-D5A8CE817A2D}" fitToPage="1">
      <selection activeCell="E8" sqref="E8"/>
      <pageMargins left="0.70866141732283472" right="0.70866141732283472" top="0.78740157480314965" bottom="0.78740157480314965" header="0.31496062992125984" footer="0.31496062992125984"/>
      <pageSetup paperSize="9" scale="67" orientation="portrait" r:id="rId3"/>
    </customSheetView>
    <customSheetView guid="{20DC5495-FE75-4D22-AD3C-8B82E591B4A2}" fitToPage="1">
      <selection activeCell="E8" sqref="E8"/>
      <pageMargins left="0.70866141732283472" right="0.70866141732283472" top="0.78740157480314965" bottom="0.78740157480314965" header="0.31496062992125984" footer="0.31496062992125984"/>
      <pageSetup paperSize="9" scale="67" orientation="portrait" r:id="rId4"/>
    </customSheetView>
    <customSheetView guid="{1FBC8F12-DC43-44D9-90D9-A91B72085471}" fitToPage="1">
      <selection activeCell="E8" sqref="E8"/>
      <pageMargins left="0.70866141732283472" right="0.70866141732283472" top="0.78740157480314965" bottom="0.78740157480314965" header="0.31496062992125984" footer="0.31496062992125984"/>
      <pageSetup paperSize="9" scale="67" orientation="portrait" r:id="rId5"/>
    </customSheetView>
    <customSheetView guid="{38B2E3C7-1DFA-4658-A758-B49C3FF0D76D}" fitToPage="1">
      <selection activeCell="E8" sqref="E8"/>
      <pageMargins left="0.70866141732283472" right="0.70866141732283472" top="0.78740157480314965" bottom="0.78740157480314965" header="0.31496062992125984" footer="0.31496062992125984"/>
      <pageSetup paperSize="9" scale="67" orientation="portrait" r:id="rId6"/>
    </customSheetView>
  </customSheetViews>
  <pageMargins left="0.70866141732283472" right="0.70866141732283472" top="0.78740157480314965" bottom="0.78740157480314965" header="0.31496062992125984" footer="0.31496062992125984"/>
  <pageSetup paperSize="9" scale="67" orientation="portrait" r:id="rId7"/>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Infos zu dieser Mappe</vt:lpstr>
      <vt:lpstr>Legende_Thomschke</vt:lpstr>
      <vt:lpstr>II_Inkunabeln+</vt:lpstr>
      <vt:lpstr>Schäden_Einband</vt:lpstr>
      <vt:lpstr>Schäden_Buchblock</vt:lpstr>
      <vt:lpstr>Datentransfer</vt:lpstr>
      <vt:lpstr>Legende</vt:lpstr>
      <vt:lpstr>Zusammenfassung</vt:lpstr>
    </vt:vector>
  </TitlesOfParts>
  <Company>Deutsche Nationalbibliothek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Schuhmann, Katharina</dc:creator>
  <cp:lastModifiedBy>Thomschke, Friedrun</cp:lastModifiedBy>
  <cp:lastPrinted>2020-09-18T09:32:13Z</cp:lastPrinted>
  <dcterms:created xsi:type="dcterms:W3CDTF">2015-02-11T08:00:51Z</dcterms:created>
  <dcterms:modified xsi:type="dcterms:W3CDTF">2022-07-05T13:49:27Z</dcterms:modified>
  <cp:contentStatus/>
</cp:coreProperties>
</file>